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b17af878e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月1日审计" sheetId="1" r:id="R24862e3b14cd4807"/>
    <x:sheet xmlns:r="http://schemas.openxmlformats.org/officeDocument/2006/relationships" name="两日价格与决策" sheetId="2" r:id="R43ef8352f8a24523"/>
    <x:sheet xmlns:r="http://schemas.openxmlformats.org/officeDocument/2006/relationships" name="相位SOC复算" sheetId="3" r:id="Rb4842895768c4730"/>
    <x:sheet xmlns:r="http://schemas.openxmlformats.org/officeDocument/2006/relationships" name="原始输入与口径" sheetId="4" r:id="Ref17c179a9e74d74"/>
    <x:sheet xmlns:r="http://schemas.openxmlformats.org/officeDocument/2006/relationships" name="1月2日审计" sheetId="5" r:id="R82aff0f4f474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00"/>
    <x:numFmt numFmtId="201" formatCode="yyyy-mm-dd hh:mm:ss"/>
    <x:numFmt numFmtId="202" formatCode="yyyy-mm-dd"/>
    <x:numFmt numFmtId="203" formatCode="yyyy-mm-dd hh:mm"/>
    <x:numFmt numFmtId="204" formatCode="#,##0.000000;[Red](#,##0.000000);0.000000"/>
    <x:numFmt numFmtId="205" formatCode="0"/>
    <x:numFmt numFmtId="206" formatCode="0.0000%"/>
    <x:numFmt numFmtId="207" formatCode="yyyy-mm-dd hh:mm:ss.000"/>
  </x:numFmts>
  <x:fonts count="7">
    <x:font>
      <x:sz val="11"/>
      <x:name val="Carlito"/>
    </x:font>
    <x:font>
      <x:sz val="10"/>
      <x:color rgb="FF202B3A"/>
      <x:name val="Arial"/>
    </x:font>
    <x:font>
      <x:b/>
      <x:sz val="14"/>
      <x:color rgb="FF202B3A"/>
      <x:name val="Arial"/>
    </x:font>
    <x:font>
      <x:i/>
      <x:sz val="10"/>
      <x:color rgb="FF566374"/>
      <x:name val="Arial"/>
    </x:font>
    <x:font>
      <x:sz val="10"/>
      <x:color rgb="FF2459A6"/>
      <x:name val="Arial"/>
    </x:font>
    <x:font>
      <x:b/>
      <x:sz val="10"/>
      <x:color rgb="FFFFFFFF"/>
      <x:name val="Arial"/>
    </x:font>
    <x:font>
      <x:b/>
      <x:sz val="10"/>
      <x:color rgb="FF202B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13B59"/>
      </x:patternFill>
    </x:fill>
    <x:fill>
      <x:patternFill patternType="solid">
        <x:fgColor rgb="FFEEF3FA"/>
      </x:patternFill>
    </x:fill>
    <x:fill>
      <x:patternFill patternType="solid">
        <x:fgColor rgb="FFF3F5F7"/>
      </x:patternFill>
    </x:fill>
    <x:fill>
      <x:patternFill patternType="solid">
        <x:fgColor rgb="FFEDF4ED"/>
      </x:patternFill>
    </x:fill>
  </x:fills>
  <x:borders count="2">
    <x:border/>
    <x:border>
      <x:top style="medium">
        <x:color rgb="FF213B59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4" fontId="1" fillId="3" borderId="1" xfId="0" applyNumberFormat="1" applyFont="1" applyFill="1" applyBorder="1" applyAlignment="1">
      <x:alignment horizontal="right" vertical="center"/>
    </x:xf>
    <x:xf numFmtId="204" fontId="1" fillId="4" borderId="1" xfId="0" applyNumberFormat="1" applyFont="1" applyFill="1" applyBorder="1" applyAlignment="1">
      <x:alignment vertical="center"/>
    </x:xf>
    <x:xf numFmtId="204" fontId="1" fillId="5" borderId="1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205" fontId="1" fillId="0" borderId="1" xfId="0" applyNumberFormat="1" applyFont="1" applyFill="1" applyBorder="1" applyAlignment="1">
      <x:alignment vertical="center"/>
    </x:xf>
    <x:xf numFmtId="206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A52828"/>
      </x:font>
      <x:fill>
        <x:patternFill patternType="solid">
          <x:bgColor rgb="FFFBE3E3"/>
        </x:patternFill>
      </x:fill>
    </x:dxf>
    <x:dxf>
      <x:font>
        <x:color rgb="FFA52828"/>
      </x:font>
      <x:fill>
        <x:patternFill patternType="solid">
          <x:bgColor rgb="FFFBE3E3"/>
        </x:patternFill>
      </x:fill>
    </x:dxf>
    <x:dxf>
      <x:font>
        <x:color rgb="FFA52828"/>
      </x:font>
      <x:fill>
        <x:patternFill patternType="solid">
          <x:bgColor rgb="FFFBE3E3"/>
        </x:patternFill>
      </x:fill>
    </x:dxf>
    <x:dxf>
      <x:font>
        <x:color rgb="FFA52828"/>
      </x:font>
      <x:fill>
        <x:patternFill patternType="solid">
          <x:bgColor rgb="FFFBE3E3"/>
        </x:patternFill>
      </x:fill>
    </x:dxf>
    <x:dxf>
      <x:font>
        <x:color rgb="FFA52828"/>
      </x:font>
      <x:fill>
        <x:patternFill patternType="solid">
          <x:bgColor rgb="FFFBE3E3"/>
        </x:patternFill>
      </x:fill>
    </x:dxf>
    <x:dxf>
      <x:font>
        <x:color rgb="FFA52828"/>
      </x:font>
      <x:fill>
        <x:patternFill patternType="solid">
          <x:bgColor rgb="FFFBE3E3"/>
        </x:patternFill>
      </x:fill>
    </x:dxf>
    <x:dxf>
      <x:fill>
        <x:patternFill patternType="solid">
          <x:bgColor rgb="FFFBE3E3"/>
        </x:patternFill>
      </x:fill>
    </x:dxf>
    <x:dxf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0ef74d7b94dcb" /><Relationship Type="http://schemas.openxmlformats.org/officeDocument/2006/relationships/theme" Target="/xl/theme/theme1.xml" Id="Ra047bb5aecfe4fe8" /><Relationship Type="http://schemas.microsoft.com/office/2022/11/relationships/FeaturePropertyBag" Target="/xl/featurePropertyBag/featurePropertyBag.xml" Id="Rfacbad706d56452a" /><Relationship Type="http://schemas.openxmlformats.org/officeDocument/2006/relationships/sharedStrings" Target="/xl/sharedStrings.xml" Id="R1fa29edc5fad4360" /><Relationship Type="http://schemas.openxmlformats.org/officeDocument/2006/relationships/worksheet" Target="/xl/worksheets/sheet1.xml" Id="R24862e3b14cd4807" /><Relationship Type="http://schemas.openxmlformats.org/officeDocument/2006/relationships/worksheet" Target="/xl/worksheets/sheet2.xml" Id="R43ef8352f8a24523" /><Relationship Type="http://schemas.openxmlformats.org/officeDocument/2006/relationships/worksheet" Target="/xl/worksheets/sheet3.xml" Id="Rb4842895768c4730" /><Relationship Type="http://schemas.openxmlformats.org/officeDocument/2006/relationships/worksheet" Target="/xl/worksheets/sheet4.xml" Id="Ref17c179a9e74d74" /><Relationship Type="http://schemas.openxmlformats.org/officeDocument/2006/relationships/worksheet" Target="/xl/worksheets/sheet5.xml" Id="R82aff0f4f47448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3B5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31" hidden="0" customWidth="1"/>
    <x:col min="46" max="46" width="31" hidden="0" customWidth="1"/>
    <x:col min="47" max="47" width="31" hidden="0" customWidth="1"/>
    <x:col min="48" max="48" width="31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</x:row>
    <x:row r="2" ht="21" customHeight="1">
      <x:c r="A2" s="3" t="str">
        <x:v>2025-01-01｜100%情景审计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</x:row>
    <x:row r="3" ht="21" customHeight="1">
      <x:c r="A3" s="4" t="str">
        <x:v>首日无前置订单：申报及现金均为0；SOC全天10MWh，为初始化而非前日实测。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</x:row>
    <x:row r="4" ht="21" customHeight="1">
      <x:c r="A4" s="4" t="str">
        <x:v>A列为市场最细15分钟；更细模型相位见“相位SOC复算”。完整两日已知价格与计划见第二表。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</x:row>
    <x:row r="6" ht="52" customHeight="1">
      <x:c r="A6" s="9" t="str">
        <x:v>时间｜Bucharest</x:v>
      </x:c>
      <x:c r="B6" s="9" t="str">
        <x:v>DA价格
EUR/MWh</x:v>
      </x:c>
      <x:c r="C6" s="9" t="str">
        <x:v>FCR容量价格
EUR/(MW·h)</x:v>
      </x:c>
      <x:c r="D6" s="9" t="str">
        <x:v>aFRR上容量价
EUR/(MW·h)</x:v>
      </x:c>
      <x:c r="E6" s="9" t="str">
        <x:v>aFRR下容量价
EUR/(MW·h)</x:v>
      </x:c>
      <x:c r="F6" s="9" t="str">
        <x:v>aFRR上激活价
EUR/MWh</x:v>
      </x:c>
      <x:c r="G6" s="9" t="str">
        <x:v>aFRR下激活价
EUR/MWh</x:v>
      </x:c>
      <x:c r="H6" s="9" t="str">
        <x:v>FCR激活价
未纳入模型</x:v>
      </x:c>
      <x:c r="I6" s="9" t="str">
        <x:v>起SOC
MWh</x:v>
      </x:c>
      <x:c r="J6" s="9" t="str">
        <x:v>末SOC
MWh</x:v>
      </x:c>
      <x:c r="K6" s="9" t="str">
        <x:v>DA净申报
MW</x:v>
      </x:c>
      <x:c r="L6" s="9" t="str">
        <x:v>FCR申报
MW</x:v>
      </x:c>
      <x:c r="M6" s="9" t="str">
        <x:v>aFRR上申报
MW</x:v>
      </x:c>
      <x:c r="N6" s="9" t="str">
        <x:v>aFRR下申报
MW</x:v>
      </x:c>
      <x:c r="O6" s="9" t="str">
        <x:v>上调激活
MWh</x:v>
      </x:c>
      <x:c r="P6" s="9" t="str">
        <x:v>下调激活
MWh</x:v>
      </x:c>
      <x:c r="Q6" s="9" t="str">
        <x:v>DA现金
EUR</x:v>
      </x:c>
      <x:c r="R6" s="9" t="str">
        <x:v>FCR容量现金
EUR</x:v>
      </x:c>
      <x:c r="S6" s="9" t="str">
        <x:v>aFRR上容量现金
EUR</x:v>
      </x:c>
      <x:c r="T6" s="9" t="str">
        <x:v>aFRR下容量现金
EUR</x:v>
      </x:c>
      <x:c r="U6" s="9" t="str">
        <x:v>aFRR上激活现金
EUR</x:v>
      </x:c>
      <x:c r="V6" s="9" t="str">
        <x:v>aFRR下激活现金
EUR</x:v>
      </x:c>
      <x:c r="W6" s="9" t="str">
        <x:v>总现金
EUR</x:v>
      </x:c>
      <x:c r="X6" s="9" t="str">
        <x:v>原账本总现金
EUR</x:v>
      </x:c>
      <x:c r="Y6" s="9" t="str">
        <x:v>现金差异
EUR</x:v>
      </x:c>
      <x:c r="Z6" s="9" t="str">
        <x:v>执行/计划</x:v>
      </x:c>
      <x:c r="AA6" s="9" t="str">
        <x:v>aFRR小时有效
1/0</x:v>
      </x:c>
      <x:c r="AB6" s="9" t="str">
        <x:v>FCR小时有效
1/0</x:v>
      </x:c>
      <x:c r="AC6" s="9" t="str">
        <x:v>时长h</x:v>
      </x:c>
      <x:c r="AD6" s="9" t="str">
        <x:v>容量系数</x:v>
      </x:c>
      <x:c r="AE6" s="9" t="str">
        <x:v>有效α上</x:v>
      </x:c>
      <x:c r="AF6" s="9" t="str">
        <x:v>有效α下</x:v>
      </x:c>
      <x:c r="AG6" s="9" t="str">
        <x:v>系统上容量
MW</x:v>
      </x:c>
      <x:c r="AH6" s="9" t="str">
        <x:v>系统下容量
MW</x:v>
      </x:c>
      <x:c r="AI6" s="9" t="str">
        <x:v>系统上激活
MWh</x:v>
      </x:c>
      <x:c r="AJ6" s="9" t="str">
        <x:v>系统下激活
MWh</x:v>
      </x:c>
      <x:c r="AK6" s="9" t="str">
        <x:v>系统FCR容量
MW</x:v>
      </x:c>
      <x:c r="AL6" s="9" t="str">
        <x:v>EFC复算</x:v>
      </x:c>
      <x:c r="AM6" s="9" t="str">
        <x:v>AC充电
MWh</x:v>
      </x:c>
      <x:c r="AN6" s="9" t="str">
        <x:v>AC放电
MWh</x:v>
      </x:c>
      <x:c r="AO6" s="9" t="str">
        <x:v>相位复算末SOC
MWh</x:v>
      </x:c>
      <x:c r="AP6" s="9" t="str">
        <x:v>SOC差异
MWh</x:v>
      </x:c>
      <x:c r="AQ6" s="9" t="str">
        <x:v>汇率
RON/EUR</x:v>
      </x:c>
      <x:c r="AR6" s="9" t="str">
        <x:v>汇率日期</x:v>
      </x:c>
      <x:c r="AS6" s="9" t="str">
        <x:v>UTC起点</x:v>
      </x:c>
      <x:c r="AT6" s="9" t="str">
        <x:v>DA原生订单ID</x:v>
      </x:c>
      <x:c r="AU6" s="9" t="str">
        <x:v>原生DA分钟</x:v>
      </x:c>
      <x:c r="AV6" s="9" t="str">
        <x:v>aFRR门禁原因</x:v>
      </x:c>
    </x:row>
    <x:row r="7" ht="21" customHeight="1">
      <x:c r="A7" s="17" t="n">
        <x:f>'两日价格与决策'!A7</x:f>
        <x:v>45658</x:v>
      </x:c>
      <x:c r="B7" s="23" t="n">
        <x:f>'两日价格与决策'!B7</x:f>
        <x:v>117.75</x:v>
      </x:c>
      <x:c r="C7" s="23" t="str">
        <x:f>'两日价格与决策'!C7</x:f>
        <x:v>缺失</x:v>
      </x:c>
      <x:c r="D7" s="23" t="n">
        <x:f>'两日价格与决策'!D7</x:f>
        <x:v>13.670814820771596</x:v>
      </x:c>
      <x:c r="E7" s="23" t="n">
        <x:f>'两日价格与决策'!E7</x:f>
        <x:v>14.710198829939085</x:v>
      </x:c>
      <x:c r="F7" s="23" t="n">
        <x:f>'两日价格与决策'!F7</x:f>
        <x:v>203.1481071952715</x:v>
      </x:c>
      <x:c r="G7" s="23" t="n">
        <x:f>'两日价格与决策'!G7</x:f>
        <x:v>0</x:v>
      </x:c>
      <x:c r="H7" s="23" t="str">
        <x:f>'两日价格与决策'!H7</x:f>
        <x:v>未模拟</x:v>
      </x:c>
      <x:c r="I7" s="24" t="n">
        <x:f>'两日价格与决策'!I7</x:f>
        <x:v>10</x:v>
      </x:c>
      <x:c r="J7" s="24" t="n">
        <x:f>'两日价格与决策'!J7</x:f>
        <x:v>10</x:v>
      </x:c>
      <x:c r="K7" s="24" t="n">
        <x:f>'两日价格与决策'!K7</x:f>
        <x:v>0</x:v>
      </x:c>
      <x:c r="L7" s="24" t="n">
        <x:f>'两日价格与决策'!L7</x:f>
        <x:v>0</x:v>
      </x:c>
      <x:c r="M7" s="24" t="n">
        <x:f>'两日价格与决策'!M7</x:f>
        <x:v>0</x:v>
      </x:c>
      <x:c r="N7" s="24" t="n">
        <x:f>'两日价格与决策'!N7</x:f>
        <x:v>0</x:v>
      </x:c>
      <x:c r="O7" s="24" t="n">
        <x:f>'两日价格与决策'!O7</x:f>
        <x:v>0</x:v>
      </x:c>
      <x:c r="P7" s="24" t="n">
        <x:f>'两日价格与决策'!P7</x:f>
        <x:v>0</x:v>
      </x:c>
      <x:c r="Q7" s="25" t="n">
        <x:f>'两日价格与决策'!Q7</x:f>
        <x:v>0</x:v>
      </x:c>
      <x:c r="R7" s="25" t="n">
        <x:f>'两日价格与决策'!R7</x:f>
        <x:v>0</x:v>
      </x:c>
      <x:c r="S7" s="25" t="n">
        <x:f>'两日价格与决策'!S7</x:f>
        <x:v>0</x:v>
      </x:c>
      <x:c r="T7" s="25" t="n">
        <x:f>'两日价格与决策'!T7</x:f>
        <x:v>0</x:v>
      </x:c>
      <x:c r="U7" s="25" t="n">
        <x:f>'两日价格与决策'!U7</x:f>
        <x:v>0</x:v>
      </x:c>
      <x:c r="V7" s="25" t="n">
        <x:f>'两日价格与决策'!V7</x:f>
        <x:v>0</x:v>
      </x:c>
      <x:c r="W7" s="25" t="n">
        <x:f>'两日价格与决策'!W7</x:f>
        <x:v>0</x:v>
      </x:c>
      <x:c r="X7" s="18" t="n">
        <x:f>'两日价格与决策'!X7</x:f>
        <x:v>0</x:v>
      </x:c>
      <x:c r="Y7" s="18" t="n">
        <x:f>'两日价格与决策'!Y7</x:f>
        <x:v>0</x:v>
      </x:c>
      <x:c r="Z7" s="18" t="str">
        <x:f>'两日价格与决策'!Z7</x:f>
        <x:v>1月1日执行｜初始化零订单</x:v>
      </x:c>
      <x:c r="AA7" s="19" t="n">
        <x:f>'两日价格与决策'!AA7</x:f>
        <x:v>1</x:v>
      </x:c>
      <x:c r="AB7" s="19" t="n">
        <x:f>'两日价格与决策'!AB7</x:f>
        <x:v>0</x:v>
      </x:c>
      <x:c r="AC7" s="18" t="n">
        <x:f>'两日价格与决策'!AC7</x:f>
        <x:v>0.25</x:v>
      </x:c>
      <x:c r="AD7" s="20" t="n">
        <x:f>'两日价格与决策'!AD7</x:f>
        <x:v>1</x:v>
      </x:c>
      <x:c r="AE7" s="20" t="n">
        <x:f>'两日价格与决策'!AE7</x:f>
        <x:v>0.32158000000000003</x:v>
      </x:c>
      <x:c r="AF7" s="20" t="n">
        <x:f>'两日价格与决策'!AF7</x:f>
        <x:v>0</x:v>
      </x:c>
      <x:c r="AG7" s="18" t="n">
        <x:f>'两日价格与决策'!AG7</x:f>
        <x:v>200</x:v>
      </x:c>
      <x:c r="AH7" s="18" t="n">
        <x:f>'两日价格与决策'!AH7</x:f>
        <x:v>200</x:v>
      </x:c>
      <x:c r="AI7" s="18" t="n">
        <x:f>'两日价格与决策'!AI7</x:f>
        <x:v>16.079</x:v>
      </x:c>
      <x:c r="AJ7" s="18" t="n">
        <x:f>'两日价格与决策'!AJ7</x:f>
        <x:v>0</x:v>
      </x:c>
      <x:c r="AK7" s="18" t="str">
        <x:f>'两日价格与决策'!AK7</x:f>
        <x:v>缺失</x:v>
      </x:c>
      <x:c r="AL7" s="18" t="n">
        <x:f>'两日价格与决策'!AL7</x:f>
        <x:v>0</x:v>
      </x:c>
      <x:c r="AM7" s="18" t="n">
        <x:f>'两日价格与决策'!AM7</x:f>
        <x:v>0</x:v>
      </x:c>
      <x:c r="AN7" s="18" t="n">
        <x:f>'两日价格与决策'!AN7</x:f>
        <x:v>0</x:v>
      </x:c>
      <x:c r="AO7" s="18" t="n">
        <x:f>'两日价格与决策'!AO7</x:f>
        <x:v>10</x:v>
      </x:c>
      <x:c r="AP7" s="18" t="n">
        <x:f>'两日价格与决策'!AP7</x:f>
        <x:v>0</x:v>
      </x:c>
      <x:c r="AQ7" s="18" t="n">
        <x:f>'两日价格与决策'!AQ7</x:f>
        <x:v>4.9741</x:v>
      </x:c>
      <x:c r="AR7" s="21" t="n">
        <x:f>'两日价格与决策'!AR7</x:f>
        <x:v>45657</x:v>
      </x:c>
      <x:c r="AS7" s="17" t="n">
        <x:f>'两日价格与决策'!AS7</x:f>
        <x:v>45657.916666666664</x:v>
      </x:c>
      <x:c r="AT7" s="18" t="str">
        <x:f>'两日价格与决策'!AT7</x:f>
        <x:v>2024-12-31_24</x:v>
      </x:c>
      <x:c r="AU7" s="19" t="n">
        <x:f>'两日价格与决策'!AU7</x:f>
        <x:v>60</x:v>
      </x:c>
      <x:c r="AV7" s="18" t="str">
        <x:f>'两日价格与决策'!AV7</x:f>
        <x:v>OK</x:v>
      </x:c>
    </x:row>
    <x:row r="8" ht="21" customHeight="1">
      <x:c r="A8" s="17" t="n">
        <x:f>'两日价格与决策'!A8</x:f>
        <x:v>45658.010416666664</x:v>
      </x:c>
      <x:c r="B8" s="23" t="n">
        <x:f>'两日价格与决策'!B8</x:f>
        <x:v>117.75</x:v>
      </x:c>
      <x:c r="C8" s="23" t="str">
        <x:f>'两日价格与决策'!C8</x:f>
        <x:v>缺失</x:v>
      </x:c>
      <x:c r="D8" s="23" t="n">
        <x:f>'两日价格与决策'!D8</x:f>
        <x:v>13.670814820771596</x:v>
      </x:c>
      <x:c r="E8" s="23" t="n">
        <x:f>'两日价格与决策'!E8</x:f>
        <x:v>14.710198829939085</x:v>
      </x:c>
      <x:c r="F8" s="23" t="n">
        <x:f>'两日价格与决策'!F8</x:f>
        <x:v>189.08023562051426</x:v>
      </x:c>
      <x:c r="G8" s="23" t="n">
        <x:f>'两日价格与决策'!G8</x:f>
        <x:v>0</x:v>
      </x:c>
      <x:c r="H8" s="23" t="str">
        <x:f>'两日价格与决策'!H8</x:f>
        <x:v>未模拟</x:v>
      </x:c>
      <x:c r="I8" s="24" t="n">
        <x:f>'两日价格与决策'!I8</x:f>
        <x:v>10</x:v>
      </x:c>
      <x:c r="J8" s="24" t="n">
        <x:f>'两日价格与决策'!J8</x:f>
        <x:v>10</x:v>
      </x:c>
      <x:c r="K8" s="24" t="n">
        <x:f>'两日价格与决策'!K8</x:f>
        <x:v>0</x:v>
      </x:c>
      <x:c r="L8" s="24" t="n">
        <x:f>'两日价格与决策'!L8</x:f>
        <x:v>0</x:v>
      </x:c>
      <x:c r="M8" s="24" t="n">
        <x:f>'两日价格与决策'!M8</x:f>
        <x:v>0</x:v>
      </x:c>
      <x:c r="N8" s="24" t="n">
        <x:f>'两日价格与决策'!N8</x:f>
        <x:v>0</x:v>
      </x:c>
      <x:c r="O8" s="24" t="n">
        <x:f>'两日价格与决策'!O8</x:f>
        <x:v>0</x:v>
      </x:c>
      <x:c r="P8" s="24" t="n">
        <x:f>'两日价格与决策'!P8</x:f>
        <x:v>0</x:v>
      </x:c>
      <x:c r="Q8" s="25" t="n">
        <x:f>'两日价格与决策'!Q8</x:f>
        <x:v>0</x:v>
      </x:c>
      <x:c r="R8" s="25" t="n">
        <x:f>'两日价格与决策'!R8</x:f>
        <x:v>0</x:v>
      </x:c>
      <x:c r="S8" s="25" t="n">
        <x:f>'两日价格与决策'!S8</x:f>
        <x:v>0</x:v>
      </x:c>
      <x:c r="T8" s="25" t="n">
        <x:f>'两日价格与决策'!T8</x:f>
        <x:v>0</x:v>
      </x:c>
      <x:c r="U8" s="25" t="n">
        <x:f>'两日价格与决策'!U8</x:f>
        <x:v>0</x:v>
      </x:c>
      <x:c r="V8" s="25" t="n">
        <x:f>'两日价格与决策'!V8</x:f>
        <x:v>0</x:v>
      </x:c>
      <x:c r="W8" s="25" t="n">
        <x:f>'两日价格与决策'!W8</x:f>
        <x:v>0</x:v>
      </x:c>
      <x:c r="X8" s="18" t="n">
        <x:f>'两日价格与决策'!X8</x:f>
        <x:v>0</x:v>
      </x:c>
      <x:c r="Y8" s="18" t="n">
        <x:f>'两日价格与决策'!Y8</x:f>
        <x:v>0</x:v>
      </x:c>
      <x:c r="Z8" s="18" t="str">
        <x:f>'两日价格与决策'!Z8</x:f>
        <x:v>1月1日执行｜初始化零订单</x:v>
      </x:c>
      <x:c r="AA8" s="19" t="n">
        <x:f>'两日价格与决策'!AA8</x:f>
        <x:v>1</x:v>
      </x:c>
      <x:c r="AB8" s="19" t="n">
        <x:f>'两日价格与决策'!AB8</x:f>
        <x:v>0</x:v>
      </x:c>
      <x:c r="AC8" s="18" t="n">
        <x:f>'两日价格与决策'!AC8</x:f>
        <x:v>0.25</x:v>
      </x:c>
      <x:c r="AD8" s="20" t="n">
        <x:f>'两日价格与决策'!AD8</x:f>
        <x:v>1</x:v>
      </x:c>
      <x:c r="AE8" s="20" t="n">
        <x:f>'两日价格与决策'!AE8</x:f>
        <x:v>0.20867999999999998</x:v>
      </x:c>
      <x:c r="AF8" s="20" t="n">
        <x:f>'两日价格与决策'!AF8</x:f>
        <x:v>0</x:v>
      </x:c>
      <x:c r="AG8" s="18" t="n">
        <x:f>'两日价格与决策'!AG8</x:f>
        <x:v>200</x:v>
      </x:c>
      <x:c r="AH8" s="18" t="n">
        <x:f>'两日价格与决策'!AH8</x:f>
        <x:v>200</x:v>
      </x:c>
      <x:c r="AI8" s="18" t="n">
        <x:f>'两日价格与决策'!AI8</x:f>
        <x:v>10.434</x:v>
      </x:c>
      <x:c r="AJ8" s="18" t="n">
        <x:f>'两日价格与决策'!AJ8</x:f>
        <x:v>0</x:v>
      </x:c>
      <x:c r="AK8" s="18" t="str">
        <x:f>'两日价格与决策'!AK8</x:f>
        <x:v>缺失</x:v>
      </x:c>
      <x:c r="AL8" s="18" t="n">
        <x:f>'两日价格与决策'!AL8</x:f>
        <x:v>0</x:v>
      </x:c>
      <x:c r="AM8" s="18" t="n">
        <x:f>'两日价格与决策'!AM8</x:f>
        <x:v>0</x:v>
      </x:c>
      <x:c r="AN8" s="18" t="n">
        <x:f>'两日价格与决策'!AN8</x:f>
        <x:v>0</x:v>
      </x:c>
      <x:c r="AO8" s="18" t="n">
        <x:f>'两日价格与决策'!AO8</x:f>
        <x:v>10</x:v>
      </x:c>
      <x:c r="AP8" s="18" t="n">
        <x:f>'两日价格与决策'!AP8</x:f>
        <x:v>0</x:v>
      </x:c>
      <x:c r="AQ8" s="18" t="n">
        <x:f>'两日价格与决策'!AQ8</x:f>
        <x:v>4.9741</x:v>
      </x:c>
      <x:c r="AR8" s="21" t="n">
        <x:f>'两日价格与决策'!AR8</x:f>
        <x:v>45657</x:v>
      </x:c>
      <x:c r="AS8" s="17" t="n">
        <x:f>'两日价格与决策'!AS8</x:f>
        <x:v>45657.927083333336</x:v>
      </x:c>
      <x:c r="AT8" s="18" t="str">
        <x:f>'两日价格与决策'!AT8</x:f>
        <x:v>2024-12-31_24</x:v>
      </x:c>
      <x:c r="AU8" s="19" t="n">
        <x:f>'两日价格与决策'!AU8</x:f>
        <x:v>60</x:v>
      </x:c>
      <x:c r="AV8" s="18" t="str">
        <x:f>'两日价格与决策'!AV8</x:f>
        <x:v>OK</x:v>
      </x:c>
    </x:row>
    <x:row r="9" ht="21" customHeight="1">
      <x:c r="A9" s="17" t="n">
        <x:f>'两日价格与决策'!A9</x:f>
        <x:v>45658.020833333336</x:v>
      </x:c>
      <x:c r="B9" s="23" t="n">
        <x:f>'两日价格与决策'!B9</x:f>
        <x:v>117.75</x:v>
      </x:c>
      <x:c r="C9" s="23" t="str">
        <x:f>'两日价格与决策'!C9</x:f>
        <x:v>缺失</x:v>
      </x:c>
      <x:c r="D9" s="23" t="n">
        <x:f>'两日价格与决策'!D9</x:f>
        <x:v>13.670814820771596</x:v>
      </x:c>
      <x:c r="E9" s="23" t="n">
        <x:f>'两日价格与决策'!E9</x:f>
        <x:v>14.710198829939085</x:v>
      </x:c>
      <x:c r="F9" s="23" t="n">
        <x:f>'两日价格与决策'!F9</x:f>
        <x:v>136.70814820771596</x:v>
      </x:c>
      <x:c r="G9" s="23" t="n">
        <x:f>'两日价格与决策'!G9</x:f>
        <x:v>60.1113769325104</x:v>
      </x:c>
      <x:c r="H9" s="23" t="str">
        <x:f>'两日价格与决策'!H9</x:f>
        <x:v>未模拟</x:v>
      </x:c>
      <x:c r="I9" s="24" t="n">
        <x:f>'两日价格与决策'!I9</x:f>
        <x:v>10</x:v>
      </x:c>
      <x:c r="J9" s="24" t="n">
        <x:f>'两日价格与决策'!J9</x:f>
        <x:v>10</x:v>
      </x:c>
      <x:c r="K9" s="24" t="n">
        <x:f>'两日价格与决策'!K9</x:f>
        <x:v>0</x:v>
      </x:c>
      <x:c r="L9" s="24" t="n">
        <x:f>'两日价格与决策'!L9</x:f>
        <x:v>0</x:v>
      </x:c>
      <x:c r="M9" s="24" t="n">
        <x:f>'两日价格与决策'!M9</x:f>
        <x:v>0</x:v>
      </x:c>
      <x:c r="N9" s="24" t="n">
        <x:f>'两日价格与决策'!N9</x:f>
        <x:v>0</x:v>
      </x:c>
      <x:c r="O9" s="24" t="n">
        <x:f>'两日价格与决策'!O9</x:f>
        <x:v>0</x:v>
      </x:c>
      <x:c r="P9" s="24" t="n">
        <x:f>'两日价格与决策'!P9</x:f>
        <x:v>0</x:v>
      </x:c>
      <x:c r="Q9" s="25" t="n">
        <x:f>'两日价格与决策'!Q9</x:f>
        <x:v>0</x:v>
      </x:c>
      <x:c r="R9" s="25" t="n">
        <x:f>'两日价格与决策'!R9</x:f>
        <x:v>0</x:v>
      </x:c>
      <x:c r="S9" s="25" t="n">
        <x:f>'两日价格与决策'!S9</x:f>
        <x:v>0</x:v>
      </x:c>
      <x:c r="T9" s="25" t="n">
        <x:f>'两日价格与决策'!T9</x:f>
        <x:v>0</x:v>
      </x:c>
      <x:c r="U9" s="25" t="n">
        <x:f>'两日价格与决策'!U9</x:f>
        <x:v>0</x:v>
      </x:c>
      <x:c r="V9" s="25" t="n">
        <x:f>'两日价格与决策'!V9</x:f>
        <x:v>0</x:v>
      </x:c>
      <x:c r="W9" s="25" t="n">
        <x:f>'两日价格与决策'!W9</x:f>
        <x:v>0</x:v>
      </x:c>
      <x:c r="X9" s="18" t="n">
        <x:f>'两日价格与决策'!X9</x:f>
        <x:v>0</x:v>
      </x:c>
      <x:c r="Y9" s="18" t="n">
        <x:f>'两日价格与决策'!Y9</x:f>
        <x:v>0</x:v>
      </x:c>
      <x:c r="Z9" s="18" t="str">
        <x:f>'两日价格与决策'!Z9</x:f>
        <x:v>1月1日执行｜初始化零订单</x:v>
      </x:c>
      <x:c r="AA9" s="19" t="n">
        <x:f>'两日价格与决策'!AA9</x:f>
        <x:v>1</x:v>
      </x:c>
      <x:c r="AB9" s="19" t="n">
        <x:f>'两日价格与决策'!AB9</x:f>
        <x:v>0</x:v>
      </x:c>
      <x:c r="AC9" s="18" t="n">
        <x:f>'两日价格与决策'!AC9</x:f>
        <x:v>0.25</x:v>
      </x:c>
      <x:c r="AD9" s="20" t="n">
        <x:f>'两日价格与决策'!AD9</x:f>
        <x:v>1</x:v>
      </x:c>
      <x:c r="AE9" s="20" t="n">
        <x:f>'两日价格与决策'!AE9</x:f>
        <x:v>0.005600000000000001</x:v>
      </x:c>
      <x:c r="AF9" s="20" t="n">
        <x:f>'两日价格与决策'!AF9</x:f>
        <x:v>0.00032</x:v>
      </x:c>
      <x:c r="AG9" s="18" t="n">
        <x:f>'两日价格与决策'!AG9</x:f>
        <x:v>200</x:v>
      </x:c>
      <x:c r="AH9" s="18" t="n">
        <x:f>'两日价格与决策'!AH9</x:f>
        <x:v>200</x:v>
      </x:c>
      <x:c r="AI9" s="18" t="n">
        <x:f>'两日价格与决策'!AI9</x:f>
        <x:v>0.28</x:v>
      </x:c>
      <x:c r="AJ9" s="18" t="n">
        <x:f>'两日价格与决策'!AJ9</x:f>
        <x:v>0.016</x:v>
      </x:c>
      <x:c r="AK9" s="18" t="str">
        <x:f>'两日价格与决策'!AK9</x:f>
        <x:v>缺失</x:v>
      </x:c>
      <x:c r="AL9" s="18" t="n">
        <x:f>'两日价格与决策'!AL9</x:f>
        <x:v>0</x:v>
      </x:c>
      <x:c r="AM9" s="18" t="n">
        <x:f>'两日价格与决策'!AM9</x:f>
        <x:v>0</x:v>
      </x:c>
      <x:c r="AN9" s="18" t="n">
        <x:f>'两日价格与决策'!AN9</x:f>
        <x:v>0</x:v>
      </x:c>
      <x:c r="AO9" s="18" t="n">
        <x:f>'两日价格与决策'!AO9</x:f>
        <x:v>10</x:v>
      </x:c>
      <x:c r="AP9" s="18" t="n">
        <x:f>'两日价格与决策'!AP9</x:f>
        <x:v>0</x:v>
      </x:c>
      <x:c r="AQ9" s="18" t="n">
        <x:f>'两日价格与决策'!AQ9</x:f>
        <x:v>4.9741</x:v>
      </x:c>
      <x:c r="AR9" s="21" t="n">
        <x:f>'两日价格与决策'!AR9</x:f>
        <x:v>45657</x:v>
      </x:c>
      <x:c r="AS9" s="17" t="n">
        <x:f>'两日价格与决策'!AS9</x:f>
        <x:v>45657.9375</x:v>
      </x:c>
      <x:c r="AT9" s="18" t="str">
        <x:f>'两日价格与决策'!AT9</x:f>
        <x:v>2024-12-31_24</x:v>
      </x:c>
      <x:c r="AU9" s="19" t="n">
        <x:f>'两日价格与决策'!AU9</x:f>
        <x:v>60</x:v>
      </x:c>
      <x:c r="AV9" s="18" t="str">
        <x:f>'两日价格与决策'!AV9</x:f>
        <x:v>OK</x:v>
      </x:c>
    </x:row>
    <x:row r="10" ht="21" customHeight="1">
      <x:c r="A10" s="17" t="n">
        <x:f>'两日价格与决策'!A10</x:f>
        <x:v>45658.03125</x:v>
      </x:c>
      <x:c r="B10" s="23" t="n">
        <x:f>'两日价格与决策'!B10</x:f>
        <x:v>117.75</x:v>
      </x:c>
      <x:c r="C10" s="23" t="str">
        <x:f>'两日价格与决策'!C10</x:f>
        <x:v>缺失</x:v>
      </x:c>
      <x:c r="D10" s="23" t="n">
        <x:f>'两日价格与决策'!D10</x:f>
        <x:v>13.670814820771596</x:v>
      </x:c>
      <x:c r="E10" s="23" t="n">
        <x:f>'两日价格与决策'!E10</x:f>
        <x:v>14.710198829939085</x:v>
      </x:c>
      <x:c r="F10" s="23" t="n">
        <x:f>'两日价格与决策'!F10</x:f>
        <x:v>136.70814820771596</x:v>
      </x:c>
      <x:c r="G10" s="23" t="n">
        <x:f>'两日价格与决策'!G10</x:f>
        <x:v>60.1113769325104</x:v>
      </x:c>
      <x:c r="H10" s="23" t="str">
        <x:f>'两日价格与决策'!H10</x:f>
        <x:v>未模拟</x:v>
      </x:c>
      <x:c r="I10" s="24" t="n">
        <x:f>'两日价格与决策'!I10</x:f>
        <x:v>10</x:v>
      </x:c>
      <x:c r="J10" s="24" t="n">
        <x:f>'两日价格与决策'!J10</x:f>
        <x:v>10</x:v>
      </x:c>
      <x:c r="K10" s="24" t="n">
        <x:f>'两日价格与决策'!K10</x:f>
        <x:v>0</x:v>
      </x:c>
      <x:c r="L10" s="24" t="n">
        <x:f>'两日价格与决策'!L10</x:f>
        <x:v>0</x:v>
      </x:c>
      <x:c r="M10" s="24" t="n">
        <x:f>'两日价格与决策'!M10</x:f>
        <x:v>0</x:v>
      </x:c>
      <x:c r="N10" s="24" t="n">
        <x:f>'两日价格与决策'!N10</x:f>
        <x:v>0</x:v>
      </x:c>
      <x:c r="O10" s="24" t="n">
        <x:f>'两日价格与决策'!O10</x:f>
        <x:v>0</x:v>
      </x:c>
      <x:c r="P10" s="24" t="n">
        <x:f>'两日价格与决策'!P10</x:f>
        <x:v>0</x:v>
      </x:c>
      <x:c r="Q10" s="25" t="n">
        <x:f>'两日价格与决策'!Q10</x:f>
        <x:v>0</x:v>
      </x:c>
      <x:c r="R10" s="25" t="n">
        <x:f>'两日价格与决策'!R10</x:f>
        <x:v>0</x:v>
      </x:c>
      <x:c r="S10" s="25" t="n">
        <x:f>'两日价格与决策'!S10</x:f>
        <x:v>0</x:v>
      </x:c>
      <x:c r="T10" s="25" t="n">
        <x:f>'两日价格与决策'!T10</x:f>
        <x:v>0</x:v>
      </x:c>
      <x:c r="U10" s="25" t="n">
        <x:f>'两日价格与决策'!U10</x:f>
        <x:v>0</x:v>
      </x:c>
      <x:c r="V10" s="25" t="n">
        <x:f>'两日价格与决策'!V10</x:f>
        <x:v>0</x:v>
      </x:c>
      <x:c r="W10" s="25" t="n">
        <x:f>'两日价格与决策'!W10</x:f>
        <x:v>0</x:v>
      </x:c>
      <x:c r="X10" s="18" t="n">
        <x:f>'两日价格与决策'!X10</x:f>
        <x:v>0</x:v>
      </x:c>
      <x:c r="Y10" s="18" t="n">
        <x:f>'两日价格与决策'!Y10</x:f>
        <x:v>0</x:v>
      </x:c>
      <x:c r="Z10" s="18" t="str">
        <x:f>'两日价格与决策'!Z10</x:f>
        <x:v>1月1日执行｜初始化零订单</x:v>
      </x:c>
      <x:c r="AA10" s="19" t="n">
        <x:f>'两日价格与决策'!AA10</x:f>
        <x:v>1</x:v>
      </x:c>
      <x:c r="AB10" s="19" t="n">
        <x:f>'两日价格与决策'!AB10</x:f>
        <x:v>0</x:v>
      </x:c>
      <x:c r="AC10" s="18" t="n">
        <x:f>'两日价格与决策'!AC10</x:f>
        <x:v>0.25</x:v>
      </x:c>
      <x:c r="AD10" s="20" t="n">
        <x:f>'两日价格与决策'!AD10</x:f>
        <x:v>1</x:v>
      </x:c>
      <x:c r="AE10" s="20" t="n">
        <x:f>'两日价格与决策'!AE10</x:f>
        <x:v>0.00414</x:v>
      </x:c>
      <x:c r="AF10" s="20" t="n">
        <x:f>'两日价格与决策'!AF10</x:f>
        <x:v>0.00064</x:v>
      </x:c>
      <x:c r="AG10" s="18" t="n">
        <x:f>'两日价格与决策'!AG10</x:f>
        <x:v>200</x:v>
      </x:c>
      <x:c r="AH10" s="18" t="n">
        <x:f>'两日价格与决策'!AH10</x:f>
        <x:v>200</x:v>
      </x:c>
      <x:c r="AI10" s="18" t="n">
        <x:f>'两日价格与决策'!AI10</x:f>
        <x:v>0.207</x:v>
      </x:c>
      <x:c r="AJ10" s="18" t="n">
        <x:f>'两日价格与决策'!AJ10</x:f>
        <x:v>0.032</x:v>
      </x:c>
      <x:c r="AK10" s="18" t="str">
        <x:f>'两日价格与决策'!AK10</x:f>
        <x:v>缺失</x:v>
      </x:c>
      <x:c r="AL10" s="18" t="n">
        <x:f>'两日价格与决策'!AL10</x:f>
        <x:v>0</x:v>
      </x:c>
      <x:c r="AM10" s="18" t="n">
        <x:f>'两日价格与决策'!AM10</x:f>
        <x:v>0</x:v>
      </x:c>
      <x:c r="AN10" s="18" t="n">
        <x:f>'两日价格与决策'!AN10</x:f>
        <x:v>0</x:v>
      </x:c>
      <x:c r="AO10" s="18" t="n">
        <x:f>'两日价格与决策'!AO10</x:f>
        <x:v>10</x:v>
      </x:c>
      <x:c r="AP10" s="18" t="n">
        <x:f>'两日价格与决策'!AP10</x:f>
        <x:v>0</x:v>
      </x:c>
      <x:c r="AQ10" s="18" t="n">
        <x:f>'两日价格与决策'!AQ10</x:f>
        <x:v>4.9741</x:v>
      </x:c>
      <x:c r="AR10" s="21" t="n">
        <x:f>'两日价格与决策'!AR10</x:f>
        <x:v>45657</x:v>
      </x:c>
      <x:c r="AS10" s="17" t="n">
        <x:f>'两日价格与决策'!AS10</x:f>
        <x:v>45657.947916666664</x:v>
      </x:c>
      <x:c r="AT10" s="18" t="str">
        <x:f>'两日价格与决策'!AT10</x:f>
        <x:v>2024-12-31_24</x:v>
      </x:c>
      <x:c r="AU10" s="19" t="n">
        <x:f>'两日价格与决策'!AU10</x:f>
        <x:v>60</x:v>
      </x:c>
      <x:c r="AV10" s="18" t="str">
        <x:f>'两日价格与决策'!AV10</x:f>
        <x:v>OK</x:v>
      </x:c>
    </x:row>
    <x:row r="11" ht="21" customHeight="1">
      <x:c r="A11" s="17" t="n">
        <x:f>'两日价格与决策'!A11</x:f>
        <x:v>45658.041666666664</x:v>
      </x:c>
      <x:c r="B11" s="23" t="n">
        <x:f>'两日价格与决策'!B11</x:f>
        <x:v>138.7</x:v>
      </x:c>
      <x:c r="C11" s="23" t="str">
        <x:f>'两日价格与决策'!C11</x:f>
        <x:v>缺失</x:v>
      </x:c>
      <x:c r="D11" s="23" t="n">
        <x:f>'两日价格与决策'!D11</x:f>
        <x:v>13.670814820771596</x:v>
      </x:c>
      <x:c r="E11" s="23" t="n">
        <x:f>'两日价格与决策'!E11</x:f>
        <x:v>14.710198829939085</x:v>
      </x:c>
      <x:c r="F11" s="23" t="n">
        <x:f>'两日价格与决策'!F11</x:f>
        <x:v>136.70814820771596</x:v>
      </x:c>
      <x:c r="G11" s="23" t="n">
        <x:f>'两日价格与决策'!G11</x:f>
        <x:v>60.1113769325104</x:v>
      </x:c>
      <x:c r="H11" s="23" t="str">
        <x:f>'两日价格与决策'!H11</x:f>
        <x:v>未模拟</x:v>
      </x:c>
      <x:c r="I11" s="24" t="n">
        <x:f>'两日价格与决策'!I11</x:f>
        <x:v>10</x:v>
      </x:c>
      <x:c r="J11" s="24" t="n">
        <x:f>'两日价格与决策'!J11</x:f>
        <x:v>10</x:v>
      </x:c>
      <x:c r="K11" s="24" t="n">
        <x:f>'两日价格与决策'!K11</x:f>
        <x:v>0</x:v>
      </x:c>
      <x:c r="L11" s="24" t="n">
        <x:f>'两日价格与决策'!L11</x:f>
        <x:v>0</x:v>
      </x:c>
      <x:c r="M11" s="24" t="n">
        <x:f>'两日价格与决策'!M11</x:f>
        <x:v>0</x:v>
      </x:c>
      <x:c r="N11" s="24" t="n">
        <x:f>'两日价格与决策'!N11</x:f>
        <x:v>0</x:v>
      </x:c>
      <x:c r="O11" s="24" t="n">
        <x:f>'两日价格与决策'!O11</x:f>
        <x:v>0</x:v>
      </x:c>
      <x:c r="P11" s="24" t="n">
        <x:f>'两日价格与决策'!P11</x:f>
        <x:v>0</x:v>
      </x:c>
      <x:c r="Q11" s="25" t="n">
        <x:f>'两日价格与决策'!Q11</x:f>
        <x:v>0</x:v>
      </x:c>
      <x:c r="R11" s="25" t="n">
        <x:f>'两日价格与决策'!R11</x:f>
        <x:v>0</x:v>
      </x:c>
      <x:c r="S11" s="25" t="n">
        <x:f>'两日价格与决策'!S11</x:f>
        <x:v>0</x:v>
      </x:c>
      <x:c r="T11" s="25" t="n">
        <x:f>'两日价格与决策'!T11</x:f>
        <x:v>0</x:v>
      </x:c>
      <x:c r="U11" s="25" t="n">
        <x:f>'两日价格与决策'!U11</x:f>
        <x:v>0</x:v>
      </x:c>
      <x:c r="V11" s="25" t="n">
        <x:f>'两日价格与决策'!V11</x:f>
        <x:v>0</x:v>
      </x:c>
      <x:c r="W11" s="25" t="n">
        <x:f>'两日价格与决策'!W11</x:f>
        <x:v>0</x:v>
      </x:c>
      <x:c r="X11" s="18" t="n">
        <x:f>'两日价格与决策'!X11</x:f>
        <x:v>0</x:v>
      </x:c>
      <x:c r="Y11" s="18" t="n">
        <x:f>'两日价格与决策'!Y11</x:f>
        <x:v>0</x:v>
      </x:c>
      <x:c r="Z11" s="18" t="str">
        <x:f>'两日价格与决策'!Z11</x:f>
        <x:v>1月1日执行｜初始化零订单</x:v>
      </x:c>
      <x:c r="AA11" s="19" t="n">
        <x:f>'两日价格与决策'!AA11</x:f>
        <x:v>1</x:v>
      </x:c>
      <x:c r="AB11" s="19" t="n">
        <x:f>'两日价格与决策'!AB11</x:f>
        <x:v>0</x:v>
      </x:c>
      <x:c r="AC11" s="18" t="n">
        <x:f>'两日价格与决策'!AC11</x:f>
        <x:v>0.25</x:v>
      </x:c>
      <x:c r="AD11" s="20" t="n">
        <x:f>'两日价格与决策'!AD11</x:f>
        <x:v>1</x:v>
      </x:c>
      <x:c r="AE11" s="20" t="n">
        <x:f>'两日价格与决策'!AE11</x:f>
        <x:v>0.005520000000000001</x:v>
      </x:c>
      <x:c r="AF11" s="20" t="n">
        <x:f>'两日价格与决策'!AF11</x:f>
        <x:v>0.0003</x:v>
      </x:c>
      <x:c r="AG11" s="18" t="n">
        <x:f>'两日价格与决策'!AG11</x:f>
        <x:v>200</x:v>
      </x:c>
      <x:c r="AH11" s="18" t="n">
        <x:f>'两日价格与决策'!AH11</x:f>
        <x:v>200</x:v>
      </x:c>
      <x:c r="AI11" s="18" t="n">
        <x:f>'两日价格与决策'!AI11</x:f>
        <x:v>0.276</x:v>
      </x:c>
      <x:c r="AJ11" s="18" t="n">
        <x:f>'两日价格与决策'!AJ11</x:f>
        <x:v>0.015</x:v>
      </x:c>
      <x:c r="AK11" s="18" t="str">
        <x:f>'两日价格与决策'!AK11</x:f>
        <x:v>缺失</x:v>
      </x:c>
      <x:c r="AL11" s="18" t="n">
        <x:f>'两日价格与决策'!AL11</x:f>
        <x:v>0</x:v>
      </x:c>
      <x:c r="AM11" s="18" t="n">
        <x:f>'两日价格与决策'!AM11</x:f>
        <x:v>0</x:v>
      </x:c>
      <x:c r="AN11" s="18" t="n">
        <x:f>'两日价格与决策'!AN11</x:f>
        <x:v>0</x:v>
      </x:c>
      <x:c r="AO11" s="18" t="n">
        <x:f>'两日价格与决策'!AO11</x:f>
        <x:v>10</x:v>
      </x:c>
      <x:c r="AP11" s="18" t="n">
        <x:f>'两日价格与决策'!AP11</x:f>
        <x:v>0</x:v>
      </x:c>
      <x:c r="AQ11" s="18" t="n">
        <x:f>'两日价格与决策'!AQ11</x:f>
        <x:v>4.9741</x:v>
      </x:c>
      <x:c r="AR11" s="21" t="n">
        <x:f>'两日价格与决策'!AR11</x:f>
        <x:v>45657</x:v>
      </x:c>
      <x:c r="AS11" s="17" t="n">
        <x:f>'两日价格与决策'!AS11</x:f>
        <x:v>45657.958333333336</x:v>
      </x:c>
      <x:c r="AT11" s="18" t="str">
        <x:f>'两日价格与决策'!AT11</x:f>
        <x:v>2025-01-01_1</x:v>
      </x:c>
      <x:c r="AU11" s="19" t="n">
        <x:f>'两日价格与决策'!AU11</x:f>
        <x:v>60</x:v>
      </x:c>
      <x:c r="AV11" s="18" t="str">
        <x:f>'两日价格与决策'!AV11</x:f>
        <x:v>OK</x:v>
      </x:c>
    </x:row>
    <x:row r="12" ht="21" customHeight="1">
      <x:c r="A12" s="17" t="n">
        <x:f>'两日价格与决策'!A12</x:f>
        <x:v>45658.052083333336</x:v>
      </x:c>
      <x:c r="B12" s="23" t="n">
        <x:f>'两日价格与决策'!B12</x:f>
        <x:v>138.7</x:v>
      </x:c>
      <x:c r="C12" s="23" t="str">
        <x:f>'两日价格与决策'!C12</x:f>
        <x:v>缺失</x:v>
      </x:c>
      <x:c r="D12" s="23" t="n">
        <x:f>'两日价格与决策'!D12</x:f>
        <x:v>13.670814820771596</x:v>
      </x:c>
      <x:c r="E12" s="23" t="n">
        <x:f>'两日价格与决策'!E12</x:f>
        <x:v>14.710198829939085</x:v>
      </x:c>
      <x:c r="F12" s="23" t="n">
        <x:f>'两日价格与决策'!F12</x:f>
        <x:v>136.70814820771596</x:v>
      </x:c>
      <x:c r="G12" s="23" t="n">
        <x:f>'两日价格与决策'!G12</x:f>
        <x:v>60.1113769325104</x:v>
      </x:c>
      <x:c r="H12" s="23" t="str">
        <x:f>'两日价格与决策'!H12</x:f>
        <x:v>未模拟</x:v>
      </x:c>
      <x:c r="I12" s="24" t="n">
        <x:f>'两日价格与决策'!I12</x:f>
        <x:v>10</x:v>
      </x:c>
      <x:c r="J12" s="24" t="n">
        <x:f>'两日价格与决策'!J12</x:f>
        <x:v>10</x:v>
      </x:c>
      <x:c r="K12" s="24" t="n">
        <x:f>'两日价格与决策'!K12</x:f>
        <x:v>0</x:v>
      </x:c>
      <x:c r="L12" s="24" t="n">
        <x:f>'两日价格与决策'!L12</x:f>
        <x:v>0</x:v>
      </x:c>
      <x:c r="M12" s="24" t="n">
        <x:f>'两日价格与决策'!M12</x:f>
        <x:v>0</x:v>
      </x:c>
      <x:c r="N12" s="24" t="n">
        <x:f>'两日价格与决策'!N12</x:f>
        <x:v>0</x:v>
      </x:c>
      <x:c r="O12" s="24" t="n">
        <x:f>'两日价格与决策'!O12</x:f>
        <x:v>0</x:v>
      </x:c>
      <x:c r="P12" s="24" t="n">
        <x:f>'两日价格与决策'!P12</x:f>
        <x:v>0</x:v>
      </x:c>
      <x:c r="Q12" s="25" t="n">
        <x:f>'两日价格与决策'!Q12</x:f>
        <x:v>0</x:v>
      </x:c>
      <x:c r="R12" s="25" t="n">
        <x:f>'两日价格与决策'!R12</x:f>
        <x:v>0</x:v>
      </x:c>
      <x:c r="S12" s="25" t="n">
        <x:f>'两日价格与决策'!S12</x:f>
        <x:v>0</x:v>
      </x:c>
      <x:c r="T12" s="25" t="n">
        <x:f>'两日价格与决策'!T12</x:f>
        <x:v>0</x:v>
      </x:c>
      <x:c r="U12" s="25" t="n">
        <x:f>'两日价格与决策'!U12</x:f>
        <x:v>0</x:v>
      </x:c>
      <x:c r="V12" s="25" t="n">
        <x:f>'两日价格与决策'!V12</x:f>
        <x:v>0</x:v>
      </x:c>
      <x:c r="W12" s="25" t="n">
        <x:f>'两日价格与决策'!W12</x:f>
        <x:v>0</x:v>
      </x:c>
      <x:c r="X12" s="18" t="n">
        <x:f>'两日价格与决策'!X12</x:f>
        <x:v>0</x:v>
      </x:c>
      <x:c r="Y12" s="18" t="n">
        <x:f>'两日价格与决策'!Y12</x:f>
        <x:v>0</x:v>
      </x:c>
      <x:c r="Z12" s="18" t="str">
        <x:f>'两日价格与决策'!Z12</x:f>
        <x:v>1月1日执行｜初始化零订单</x:v>
      </x:c>
      <x:c r="AA12" s="19" t="n">
        <x:f>'两日价格与决策'!AA12</x:f>
        <x:v>1</x:v>
      </x:c>
      <x:c r="AB12" s="19" t="n">
        <x:f>'两日价格与决策'!AB12</x:f>
        <x:v>0</x:v>
      </x:c>
      <x:c r="AC12" s="18" t="n">
        <x:f>'两日价格与决策'!AC12</x:f>
        <x:v>0.25</x:v>
      </x:c>
      <x:c r="AD12" s="20" t="n">
        <x:f>'两日价格与决策'!AD12</x:f>
        <x:v>1</x:v>
      </x:c>
      <x:c r="AE12" s="20" t="n">
        <x:f>'两日价格与决策'!AE12</x:f>
        <x:v>0.00256</x:v>
      </x:c>
      <x:c r="AF12" s="20" t="n">
        <x:f>'两日价格与决策'!AF12</x:f>
        <x:v>0.00028000000000000003</x:v>
      </x:c>
      <x:c r="AG12" s="18" t="n">
        <x:f>'两日价格与决策'!AG12</x:f>
        <x:v>200</x:v>
      </x:c>
      <x:c r="AH12" s="18" t="n">
        <x:f>'两日价格与决策'!AH12</x:f>
        <x:v>200</x:v>
      </x:c>
      <x:c r="AI12" s="18" t="n">
        <x:f>'两日价格与决策'!AI12</x:f>
        <x:v>0.128</x:v>
      </x:c>
      <x:c r="AJ12" s="18" t="n">
        <x:f>'两日价格与决策'!AJ12</x:f>
        <x:v>0.014</x:v>
      </x:c>
      <x:c r="AK12" s="18" t="str">
        <x:f>'两日价格与决策'!AK12</x:f>
        <x:v>缺失</x:v>
      </x:c>
      <x:c r="AL12" s="18" t="n">
        <x:f>'两日价格与决策'!AL12</x:f>
        <x:v>0</x:v>
      </x:c>
      <x:c r="AM12" s="18" t="n">
        <x:f>'两日价格与决策'!AM12</x:f>
        <x:v>0</x:v>
      </x:c>
      <x:c r="AN12" s="18" t="n">
        <x:f>'两日价格与决策'!AN12</x:f>
        <x:v>0</x:v>
      </x:c>
      <x:c r="AO12" s="18" t="n">
        <x:f>'两日价格与决策'!AO12</x:f>
        <x:v>10</x:v>
      </x:c>
      <x:c r="AP12" s="18" t="n">
        <x:f>'两日价格与决策'!AP12</x:f>
        <x:v>0</x:v>
      </x:c>
      <x:c r="AQ12" s="18" t="n">
        <x:f>'两日价格与决策'!AQ12</x:f>
        <x:v>4.9741</x:v>
      </x:c>
      <x:c r="AR12" s="21" t="n">
        <x:f>'两日价格与决策'!AR12</x:f>
        <x:v>45657</x:v>
      </x:c>
      <x:c r="AS12" s="17" t="n">
        <x:f>'两日价格与决策'!AS12</x:f>
        <x:v>45657.96875</x:v>
      </x:c>
      <x:c r="AT12" s="18" t="str">
        <x:f>'两日价格与决策'!AT12</x:f>
        <x:v>2025-01-01_1</x:v>
      </x:c>
      <x:c r="AU12" s="19" t="n">
        <x:f>'两日价格与决策'!AU12</x:f>
        <x:v>60</x:v>
      </x:c>
      <x:c r="AV12" s="18" t="str">
        <x:f>'两日价格与决策'!AV12</x:f>
        <x:v>OK</x:v>
      </x:c>
    </x:row>
    <x:row r="13" ht="21" customHeight="1">
      <x:c r="A13" s="17" t="n">
        <x:f>'两日价格与决策'!A13</x:f>
        <x:v>45658.0625</x:v>
      </x:c>
      <x:c r="B13" s="23" t="n">
        <x:f>'两日价格与决策'!B13</x:f>
        <x:v>138.7</x:v>
      </x:c>
      <x:c r="C13" s="23" t="str">
        <x:f>'两日价格与决策'!C13</x:f>
        <x:v>缺失</x:v>
      </x:c>
      <x:c r="D13" s="23" t="n">
        <x:f>'两日价格与决策'!D13</x:f>
        <x:v>13.670814820771596</x:v>
      </x:c>
      <x:c r="E13" s="23" t="n">
        <x:f>'两日价格与决策'!E13</x:f>
        <x:v>14.710198829939085</x:v>
      </x:c>
      <x:c r="F13" s="23" t="n">
        <x:f>'两日价格与决策'!F13</x:f>
        <x:v>136.70814820771596</x:v>
      </x:c>
      <x:c r="G13" s="23" t="n">
        <x:f>'两日价格与决策'!G13</x:f>
        <x:v>59.9069178343821</x:v>
      </x:c>
      <x:c r="H13" s="23" t="str">
        <x:f>'两日价格与决策'!H13</x:f>
        <x:v>未模拟</x:v>
      </x:c>
      <x:c r="I13" s="24" t="n">
        <x:f>'两日价格与决策'!I13</x:f>
        <x:v>10</x:v>
      </x:c>
      <x:c r="J13" s="24" t="n">
        <x:f>'两日价格与决策'!J13</x:f>
        <x:v>10</x:v>
      </x:c>
      <x:c r="K13" s="24" t="n">
        <x:f>'两日价格与决策'!K13</x:f>
        <x:v>0</x:v>
      </x:c>
      <x:c r="L13" s="24" t="n">
        <x:f>'两日价格与决策'!L13</x:f>
        <x:v>0</x:v>
      </x:c>
      <x:c r="M13" s="24" t="n">
        <x:f>'两日价格与决策'!M13</x:f>
        <x:v>0</x:v>
      </x:c>
      <x:c r="N13" s="24" t="n">
        <x:f>'两日价格与决策'!N13</x:f>
        <x:v>0</x:v>
      </x:c>
      <x:c r="O13" s="24" t="n">
        <x:f>'两日价格与决策'!O13</x:f>
        <x:v>0</x:v>
      </x:c>
      <x:c r="P13" s="24" t="n">
        <x:f>'两日价格与决策'!P13</x:f>
        <x:v>0</x:v>
      </x:c>
      <x:c r="Q13" s="25" t="n">
        <x:f>'两日价格与决策'!Q13</x:f>
        <x:v>0</x:v>
      </x:c>
      <x:c r="R13" s="25" t="n">
        <x:f>'两日价格与决策'!R13</x:f>
        <x:v>0</x:v>
      </x:c>
      <x:c r="S13" s="25" t="n">
        <x:f>'两日价格与决策'!S13</x:f>
        <x:v>0</x:v>
      </x:c>
      <x:c r="T13" s="25" t="n">
        <x:f>'两日价格与决策'!T13</x:f>
        <x:v>0</x:v>
      </x:c>
      <x:c r="U13" s="25" t="n">
        <x:f>'两日价格与决策'!U13</x:f>
        <x:v>0</x:v>
      </x:c>
      <x:c r="V13" s="25" t="n">
        <x:f>'两日价格与决策'!V13</x:f>
        <x:v>0</x:v>
      </x:c>
      <x:c r="W13" s="25" t="n">
        <x:f>'两日价格与决策'!W13</x:f>
        <x:v>0</x:v>
      </x:c>
      <x:c r="X13" s="18" t="n">
        <x:f>'两日价格与决策'!X13</x:f>
        <x:v>0</x:v>
      </x:c>
      <x:c r="Y13" s="18" t="n">
        <x:f>'两日价格与决策'!Y13</x:f>
        <x:v>0</x:v>
      </x:c>
      <x:c r="Z13" s="18" t="str">
        <x:f>'两日价格与决策'!Z13</x:f>
        <x:v>1月1日执行｜初始化零订单</x:v>
      </x:c>
      <x:c r="AA13" s="19" t="n">
        <x:f>'两日价格与决策'!AA13</x:f>
        <x:v>1</x:v>
      </x:c>
      <x:c r="AB13" s="19" t="n">
        <x:f>'两日价格与决策'!AB13</x:f>
        <x:v>0</x:v>
      </x:c>
      <x:c r="AC13" s="18" t="n">
        <x:f>'两日价格与决策'!AC13</x:f>
        <x:v>0.25</x:v>
      </x:c>
      <x:c r="AD13" s="20" t="n">
        <x:f>'两日价格与决策'!AD13</x:f>
        <x:v>1</x:v>
      </x:c>
      <x:c r="AE13" s="20" t="n">
        <x:f>'两日价格与决策'!AE13</x:f>
        <x:v>0.00046</x:v>
      </x:c>
      <x:c r="AF13" s="20" t="n">
        <x:f>'两日价格与决策'!AF13</x:f>
        <x:v>0.0023</x:v>
      </x:c>
      <x:c r="AG13" s="18" t="n">
        <x:f>'两日价格与决策'!AG13</x:f>
        <x:v>200</x:v>
      </x:c>
      <x:c r="AH13" s="18" t="n">
        <x:f>'两日价格与决策'!AH13</x:f>
        <x:v>200</x:v>
      </x:c>
      <x:c r="AI13" s="18" t="n">
        <x:f>'两日价格与决策'!AI13</x:f>
        <x:v>0.023</x:v>
      </x:c>
      <x:c r="AJ13" s="18" t="n">
        <x:f>'两日价格与决策'!AJ13</x:f>
        <x:v>0.115</x:v>
      </x:c>
      <x:c r="AK13" s="18" t="str">
        <x:f>'两日价格与决策'!AK13</x:f>
        <x:v>缺失</x:v>
      </x:c>
      <x:c r="AL13" s="18" t="n">
        <x:f>'两日价格与决策'!AL13</x:f>
        <x:v>0</x:v>
      </x:c>
      <x:c r="AM13" s="18" t="n">
        <x:f>'两日价格与决策'!AM13</x:f>
        <x:v>0</x:v>
      </x:c>
      <x:c r="AN13" s="18" t="n">
        <x:f>'两日价格与决策'!AN13</x:f>
        <x:v>0</x:v>
      </x:c>
      <x:c r="AO13" s="18" t="n">
        <x:f>'两日价格与决策'!AO13</x:f>
        <x:v>10</x:v>
      </x:c>
      <x:c r="AP13" s="18" t="n">
        <x:f>'两日价格与决策'!AP13</x:f>
        <x:v>0</x:v>
      </x:c>
      <x:c r="AQ13" s="18" t="n">
        <x:f>'两日价格与决策'!AQ13</x:f>
        <x:v>4.9741</x:v>
      </x:c>
      <x:c r="AR13" s="21" t="n">
        <x:f>'两日价格与决策'!AR13</x:f>
        <x:v>45657</x:v>
      </x:c>
      <x:c r="AS13" s="17" t="n">
        <x:f>'两日价格与决策'!AS13</x:f>
        <x:v>45657.979166666664</x:v>
      </x:c>
      <x:c r="AT13" s="18" t="str">
        <x:f>'两日价格与决策'!AT13</x:f>
        <x:v>2025-01-01_1</x:v>
      </x:c>
      <x:c r="AU13" s="19" t="n">
        <x:f>'两日价格与决策'!AU13</x:f>
        <x:v>60</x:v>
      </x:c>
      <x:c r="AV13" s="18" t="str">
        <x:f>'两日价格与决策'!AV13</x:f>
        <x:v>OK</x:v>
      </x:c>
    </x:row>
    <x:row r="14" ht="21" customHeight="1">
      <x:c r="A14" s="17" t="n">
        <x:f>'两日价格与决策'!A14</x:f>
        <x:v>45658.072916666664</x:v>
      </x:c>
      <x:c r="B14" s="23" t="n">
        <x:f>'两日价格与决策'!B14</x:f>
        <x:v>138.7</x:v>
      </x:c>
      <x:c r="C14" s="23" t="str">
        <x:f>'两日价格与决策'!C14</x:f>
        <x:v>缺失</x:v>
      </x:c>
      <x:c r="D14" s="23" t="n">
        <x:f>'两日价格与决策'!D14</x:f>
        <x:v>13.670814820771596</x:v>
      </x:c>
      <x:c r="E14" s="23" t="n">
        <x:f>'两日价格与决策'!E14</x:f>
        <x:v>14.710198829939085</x:v>
      </x:c>
      <x:c r="F14" s="23" t="n">
        <x:f>'两日价格与决策'!F14</x:f>
        <x:v>136.70814820771596</x:v>
      </x:c>
      <x:c r="G14" s="23" t="n">
        <x:f>'两日价格与决策'!G14</x:f>
        <x:v>60.062925956454436</x:v>
      </x:c>
      <x:c r="H14" s="23" t="str">
        <x:f>'两日价格与决策'!H14</x:f>
        <x:v>未模拟</x:v>
      </x:c>
      <x:c r="I14" s="24" t="n">
        <x:f>'两日价格与决策'!I14</x:f>
        <x:v>10</x:v>
      </x:c>
      <x:c r="J14" s="24" t="n">
        <x:f>'两日价格与决策'!J14</x:f>
        <x:v>10</x:v>
      </x:c>
      <x:c r="K14" s="24" t="n">
        <x:f>'两日价格与决策'!K14</x:f>
        <x:v>0</x:v>
      </x:c>
      <x:c r="L14" s="24" t="n">
        <x:f>'两日价格与决策'!L14</x:f>
        <x:v>0</x:v>
      </x:c>
      <x:c r="M14" s="24" t="n">
        <x:f>'两日价格与决策'!M14</x:f>
        <x:v>0</x:v>
      </x:c>
      <x:c r="N14" s="24" t="n">
        <x:f>'两日价格与决策'!N14</x:f>
        <x:v>0</x:v>
      </x:c>
      <x:c r="O14" s="24" t="n">
        <x:f>'两日价格与决策'!O14</x:f>
        <x:v>0</x:v>
      </x:c>
      <x:c r="P14" s="24" t="n">
        <x:f>'两日价格与决策'!P14</x:f>
        <x:v>0</x:v>
      </x:c>
      <x:c r="Q14" s="25" t="n">
        <x:f>'两日价格与决策'!Q14</x:f>
        <x:v>0</x:v>
      </x:c>
      <x:c r="R14" s="25" t="n">
        <x:f>'两日价格与决策'!R14</x:f>
        <x:v>0</x:v>
      </x:c>
      <x:c r="S14" s="25" t="n">
        <x:f>'两日价格与决策'!S14</x:f>
        <x:v>0</x:v>
      </x:c>
      <x:c r="T14" s="25" t="n">
        <x:f>'两日价格与决策'!T14</x:f>
        <x:v>0</x:v>
      </x:c>
      <x:c r="U14" s="25" t="n">
        <x:f>'两日价格与决策'!U14</x:f>
        <x:v>0</x:v>
      </x:c>
      <x:c r="V14" s="25" t="n">
        <x:f>'两日价格与决策'!V14</x:f>
        <x:v>0</x:v>
      </x:c>
      <x:c r="W14" s="25" t="n">
        <x:f>'两日价格与决策'!W14</x:f>
        <x:v>0</x:v>
      </x:c>
      <x:c r="X14" s="18" t="n">
        <x:f>'两日价格与决策'!X14</x:f>
        <x:v>0</x:v>
      </x:c>
      <x:c r="Y14" s="18" t="n">
        <x:f>'两日价格与决策'!Y14</x:f>
        <x:v>0</x:v>
      </x:c>
      <x:c r="Z14" s="18" t="str">
        <x:f>'两日价格与决策'!Z14</x:f>
        <x:v>1月1日执行｜初始化零订单</x:v>
      </x:c>
      <x:c r="AA14" s="19" t="n">
        <x:f>'两日价格与决策'!AA14</x:f>
        <x:v>1</x:v>
      </x:c>
      <x:c r="AB14" s="19" t="n">
        <x:f>'两日价格与决策'!AB14</x:f>
        <x:v>0</x:v>
      </x:c>
      <x:c r="AC14" s="18" t="n">
        <x:f>'两日价格与决策'!AC14</x:f>
        <x:v>0.25</x:v>
      </x:c>
      <x:c r="AD14" s="20" t="n">
        <x:f>'两日价格与决策'!AD14</x:f>
        <x:v>1</x:v>
      </x:c>
      <x:c r="AE14" s="20" t="n">
        <x:f>'两日价格与决策'!AE14</x:f>
        <x:v>0.00156</x:v>
      </x:c>
      <x:c r="AF14" s="20" t="n">
        <x:f>'两日价格与决策'!AF14</x:f>
        <x:v>0.0022400000000000002</x:v>
      </x:c>
      <x:c r="AG14" s="18" t="n">
        <x:f>'两日价格与决策'!AG14</x:f>
        <x:v>200</x:v>
      </x:c>
      <x:c r="AH14" s="18" t="n">
        <x:f>'两日价格与决策'!AH14</x:f>
        <x:v>200</x:v>
      </x:c>
      <x:c r="AI14" s="18" t="n">
        <x:f>'两日价格与决策'!AI14</x:f>
        <x:v>0.078</x:v>
      </x:c>
      <x:c r="AJ14" s="18" t="n">
        <x:f>'两日价格与决策'!AJ14</x:f>
        <x:v>0.112</x:v>
      </x:c>
      <x:c r="AK14" s="18" t="str">
        <x:f>'两日价格与决策'!AK14</x:f>
        <x:v>缺失</x:v>
      </x:c>
      <x:c r="AL14" s="18" t="n">
        <x:f>'两日价格与决策'!AL14</x:f>
        <x:v>0</x:v>
      </x:c>
      <x:c r="AM14" s="18" t="n">
        <x:f>'两日价格与决策'!AM14</x:f>
        <x:v>0</x:v>
      </x:c>
      <x:c r="AN14" s="18" t="n">
        <x:f>'两日价格与决策'!AN14</x:f>
        <x:v>0</x:v>
      </x:c>
      <x:c r="AO14" s="18" t="n">
        <x:f>'两日价格与决策'!AO14</x:f>
        <x:v>10</x:v>
      </x:c>
      <x:c r="AP14" s="18" t="n">
        <x:f>'两日价格与决策'!AP14</x:f>
        <x:v>0</x:v>
      </x:c>
      <x:c r="AQ14" s="18" t="n">
        <x:f>'两日价格与决策'!AQ14</x:f>
        <x:v>4.9741</x:v>
      </x:c>
      <x:c r="AR14" s="21" t="n">
        <x:f>'两日价格与决策'!AR14</x:f>
        <x:v>45657</x:v>
      </x:c>
      <x:c r="AS14" s="17" t="n">
        <x:f>'两日价格与决策'!AS14</x:f>
        <x:v>45657.989583333336</x:v>
      </x:c>
      <x:c r="AT14" s="18" t="str">
        <x:f>'两日价格与决策'!AT14</x:f>
        <x:v>2025-01-01_1</x:v>
      </x:c>
      <x:c r="AU14" s="19" t="n">
        <x:f>'两日价格与决策'!AU14</x:f>
        <x:v>60</x:v>
      </x:c>
      <x:c r="AV14" s="18" t="str">
        <x:f>'两日价格与决策'!AV14</x:f>
        <x:v>OK</x:v>
      </x:c>
    </x:row>
    <x:row r="15" ht="21" customHeight="1">
      <x:c r="A15" s="17" t="n">
        <x:f>'两日价格与决策'!A15</x:f>
        <x:v>45658.083333333336</x:v>
      </x:c>
      <x:c r="B15" s="23" t="n">
        <x:f>'两日价格与决策'!B15</x:f>
        <x:v>134.06</x:v>
      </x:c>
      <x:c r="C15" s="23" t="str">
        <x:f>'两日价格与决策'!C15</x:f>
        <x:v>缺失</x:v>
      </x:c>
      <x:c r="D15" s="23" t="n">
        <x:f>'两日价格与决策'!D15</x:f>
        <x:v>13.71102309965622</x:v>
      </x:c>
      <x:c r="E15" s="23" t="n">
        <x:f>'两日价格与决策'!E15</x:f>
        <x:v>14.710198829939085</x:v>
      </x:c>
      <x:c r="F15" s="23" t="n">
        <x:f>'两日价格与决策'!F15</x:f>
        <x:v>166.07647614643855</x:v>
      </x:c>
      <x:c r="G15" s="23" t="n">
        <x:f>'两日价格与决策'!G15</x:f>
        <x:v>0</x:v>
      </x:c>
      <x:c r="H15" s="23" t="str">
        <x:f>'两日价格与决策'!H15</x:f>
        <x:v>未模拟</x:v>
      </x:c>
      <x:c r="I15" s="24" t="n">
        <x:f>'两日价格与决策'!I15</x:f>
        <x:v>10</x:v>
      </x:c>
      <x:c r="J15" s="24" t="n">
        <x:f>'两日价格与决策'!J15</x:f>
        <x:v>10</x:v>
      </x:c>
      <x:c r="K15" s="24" t="n">
        <x:f>'两日价格与决策'!K15</x:f>
        <x:v>0</x:v>
      </x:c>
      <x:c r="L15" s="24" t="n">
        <x:f>'两日价格与决策'!L15</x:f>
        <x:v>0</x:v>
      </x:c>
      <x:c r="M15" s="24" t="n">
        <x:f>'两日价格与决策'!M15</x:f>
        <x:v>0</x:v>
      </x:c>
      <x:c r="N15" s="24" t="n">
        <x:f>'两日价格与决策'!N15</x:f>
        <x:v>0</x:v>
      </x:c>
      <x:c r="O15" s="24" t="n">
        <x:f>'两日价格与决策'!O15</x:f>
        <x:v>0</x:v>
      </x:c>
      <x:c r="P15" s="24" t="n">
        <x:f>'两日价格与决策'!P15</x:f>
        <x:v>0</x:v>
      </x:c>
      <x:c r="Q15" s="25" t="n">
        <x:f>'两日价格与决策'!Q15</x:f>
        <x:v>0</x:v>
      </x:c>
      <x:c r="R15" s="25" t="n">
        <x:f>'两日价格与决策'!R15</x:f>
        <x:v>0</x:v>
      </x:c>
      <x:c r="S15" s="25" t="n">
        <x:f>'两日价格与决策'!S15</x:f>
        <x:v>0</x:v>
      </x:c>
      <x:c r="T15" s="25" t="n">
        <x:f>'两日价格与决策'!T15</x:f>
        <x:v>0</x:v>
      </x:c>
      <x:c r="U15" s="25" t="n">
        <x:f>'两日价格与决策'!U15</x:f>
        <x:v>0</x:v>
      </x:c>
      <x:c r="V15" s="25" t="n">
        <x:f>'两日价格与决策'!V15</x:f>
        <x:v>0</x:v>
      </x:c>
      <x:c r="W15" s="25" t="n">
        <x:f>'两日价格与决策'!W15</x:f>
        <x:v>0</x:v>
      </x:c>
      <x:c r="X15" s="18" t="n">
        <x:f>'两日价格与决策'!X15</x:f>
        <x:v>0</x:v>
      </x:c>
      <x:c r="Y15" s="18" t="n">
        <x:f>'两日价格与决策'!Y15</x:f>
        <x:v>0</x:v>
      </x:c>
      <x:c r="Z15" s="18" t="str">
        <x:f>'两日价格与决策'!Z15</x:f>
        <x:v>1月1日执行｜初始化零订单</x:v>
      </x:c>
      <x:c r="AA15" s="19" t="n">
        <x:f>'两日价格与决策'!AA15</x:f>
        <x:v>1</x:v>
      </x:c>
      <x:c r="AB15" s="19" t="n">
        <x:f>'两日价格与决策'!AB15</x:f>
        <x:v>0</x:v>
      </x:c>
      <x:c r="AC15" s="18" t="n">
        <x:f>'两日价格与决策'!AC15</x:f>
        <x:v>0.25</x:v>
      </x:c>
      <x:c r="AD15" s="20" t="n">
        <x:f>'两日价格与决策'!AD15</x:f>
        <x:v>1</x:v>
      </x:c>
      <x:c r="AE15" s="20" t="n">
        <x:f>'两日价格与决策'!AE15</x:f>
        <x:v>0.10674</x:v>
      </x:c>
      <x:c r="AF15" s="20" t="n">
        <x:f>'两日价格与决策'!AF15</x:f>
        <x:v>0</x:v>
      </x:c>
      <x:c r="AG15" s="18" t="n">
        <x:f>'两日价格与决策'!AG15</x:f>
        <x:v>200</x:v>
      </x:c>
      <x:c r="AH15" s="18" t="n">
        <x:f>'两日价格与决策'!AH15</x:f>
        <x:v>200</x:v>
      </x:c>
      <x:c r="AI15" s="18" t="n">
        <x:f>'两日价格与决策'!AI15</x:f>
        <x:v>5.337</x:v>
      </x:c>
      <x:c r="AJ15" s="18" t="n">
        <x:f>'两日价格与决策'!AJ15</x:f>
        <x:v>0</x:v>
      </x:c>
      <x:c r="AK15" s="18" t="str">
        <x:f>'两日价格与决策'!AK15</x:f>
        <x:v>缺失</x:v>
      </x:c>
      <x:c r="AL15" s="18" t="n">
        <x:f>'两日价格与决策'!AL15</x:f>
        <x:v>0</x:v>
      </x:c>
      <x:c r="AM15" s="18" t="n">
        <x:f>'两日价格与决策'!AM15</x:f>
        <x:v>0</x:v>
      </x:c>
      <x:c r="AN15" s="18" t="n">
        <x:f>'两日价格与决策'!AN15</x:f>
        <x:v>0</x:v>
      </x:c>
      <x:c r="AO15" s="18" t="n">
        <x:f>'两日价格与决策'!AO15</x:f>
        <x:v>10</x:v>
      </x:c>
      <x:c r="AP15" s="18" t="n">
        <x:f>'两日价格与决策'!AP15</x:f>
        <x:v>0</x:v>
      </x:c>
      <x:c r="AQ15" s="18" t="n">
        <x:f>'两日价格与决策'!AQ15</x:f>
        <x:v>4.9741</x:v>
      </x:c>
      <x:c r="AR15" s="21" t="n">
        <x:f>'两日价格与决策'!AR15</x:f>
        <x:v>45657</x:v>
      </x:c>
      <x:c r="AS15" s="17" t="n">
        <x:f>'两日价格与决策'!AS15</x:f>
        <x:v>45658</x:v>
      </x:c>
      <x:c r="AT15" s="18" t="str">
        <x:f>'两日价格与决策'!AT15</x:f>
        <x:v>2025-01-01_2</x:v>
      </x:c>
      <x:c r="AU15" s="19" t="n">
        <x:f>'两日价格与决策'!AU15</x:f>
        <x:v>60</x:v>
      </x:c>
      <x:c r="AV15" s="18" t="str">
        <x:f>'两日价格与决策'!AV15</x:f>
        <x:v>OK</x:v>
      </x:c>
    </x:row>
    <x:row r="16" ht="21" customHeight="1">
      <x:c r="A16" s="17" t="n">
        <x:f>'两日价格与决策'!A16</x:f>
        <x:v>45658.09375</x:v>
      </x:c>
      <x:c r="B16" s="23" t="n">
        <x:f>'两日价格与决策'!B16</x:f>
        <x:v>134.06</x:v>
      </x:c>
      <x:c r="C16" s="23" t="str">
        <x:f>'两日价格与决策'!C16</x:f>
        <x:v>缺失</x:v>
      </x:c>
      <x:c r="D16" s="23" t="n">
        <x:f>'两日价格与决策'!D16</x:f>
        <x:v>13.71102309965622</x:v>
      </x:c>
      <x:c r="E16" s="23" t="n">
        <x:f>'两日价格与决策'!E16</x:f>
        <x:v>14.710198829939085</x:v>
      </x:c>
      <x:c r="F16" s="23" t="n">
        <x:f>'两日价格与决策'!F16</x:f>
        <x:v>136.70814820771596</x:v>
      </x:c>
      <x:c r="G16" s="23" t="n">
        <x:f>'两日价格与决策'!G16</x:f>
        <x:v>0</x:v>
      </x:c>
      <x:c r="H16" s="23" t="str">
        <x:f>'两日价格与决策'!H16</x:f>
        <x:v>未模拟</x:v>
      </x:c>
      <x:c r="I16" s="24" t="n">
        <x:f>'两日价格与决策'!I16</x:f>
        <x:v>10</x:v>
      </x:c>
      <x:c r="J16" s="24" t="n">
        <x:f>'两日价格与决策'!J16</x:f>
        <x:v>10</x:v>
      </x:c>
      <x:c r="K16" s="24" t="n">
        <x:f>'两日价格与决策'!K16</x:f>
        <x:v>0</x:v>
      </x:c>
      <x:c r="L16" s="24" t="n">
        <x:f>'两日价格与决策'!L16</x:f>
        <x:v>0</x:v>
      </x:c>
      <x:c r="M16" s="24" t="n">
        <x:f>'两日价格与决策'!M16</x:f>
        <x:v>0</x:v>
      </x:c>
      <x:c r="N16" s="24" t="n">
        <x:f>'两日价格与决策'!N16</x:f>
        <x:v>0</x:v>
      </x:c>
      <x:c r="O16" s="24" t="n">
        <x:f>'两日价格与决策'!O16</x:f>
        <x:v>0</x:v>
      </x:c>
      <x:c r="P16" s="24" t="n">
        <x:f>'两日价格与决策'!P16</x:f>
        <x:v>0</x:v>
      </x:c>
      <x:c r="Q16" s="25" t="n">
        <x:f>'两日价格与决策'!Q16</x:f>
        <x:v>0</x:v>
      </x:c>
      <x:c r="R16" s="25" t="n">
        <x:f>'两日价格与决策'!R16</x:f>
        <x:v>0</x:v>
      </x:c>
      <x:c r="S16" s="25" t="n">
        <x:f>'两日价格与决策'!S16</x:f>
        <x:v>0</x:v>
      </x:c>
      <x:c r="T16" s="25" t="n">
        <x:f>'两日价格与决策'!T16</x:f>
        <x:v>0</x:v>
      </x:c>
      <x:c r="U16" s="25" t="n">
        <x:f>'两日价格与决策'!U16</x:f>
        <x:v>0</x:v>
      </x:c>
      <x:c r="V16" s="25" t="n">
        <x:f>'两日价格与决策'!V16</x:f>
        <x:v>0</x:v>
      </x:c>
      <x:c r="W16" s="25" t="n">
        <x:f>'两日价格与决策'!W16</x:f>
        <x:v>0</x:v>
      </x:c>
      <x:c r="X16" s="18" t="n">
        <x:f>'两日价格与决策'!X16</x:f>
        <x:v>0</x:v>
      </x:c>
      <x:c r="Y16" s="18" t="n">
        <x:f>'两日价格与决策'!Y16</x:f>
        <x:v>0</x:v>
      </x:c>
      <x:c r="Z16" s="18" t="str">
        <x:f>'两日价格与决策'!Z16</x:f>
        <x:v>1月1日执行｜初始化零订单</x:v>
      </x:c>
      <x:c r="AA16" s="19" t="n">
        <x:f>'两日价格与决策'!AA16</x:f>
        <x:v>1</x:v>
      </x:c>
      <x:c r="AB16" s="19" t="n">
        <x:f>'两日价格与决策'!AB16</x:f>
        <x:v>0</x:v>
      </x:c>
      <x:c r="AC16" s="18" t="n">
        <x:f>'两日价格与决策'!AC16</x:f>
        <x:v>0.25</x:v>
      </x:c>
      <x:c r="AD16" s="20" t="n">
        <x:f>'两日价格与决策'!AD16</x:f>
        <x:v>1</x:v>
      </x:c>
      <x:c r="AE16" s="20" t="n">
        <x:f>'两日价格与决策'!AE16</x:f>
        <x:v>0.018680000000000002</x:v>
      </x:c>
      <x:c r="AF16" s="20" t="n">
        <x:f>'两日价格与决策'!AF16</x:f>
        <x:v>0</x:v>
      </x:c>
      <x:c r="AG16" s="18" t="n">
        <x:f>'两日价格与决策'!AG16</x:f>
        <x:v>200</x:v>
      </x:c>
      <x:c r="AH16" s="18" t="n">
        <x:f>'两日价格与决策'!AH16</x:f>
        <x:v>200</x:v>
      </x:c>
      <x:c r="AI16" s="18" t="n">
        <x:f>'两日价格与决策'!AI16</x:f>
        <x:v>0.934</x:v>
      </x:c>
      <x:c r="AJ16" s="18" t="n">
        <x:f>'两日价格与决策'!AJ16</x:f>
        <x:v>0</x:v>
      </x:c>
      <x:c r="AK16" s="18" t="str">
        <x:f>'两日价格与决策'!AK16</x:f>
        <x:v>缺失</x:v>
      </x:c>
      <x:c r="AL16" s="18" t="n">
        <x:f>'两日价格与决策'!AL16</x:f>
        <x:v>0</x:v>
      </x:c>
      <x:c r="AM16" s="18" t="n">
        <x:f>'两日价格与决策'!AM16</x:f>
        <x:v>0</x:v>
      </x:c>
      <x:c r="AN16" s="18" t="n">
        <x:f>'两日价格与决策'!AN16</x:f>
        <x:v>0</x:v>
      </x:c>
      <x:c r="AO16" s="18" t="n">
        <x:f>'两日价格与决策'!AO16</x:f>
        <x:v>10</x:v>
      </x:c>
      <x:c r="AP16" s="18" t="n">
        <x:f>'两日价格与决策'!AP16</x:f>
        <x:v>0</x:v>
      </x:c>
      <x:c r="AQ16" s="18" t="n">
        <x:f>'两日价格与决策'!AQ16</x:f>
        <x:v>4.9741</x:v>
      </x:c>
      <x:c r="AR16" s="21" t="n">
        <x:f>'两日价格与决策'!AR16</x:f>
        <x:v>45657</x:v>
      </x:c>
      <x:c r="AS16" s="17" t="n">
        <x:f>'两日价格与决策'!AS16</x:f>
        <x:v>45658.010416666664</x:v>
      </x:c>
      <x:c r="AT16" s="18" t="str">
        <x:f>'两日价格与决策'!AT16</x:f>
        <x:v>2025-01-01_2</x:v>
      </x:c>
      <x:c r="AU16" s="19" t="n">
        <x:f>'两日价格与决策'!AU16</x:f>
        <x:v>60</x:v>
      </x:c>
      <x:c r="AV16" s="18" t="str">
        <x:f>'两日价格与决策'!AV16</x:f>
        <x:v>OK</x:v>
      </x:c>
    </x:row>
    <x:row r="17" ht="21" customHeight="1">
      <x:c r="A17" s="17" t="n">
        <x:f>'两日价格与决策'!A17</x:f>
        <x:v>45658.104166666664</x:v>
      </x:c>
      <x:c r="B17" s="23" t="n">
        <x:f>'两日价格与决策'!B17</x:f>
        <x:v>134.06</x:v>
      </x:c>
      <x:c r="C17" s="23" t="str">
        <x:f>'两日价格与决策'!C17</x:f>
        <x:v>缺失</x:v>
      </x:c>
      <x:c r="D17" s="23" t="n">
        <x:f>'两日价格与决策'!D17</x:f>
        <x:v>13.71102309965622</x:v>
      </x:c>
      <x:c r="E17" s="23" t="n">
        <x:f>'两日价格与决策'!E17</x:f>
        <x:v>14.710198829939085</x:v>
      </x:c>
      <x:c r="F17" s="23" t="n">
        <x:f>'两日价格与决策'!F17</x:f>
        <x:v>136.70814820771596</x:v>
      </x:c>
      <x:c r="G17" s="23" t="n">
        <x:f>'两日价格与决策'!G17</x:f>
        <x:v>60.1113769325104</x:v>
      </x:c>
      <x:c r="H17" s="23" t="str">
        <x:f>'两日价格与决策'!H17</x:f>
        <x:v>未模拟</x:v>
      </x:c>
      <x:c r="I17" s="24" t="n">
        <x:f>'两日价格与决策'!I17</x:f>
        <x:v>10</x:v>
      </x:c>
      <x:c r="J17" s="24" t="n">
        <x:f>'两日价格与决策'!J17</x:f>
        <x:v>10</x:v>
      </x:c>
      <x:c r="K17" s="24" t="n">
        <x:f>'两日价格与决策'!K17</x:f>
        <x:v>0</x:v>
      </x:c>
      <x:c r="L17" s="24" t="n">
        <x:f>'两日价格与决策'!L17</x:f>
        <x:v>0</x:v>
      </x:c>
      <x:c r="M17" s="24" t="n">
        <x:f>'两日价格与决策'!M17</x:f>
        <x:v>0</x:v>
      </x:c>
      <x:c r="N17" s="24" t="n">
        <x:f>'两日价格与决策'!N17</x:f>
        <x:v>0</x:v>
      </x:c>
      <x:c r="O17" s="24" t="n">
        <x:f>'两日价格与决策'!O17</x:f>
        <x:v>0</x:v>
      </x:c>
      <x:c r="P17" s="24" t="n">
        <x:f>'两日价格与决策'!P17</x:f>
        <x:v>0</x:v>
      </x:c>
      <x:c r="Q17" s="25" t="n">
        <x:f>'两日价格与决策'!Q17</x:f>
        <x:v>0</x:v>
      </x:c>
      <x:c r="R17" s="25" t="n">
        <x:f>'两日价格与决策'!R17</x:f>
        <x:v>0</x:v>
      </x:c>
      <x:c r="S17" s="25" t="n">
        <x:f>'两日价格与决策'!S17</x:f>
        <x:v>0</x:v>
      </x:c>
      <x:c r="T17" s="25" t="n">
        <x:f>'两日价格与决策'!T17</x:f>
        <x:v>0</x:v>
      </x:c>
      <x:c r="U17" s="25" t="n">
        <x:f>'两日价格与决策'!U17</x:f>
        <x:v>0</x:v>
      </x:c>
      <x:c r="V17" s="25" t="n">
        <x:f>'两日价格与决策'!V17</x:f>
        <x:v>0</x:v>
      </x:c>
      <x:c r="W17" s="25" t="n">
        <x:f>'两日价格与决策'!W17</x:f>
        <x:v>0</x:v>
      </x:c>
      <x:c r="X17" s="18" t="n">
        <x:f>'两日价格与决策'!X17</x:f>
        <x:v>0</x:v>
      </x:c>
      <x:c r="Y17" s="18" t="n">
        <x:f>'两日价格与决策'!Y17</x:f>
        <x:v>0</x:v>
      </x:c>
      <x:c r="Z17" s="18" t="str">
        <x:f>'两日价格与决策'!Z17</x:f>
        <x:v>1月1日执行｜初始化零订单</x:v>
      </x:c>
      <x:c r="AA17" s="19" t="n">
        <x:f>'两日价格与决策'!AA17</x:f>
        <x:v>1</x:v>
      </x:c>
      <x:c r="AB17" s="19" t="n">
        <x:f>'两日价格与决策'!AB17</x:f>
        <x:v>0</x:v>
      </x:c>
      <x:c r="AC17" s="18" t="n">
        <x:f>'两日价格与决策'!AC17</x:f>
        <x:v>0.25</x:v>
      </x:c>
      <x:c r="AD17" s="20" t="n">
        <x:f>'两日价格与决策'!AD17</x:f>
        <x:v>1</x:v>
      </x:c>
      <x:c r="AE17" s="20" t="n">
        <x:f>'两日价格与决策'!AE17</x:f>
        <x:v>0.0028399999999999996</x:v>
      </x:c>
      <x:c r="AF17" s="20" t="n">
        <x:f>'两日价格与决策'!AF17</x:f>
        <x:v>0.00016</x:v>
      </x:c>
      <x:c r="AG17" s="18" t="n">
        <x:f>'两日价格与决策'!AG17</x:f>
        <x:v>200</x:v>
      </x:c>
      <x:c r="AH17" s="18" t="n">
        <x:f>'两日价格与决策'!AH17</x:f>
        <x:v>200</x:v>
      </x:c>
      <x:c r="AI17" s="18" t="n">
        <x:f>'两日价格与决策'!AI17</x:f>
        <x:v>0.142</x:v>
      </x:c>
      <x:c r="AJ17" s="18" t="n">
        <x:f>'两日价格与决策'!AJ17</x:f>
        <x:v>0.008</x:v>
      </x:c>
      <x:c r="AK17" s="18" t="str">
        <x:f>'两日价格与决策'!AK17</x:f>
        <x:v>缺失</x:v>
      </x:c>
      <x:c r="AL17" s="18" t="n">
        <x:f>'两日价格与决策'!AL17</x:f>
        <x:v>0</x:v>
      </x:c>
      <x:c r="AM17" s="18" t="n">
        <x:f>'两日价格与决策'!AM17</x:f>
        <x:v>0</x:v>
      </x:c>
      <x:c r="AN17" s="18" t="n">
        <x:f>'两日价格与决策'!AN17</x:f>
        <x:v>0</x:v>
      </x:c>
      <x:c r="AO17" s="18" t="n">
        <x:f>'两日价格与决策'!AO17</x:f>
        <x:v>10</x:v>
      </x:c>
      <x:c r="AP17" s="18" t="n">
        <x:f>'两日价格与决策'!AP17</x:f>
        <x:v>0</x:v>
      </x:c>
      <x:c r="AQ17" s="18" t="n">
        <x:f>'两日价格与决策'!AQ17</x:f>
        <x:v>4.9741</x:v>
      </x:c>
      <x:c r="AR17" s="21" t="n">
        <x:f>'两日价格与决策'!AR17</x:f>
        <x:v>45657</x:v>
      </x:c>
      <x:c r="AS17" s="17" t="n">
        <x:f>'两日价格与决策'!AS17</x:f>
        <x:v>45658.020833333336</x:v>
      </x:c>
      <x:c r="AT17" s="18" t="str">
        <x:f>'两日价格与决策'!AT17</x:f>
        <x:v>2025-01-01_2</x:v>
      </x:c>
      <x:c r="AU17" s="19" t="n">
        <x:f>'两日价格与决策'!AU17</x:f>
        <x:v>60</x:v>
      </x:c>
      <x:c r="AV17" s="18" t="str">
        <x:f>'两日价格与决策'!AV17</x:f>
        <x:v>OK</x:v>
      </x:c>
    </x:row>
    <x:row r="18" ht="21" customHeight="1">
      <x:c r="A18" s="17" t="n">
        <x:f>'两日价格与决策'!A18</x:f>
        <x:v>45658.114583333336</x:v>
      </x:c>
      <x:c r="B18" s="23" t="n">
        <x:f>'两日价格与决策'!B18</x:f>
        <x:v>134.06</x:v>
      </x:c>
      <x:c r="C18" s="23" t="str">
        <x:f>'两日价格与决策'!C18</x:f>
        <x:v>缺失</x:v>
      </x:c>
      <x:c r="D18" s="23" t="n">
        <x:f>'两日价格与决策'!D18</x:f>
        <x:v>13.71102309965622</x:v>
      </x:c>
      <x:c r="E18" s="23" t="n">
        <x:f>'两日价格与决策'!E18</x:f>
        <x:v>14.710198829939085</x:v>
      </x:c>
      <x:c r="F18" s="23" t="n">
        <x:f>'两日价格与决策'!F18</x:f>
        <x:v>136.70814820771596</x:v>
      </x:c>
      <x:c r="G18" s="23" t="n">
        <x:f>'两日价格与决策'!G18</x:f>
        <x:v>58.3020043827024</x:v>
      </x:c>
      <x:c r="H18" s="23" t="str">
        <x:f>'两日价格与决策'!H18</x:f>
        <x:v>未模拟</x:v>
      </x:c>
      <x:c r="I18" s="24" t="n">
        <x:f>'两日价格与决策'!I18</x:f>
        <x:v>10</x:v>
      </x:c>
      <x:c r="J18" s="24" t="n">
        <x:f>'两日价格与决策'!J18</x:f>
        <x:v>10</x:v>
      </x:c>
      <x:c r="K18" s="24" t="n">
        <x:f>'两日价格与决策'!K18</x:f>
        <x:v>0</x:v>
      </x:c>
      <x:c r="L18" s="24" t="n">
        <x:f>'两日价格与决策'!L18</x:f>
        <x:v>0</x:v>
      </x:c>
      <x:c r="M18" s="24" t="n">
        <x:f>'两日价格与决策'!M18</x:f>
        <x:v>0</x:v>
      </x:c>
      <x:c r="N18" s="24" t="n">
        <x:f>'两日价格与决策'!N18</x:f>
        <x:v>0</x:v>
      </x:c>
      <x:c r="O18" s="24" t="n">
        <x:f>'两日价格与决策'!O18</x:f>
        <x:v>0</x:v>
      </x:c>
      <x:c r="P18" s="24" t="n">
        <x:f>'两日价格与决策'!P18</x:f>
        <x:v>0</x:v>
      </x:c>
      <x:c r="Q18" s="25" t="n">
        <x:f>'两日价格与决策'!Q18</x:f>
        <x:v>0</x:v>
      </x:c>
      <x:c r="R18" s="25" t="n">
        <x:f>'两日价格与决策'!R18</x:f>
        <x:v>0</x:v>
      </x:c>
      <x:c r="S18" s="25" t="n">
        <x:f>'两日价格与决策'!S18</x:f>
        <x:v>0</x:v>
      </x:c>
      <x:c r="T18" s="25" t="n">
        <x:f>'两日价格与决策'!T18</x:f>
        <x:v>0</x:v>
      </x:c>
      <x:c r="U18" s="25" t="n">
        <x:f>'两日价格与决策'!U18</x:f>
        <x:v>0</x:v>
      </x:c>
      <x:c r="V18" s="25" t="n">
        <x:f>'两日价格与决策'!V18</x:f>
        <x:v>0</x:v>
      </x:c>
      <x:c r="W18" s="25" t="n">
        <x:f>'两日价格与决策'!W18</x:f>
        <x:v>0</x:v>
      </x:c>
      <x:c r="X18" s="18" t="n">
        <x:f>'两日价格与决策'!X18</x:f>
        <x:v>0</x:v>
      </x:c>
      <x:c r="Y18" s="18" t="n">
        <x:f>'两日价格与决策'!Y18</x:f>
        <x:v>0</x:v>
      </x:c>
      <x:c r="Z18" s="18" t="str">
        <x:f>'两日价格与决策'!Z18</x:f>
        <x:v>1月1日执行｜初始化零订单</x:v>
      </x:c>
      <x:c r="AA18" s="19" t="n">
        <x:f>'两日价格与决策'!AA18</x:f>
        <x:v>1</x:v>
      </x:c>
      <x:c r="AB18" s="19" t="n">
        <x:f>'两日价格与决策'!AB18</x:f>
        <x:v>0</x:v>
      </x:c>
      <x:c r="AC18" s="18" t="n">
        <x:f>'两日价格与决策'!AC18</x:f>
        <x:v>0.25</x:v>
      </x:c>
      <x:c r="AD18" s="20" t="n">
        <x:f>'两日价格与决策'!AD18</x:f>
        <x:v>1</x:v>
      </x:c>
      <x:c r="AE18" s="20" t="n">
        <x:f>'两日价格与决策'!AE18</x:f>
        <x:v>0.00166</x:v>
      </x:c>
      <x:c r="AF18" s="20" t="n">
        <x:f>'两日价格与决策'!AF18</x:f>
        <x:v>0.0011799999999999998</x:v>
      </x:c>
      <x:c r="AG18" s="18" t="n">
        <x:f>'两日价格与决策'!AG18</x:f>
        <x:v>200</x:v>
      </x:c>
      <x:c r="AH18" s="18" t="n">
        <x:f>'两日价格与决策'!AH18</x:f>
        <x:v>200</x:v>
      </x:c>
      <x:c r="AI18" s="18" t="n">
        <x:f>'两日价格与决策'!AI18</x:f>
        <x:v>0.083</x:v>
      </x:c>
      <x:c r="AJ18" s="18" t="n">
        <x:f>'两日价格与决策'!AJ18</x:f>
        <x:v>0.059</x:v>
      </x:c>
      <x:c r="AK18" s="18" t="str">
        <x:f>'两日价格与决策'!AK18</x:f>
        <x:v>缺失</x:v>
      </x:c>
      <x:c r="AL18" s="18" t="n">
        <x:f>'两日价格与决策'!AL18</x:f>
        <x:v>0</x:v>
      </x:c>
      <x:c r="AM18" s="18" t="n">
        <x:f>'两日价格与决策'!AM18</x:f>
        <x:v>0</x:v>
      </x:c>
      <x:c r="AN18" s="18" t="n">
        <x:f>'两日价格与决策'!AN18</x:f>
        <x:v>0</x:v>
      </x:c>
      <x:c r="AO18" s="18" t="n">
        <x:f>'两日价格与决策'!AO18</x:f>
        <x:v>10</x:v>
      </x:c>
      <x:c r="AP18" s="18" t="n">
        <x:f>'两日价格与决策'!AP18</x:f>
        <x:v>0</x:v>
      </x:c>
      <x:c r="AQ18" s="18" t="n">
        <x:f>'两日价格与决策'!AQ18</x:f>
        <x:v>4.9741</x:v>
      </x:c>
      <x:c r="AR18" s="21" t="n">
        <x:f>'两日价格与决策'!AR18</x:f>
        <x:v>45657</x:v>
      </x:c>
      <x:c r="AS18" s="17" t="n">
        <x:f>'两日价格与决策'!AS18</x:f>
        <x:v>45658.03125</x:v>
      </x:c>
      <x:c r="AT18" s="18" t="str">
        <x:f>'两日价格与决策'!AT18</x:f>
        <x:v>2025-01-01_2</x:v>
      </x:c>
      <x:c r="AU18" s="19" t="n">
        <x:f>'两日价格与决策'!AU18</x:f>
        <x:v>60</x:v>
      </x:c>
      <x:c r="AV18" s="18" t="str">
        <x:f>'两日价格与决策'!AV18</x:f>
        <x:v>OK</x:v>
      </x:c>
    </x:row>
    <x:row r="19" ht="21" customHeight="1">
      <x:c r="A19" s="17" t="n">
        <x:f>'两日价格与决策'!A19</x:f>
        <x:v>45658.125</x:v>
      </x:c>
      <x:c r="B19" s="23" t="n">
        <x:f>'两日价格与决策'!B19</x:f>
        <x:v>124.42</x:v>
      </x:c>
      <x:c r="C19" s="23" t="str">
        <x:f>'两日价格与决策'!C19</x:f>
        <x:v>缺失</x:v>
      </x:c>
      <x:c r="D19" s="23" t="n">
        <x:f>'两日价格与决策'!D19</x:f>
        <x:v>13.71102309965622</x:v>
      </x:c>
      <x:c r="E19" s="23" t="n">
        <x:f>'两日价格与决策'!E19</x:f>
        <x:v>14.710198829939085</x:v>
      </x:c>
      <x:c r="F19" s="23" t="n">
        <x:f>'两日价格与决策'!F19</x:f>
        <x:v>136.70814820771596</x:v>
      </x:c>
      <x:c r="G19" s="23" t="n">
        <x:f>'两日价格与决策'!G19</x:f>
        <x:v>60.1113769325104</x:v>
      </x:c>
      <x:c r="H19" s="23" t="str">
        <x:f>'两日价格与决策'!H19</x:f>
        <x:v>未模拟</x:v>
      </x:c>
      <x:c r="I19" s="24" t="n">
        <x:f>'两日价格与决策'!I19</x:f>
        <x:v>10</x:v>
      </x:c>
      <x:c r="J19" s="24" t="n">
        <x:f>'两日价格与决策'!J19</x:f>
        <x:v>10</x:v>
      </x:c>
      <x:c r="K19" s="24" t="n">
        <x:f>'两日价格与决策'!K19</x:f>
        <x:v>0</x:v>
      </x:c>
      <x:c r="L19" s="24" t="n">
        <x:f>'两日价格与决策'!L19</x:f>
        <x:v>0</x:v>
      </x:c>
      <x:c r="M19" s="24" t="n">
        <x:f>'两日价格与决策'!M19</x:f>
        <x:v>0</x:v>
      </x:c>
      <x:c r="N19" s="24" t="n">
        <x:f>'两日价格与决策'!N19</x:f>
        <x:v>0</x:v>
      </x:c>
      <x:c r="O19" s="24" t="n">
        <x:f>'两日价格与决策'!O19</x:f>
        <x:v>0</x:v>
      </x:c>
      <x:c r="P19" s="24" t="n">
        <x:f>'两日价格与决策'!P19</x:f>
        <x:v>0</x:v>
      </x:c>
      <x:c r="Q19" s="25" t="n">
        <x:f>'两日价格与决策'!Q19</x:f>
        <x:v>0</x:v>
      </x:c>
      <x:c r="R19" s="25" t="n">
        <x:f>'两日价格与决策'!R19</x:f>
        <x:v>0</x:v>
      </x:c>
      <x:c r="S19" s="25" t="n">
        <x:f>'两日价格与决策'!S19</x:f>
        <x:v>0</x:v>
      </x:c>
      <x:c r="T19" s="25" t="n">
        <x:f>'两日价格与决策'!T19</x:f>
        <x:v>0</x:v>
      </x:c>
      <x:c r="U19" s="25" t="n">
        <x:f>'两日价格与决策'!U19</x:f>
        <x:v>0</x:v>
      </x:c>
      <x:c r="V19" s="25" t="n">
        <x:f>'两日价格与决策'!V19</x:f>
        <x:v>0</x:v>
      </x:c>
      <x:c r="W19" s="25" t="n">
        <x:f>'两日价格与决策'!W19</x:f>
        <x:v>0</x:v>
      </x:c>
      <x:c r="X19" s="18" t="n">
        <x:f>'两日价格与决策'!X19</x:f>
        <x:v>0</x:v>
      </x:c>
      <x:c r="Y19" s="18" t="n">
        <x:f>'两日价格与决策'!Y19</x:f>
        <x:v>0</x:v>
      </x:c>
      <x:c r="Z19" s="18" t="str">
        <x:f>'两日价格与决策'!Z19</x:f>
        <x:v>1月1日执行｜初始化零订单</x:v>
      </x:c>
      <x:c r="AA19" s="19" t="n">
        <x:f>'两日价格与决策'!AA19</x:f>
        <x:v>1</x:v>
      </x:c>
      <x:c r="AB19" s="19" t="n">
        <x:f>'两日价格与决策'!AB19</x:f>
        <x:v>0</x:v>
      </x:c>
      <x:c r="AC19" s="18" t="n">
        <x:f>'两日价格与决策'!AC19</x:f>
        <x:v>0.25</x:v>
      </x:c>
      <x:c r="AD19" s="20" t="n">
        <x:f>'两日价格与决策'!AD19</x:f>
        <x:v>1</x:v>
      </x:c>
      <x:c r="AE19" s="20" t="n">
        <x:f>'两日价格与决策'!AE19</x:f>
        <x:v>0.03078</x:v>
      </x:c>
      <x:c r="AF19" s="20" t="n">
        <x:f>'两日价格与决策'!AF19</x:f>
        <x:v>0.0001</x:v>
      </x:c>
      <x:c r="AG19" s="18" t="n">
        <x:f>'两日价格与决策'!AG19</x:f>
        <x:v>200</x:v>
      </x:c>
      <x:c r="AH19" s="18" t="n">
        <x:f>'两日价格与决策'!AH19</x:f>
        <x:v>200</x:v>
      </x:c>
      <x:c r="AI19" s="18" t="n">
        <x:f>'两日价格与决策'!AI19</x:f>
        <x:v>1.539</x:v>
      </x:c>
      <x:c r="AJ19" s="18" t="n">
        <x:f>'两日价格与决策'!AJ19</x:f>
        <x:v>0.005</x:v>
      </x:c>
      <x:c r="AK19" s="18" t="str">
        <x:f>'两日价格与决策'!AK19</x:f>
        <x:v>缺失</x:v>
      </x:c>
      <x:c r="AL19" s="18" t="n">
        <x:f>'两日价格与决策'!AL19</x:f>
        <x:v>0</x:v>
      </x:c>
      <x:c r="AM19" s="18" t="n">
        <x:f>'两日价格与决策'!AM19</x:f>
        <x:v>0</x:v>
      </x:c>
      <x:c r="AN19" s="18" t="n">
        <x:f>'两日价格与决策'!AN19</x:f>
        <x:v>0</x:v>
      </x:c>
      <x:c r="AO19" s="18" t="n">
        <x:f>'两日价格与决策'!AO19</x:f>
        <x:v>10</x:v>
      </x:c>
      <x:c r="AP19" s="18" t="n">
        <x:f>'两日价格与决策'!AP19</x:f>
        <x:v>0</x:v>
      </x:c>
      <x:c r="AQ19" s="18" t="n">
        <x:f>'两日价格与决策'!AQ19</x:f>
        <x:v>4.9741</x:v>
      </x:c>
      <x:c r="AR19" s="21" t="n">
        <x:f>'两日价格与决策'!AR19</x:f>
        <x:v>45657</x:v>
      </x:c>
      <x:c r="AS19" s="17" t="n">
        <x:f>'两日价格与决策'!AS19</x:f>
        <x:v>45658.041666666664</x:v>
      </x:c>
      <x:c r="AT19" s="18" t="str">
        <x:f>'两日价格与决策'!AT19</x:f>
        <x:v>2025-01-01_3</x:v>
      </x:c>
      <x:c r="AU19" s="19" t="n">
        <x:f>'两日价格与决策'!AU19</x:f>
        <x:v>60</x:v>
      </x:c>
      <x:c r="AV19" s="18" t="str">
        <x:f>'两日价格与决策'!AV19</x:f>
        <x:v>OK</x:v>
      </x:c>
    </x:row>
    <x:row r="20" ht="21" customHeight="1">
      <x:c r="A20" s="17" t="n">
        <x:f>'两日价格与决策'!A20</x:f>
        <x:v>45658.135416666664</x:v>
      </x:c>
      <x:c r="B20" s="23" t="n">
        <x:f>'两日价格与决策'!B20</x:f>
        <x:v>124.42</x:v>
      </x:c>
      <x:c r="C20" s="23" t="str">
        <x:f>'两日价格与决策'!C20</x:f>
        <x:v>缺失</x:v>
      </x:c>
      <x:c r="D20" s="23" t="n">
        <x:f>'两日价格与决策'!D20</x:f>
        <x:v>13.71102309965622</x:v>
      </x:c>
      <x:c r="E20" s="23" t="n">
        <x:f>'两日价格与决策'!E20</x:f>
        <x:v>14.710198829939085</x:v>
      </x:c>
      <x:c r="F20" s="23" t="n">
        <x:f>'两日价格与决策'!F20</x:f>
        <x:v>136.70814820771596</x:v>
      </x:c>
      <x:c r="G20" s="23" t="n">
        <x:f>'两日价格与决策'!G20</x:f>
        <x:v>60.1113769325104</x:v>
      </x:c>
      <x:c r="H20" s="23" t="str">
        <x:f>'两日价格与决策'!H20</x:f>
        <x:v>未模拟</x:v>
      </x:c>
      <x:c r="I20" s="24" t="n">
        <x:f>'两日价格与决策'!I20</x:f>
        <x:v>10</x:v>
      </x:c>
      <x:c r="J20" s="24" t="n">
        <x:f>'两日价格与决策'!J20</x:f>
        <x:v>10</x:v>
      </x:c>
      <x:c r="K20" s="24" t="n">
        <x:f>'两日价格与决策'!K20</x:f>
        <x:v>0</x:v>
      </x:c>
      <x:c r="L20" s="24" t="n">
        <x:f>'两日价格与决策'!L20</x:f>
        <x:v>0</x:v>
      </x:c>
      <x:c r="M20" s="24" t="n">
        <x:f>'两日价格与决策'!M20</x:f>
        <x:v>0</x:v>
      </x:c>
      <x:c r="N20" s="24" t="n">
        <x:f>'两日价格与决策'!N20</x:f>
        <x:v>0</x:v>
      </x:c>
      <x:c r="O20" s="24" t="n">
        <x:f>'两日价格与决策'!O20</x:f>
        <x:v>0</x:v>
      </x:c>
      <x:c r="P20" s="24" t="n">
        <x:f>'两日价格与决策'!P20</x:f>
        <x:v>0</x:v>
      </x:c>
      <x:c r="Q20" s="25" t="n">
        <x:f>'两日价格与决策'!Q20</x:f>
        <x:v>0</x:v>
      </x:c>
      <x:c r="R20" s="25" t="n">
        <x:f>'两日价格与决策'!R20</x:f>
        <x:v>0</x:v>
      </x:c>
      <x:c r="S20" s="25" t="n">
        <x:f>'两日价格与决策'!S20</x:f>
        <x:v>0</x:v>
      </x:c>
      <x:c r="T20" s="25" t="n">
        <x:f>'两日价格与决策'!T20</x:f>
        <x:v>0</x:v>
      </x:c>
      <x:c r="U20" s="25" t="n">
        <x:f>'两日价格与决策'!U20</x:f>
        <x:v>0</x:v>
      </x:c>
      <x:c r="V20" s="25" t="n">
        <x:f>'两日价格与决策'!V20</x:f>
        <x:v>0</x:v>
      </x:c>
      <x:c r="W20" s="25" t="n">
        <x:f>'两日价格与决策'!W20</x:f>
        <x:v>0</x:v>
      </x:c>
      <x:c r="X20" s="18" t="n">
        <x:f>'两日价格与决策'!X20</x:f>
        <x:v>0</x:v>
      </x:c>
      <x:c r="Y20" s="18" t="n">
        <x:f>'两日价格与决策'!Y20</x:f>
        <x:v>0</x:v>
      </x:c>
      <x:c r="Z20" s="18" t="str">
        <x:f>'两日价格与决策'!Z20</x:f>
        <x:v>1月1日执行｜初始化零订单</x:v>
      </x:c>
      <x:c r="AA20" s="19" t="n">
        <x:f>'两日价格与决策'!AA20</x:f>
        <x:v>1</x:v>
      </x:c>
      <x:c r="AB20" s="19" t="n">
        <x:f>'两日价格与决策'!AB20</x:f>
        <x:v>0</x:v>
      </x:c>
      <x:c r="AC20" s="18" t="n">
        <x:f>'两日价格与决策'!AC20</x:f>
        <x:v>0.25</x:v>
      </x:c>
      <x:c r="AD20" s="20" t="n">
        <x:f>'两日价格与决策'!AD20</x:f>
        <x:v>1</x:v>
      </x:c>
      <x:c r="AE20" s="20" t="n">
        <x:f>'两日价格与决策'!AE20</x:f>
        <x:v>0.00124</x:v>
      </x:c>
      <x:c r="AF20" s="20" t="n">
        <x:f>'两日价格与决策'!AF20</x:f>
        <x:v>0.0005600000000000001</x:v>
      </x:c>
      <x:c r="AG20" s="18" t="n">
        <x:f>'两日价格与决策'!AG20</x:f>
        <x:v>200</x:v>
      </x:c>
      <x:c r="AH20" s="18" t="n">
        <x:f>'两日价格与决策'!AH20</x:f>
        <x:v>200</x:v>
      </x:c>
      <x:c r="AI20" s="18" t="n">
        <x:f>'两日价格与决策'!AI20</x:f>
        <x:v>0.062</x:v>
      </x:c>
      <x:c r="AJ20" s="18" t="n">
        <x:f>'两日价格与决策'!AJ20</x:f>
        <x:v>0.028</x:v>
      </x:c>
      <x:c r="AK20" s="18" t="str">
        <x:f>'两日价格与决策'!AK20</x:f>
        <x:v>缺失</x:v>
      </x:c>
      <x:c r="AL20" s="18" t="n">
        <x:f>'两日价格与决策'!AL20</x:f>
        <x:v>0</x:v>
      </x:c>
      <x:c r="AM20" s="18" t="n">
        <x:f>'两日价格与决策'!AM20</x:f>
        <x:v>0</x:v>
      </x:c>
      <x:c r="AN20" s="18" t="n">
        <x:f>'两日价格与决策'!AN20</x:f>
        <x:v>0</x:v>
      </x:c>
      <x:c r="AO20" s="18" t="n">
        <x:f>'两日价格与决策'!AO20</x:f>
        <x:v>10</x:v>
      </x:c>
      <x:c r="AP20" s="18" t="n">
        <x:f>'两日价格与决策'!AP20</x:f>
        <x:v>0</x:v>
      </x:c>
      <x:c r="AQ20" s="18" t="n">
        <x:f>'两日价格与决策'!AQ20</x:f>
        <x:v>4.9741</x:v>
      </x:c>
      <x:c r="AR20" s="21" t="n">
        <x:f>'两日价格与决策'!AR20</x:f>
        <x:v>45657</x:v>
      </x:c>
      <x:c r="AS20" s="17" t="n">
        <x:f>'两日价格与决策'!AS20</x:f>
        <x:v>45658.052083333336</x:v>
      </x:c>
      <x:c r="AT20" s="18" t="str">
        <x:f>'两日价格与决策'!AT20</x:f>
        <x:v>2025-01-01_3</x:v>
      </x:c>
      <x:c r="AU20" s="19" t="n">
        <x:f>'两日价格与决策'!AU20</x:f>
        <x:v>60</x:v>
      </x:c>
      <x:c r="AV20" s="18" t="str">
        <x:f>'两日价格与决策'!AV20</x:f>
        <x:v>OK</x:v>
      </x:c>
    </x:row>
    <x:row r="21" ht="21" customHeight="1">
      <x:c r="A21" s="17" t="n">
        <x:f>'两日价格与决策'!A21</x:f>
        <x:v>45658.145833333336</x:v>
      </x:c>
      <x:c r="B21" s="23" t="n">
        <x:f>'两日价格与决策'!B21</x:f>
        <x:v>124.42</x:v>
      </x:c>
      <x:c r="C21" s="23" t="str">
        <x:f>'两日价格与决策'!C21</x:f>
        <x:v>缺失</x:v>
      </x:c>
      <x:c r="D21" s="23" t="n">
        <x:f>'两日价格与决策'!D21</x:f>
        <x:v>13.71102309965622</x:v>
      </x:c>
      <x:c r="E21" s="23" t="n">
        <x:f>'两日价格与决策'!E21</x:f>
        <x:v>14.710198829939085</x:v>
      </x:c>
      <x:c r="F21" s="23" t="n">
        <x:f>'两日价格与决策'!F21</x:f>
        <x:v>136.70814820771596</x:v>
      </x:c>
      <x:c r="G21" s="23" t="n">
        <x:f>'两日价格与决策'!G21</x:f>
        <x:v>60.1113769325104</x:v>
      </x:c>
      <x:c r="H21" s="23" t="str">
        <x:f>'两日价格与决策'!H21</x:f>
        <x:v>未模拟</x:v>
      </x:c>
      <x:c r="I21" s="24" t="n">
        <x:f>'两日价格与决策'!I21</x:f>
        <x:v>10</x:v>
      </x:c>
      <x:c r="J21" s="24" t="n">
        <x:f>'两日价格与决策'!J21</x:f>
        <x:v>10</x:v>
      </x:c>
      <x:c r="K21" s="24" t="n">
        <x:f>'两日价格与决策'!K21</x:f>
        <x:v>0</x:v>
      </x:c>
      <x:c r="L21" s="24" t="n">
        <x:f>'两日价格与决策'!L21</x:f>
        <x:v>0</x:v>
      </x:c>
      <x:c r="M21" s="24" t="n">
        <x:f>'两日价格与决策'!M21</x:f>
        <x:v>0</x:v>
      </x:c>
      <x:c r="N21" s="24" t="n">
        <x:f>'两日价格与决策'!N21</x:f>
        <x:v>0</x:v>
      </x:c>
      <x:c r="O21" s="24" t="n">
        <x:f>'两日价格与决策'!O21</x:f>
        <x:v>0</x:v>
      </x:c>
      <x:c r="P21" s="24" t="n">
        <x:f>'两日价格与决策'!P21</x:f>
        <x:v>0</x:v>
      </x:c>
      <x:c r="Q21" s="25" t="n">
        <x:f>'两日价格与决策'!Q21</x:f>
        <x:v>0</x:v>
      </x:c>
      <x:c r="R21" s="25" t="n">
        <x:f>'两日价格与决策'!R21</x:f>
        <x:v>0</x:v>
      </x:c>
      <x:c r="S21" s="25" t="n">
        <x:f>'两日价格与决策'!S21</x:f>
        <x:v>0</x:v>
      </x:c>
      <x:c r="T21" s="25" t="n">
        <x:f>'两日价格与决策'!T21</x:f>
        <x:v>0</x:v>
      </x:c>
      <x:c r="U21" s="25" t="n">
        <x:f>'两日价格与决策'!U21</x:f>
        <x:v>0</x:v>
      </x:c>
      <x:c r="V21" s="25" t="n">
        <x:f>'两日价格与决策'!V21</x:f>
        <x:v>0</x:v>
      </x:c>
      <x:c r="W21" s="25" t="n">
        <x:f>'两日价格与决策'!W21</x:f>
        <x:v>0</x:v>
      </x:c>
      <x:c r="X21" s="18" t="n">
        <x:f>'两日价格与决策'!X21</x:f>
        <x:v>0</x:v>
      </x:c>
      <x:c r="Y21" s="18" t="n">
        <x:f>'两日价格与决策'!Y21</x:f>
        <x:v>0</x:v>
      </x:c>
      <x:c r="Z21" s="18" t="str">
        <x:f>'两日价格与决策'!Z21</x:f>
        <x:v>1月1日执行｜初始化零订单</x:v>
      </x:c>
      <x:c r="AA21" s="19" t="n">
        <x:f>'两日价格与决策'!AA21</x:f>
        <x:v>1</x:v>
      </x:c>
      <x:c r="AB21" s="19" t="n">
        <x:f>'两日价格与决策'!AB21</x:f>
        <x:v>0</x:v>
      </x:c>
      <x:c r="AC21" s="18" t="n">
        <x:f>'两日价格与决策'!AC21</x:f>
        <x:v>0.25</x:v>
      </x:c>
      <x:c r="AD21" s="20" t="n">
        <x:f>'两日价格与决策'!AD21</x:f>
        <x:v>1</x:v>
      </x:c>
      <x:c r="AE21" s="20" t="n">
        <x:f>'两日价格与决策'!AE21</x:f>
        <x:v>0.00016</x:v>
      </x:c>
      <x:c r="AF21" s="20" t="n">
        <x:f>'两日价格与决策'!AF21</x:f>
        <x:v>0.0166</x:v>
      </x:c>
      <x:c r="AG21" s="18" t="n">
        <x:f>'两日价格与决策'!AG21</x:f>
        <x:v>200</x:v>
      </x:c>
      <x:c r="AH21" s="18" t="n">
        <x:f>'两日价格与决策'!AH21</x:f>
        <x:v>200</x:v>
      </x:c>
      <x:c r="AI21" s="18" t="n">
        <x:f>'两日价格与决策'!AI21</x:f>
        <x:v>0.008</x:v>
      </x:c>
      <x:c r="AJ21" s="18" t="n">
        <x:f>'两日价格与决策'!AJ21</x:f>
        <x:v>0.83</x:v>
      </x:c>
      <x:c r="AK21" s="18" t="str">
        <x:f>'两日价格与决策'!AK21</x:f>
        <x:v>缺失</x:v>
      </x:c>
      <x:c r="AL21" s="18" t="n">
        <x:f>'两日价格与决策'!AL21</x:f>
        <x:v>0</x:v>
      </x:c>
      <x:c r="AM21" s="18" t="n">
        <x:f>'两日价格与决策'!AM21</x:f>
        <x:v>0</x:v>
      </x:c>
      <x:c r="AN21" s="18" t="n">
        <x:f>'两日价格与决策'!AN21</x:f>
        <x:v>0</x:v>
      </x:c>
      <x:c r="AO21" s="18" t="n">
        <x:f>'两日价格与决策'!AO21</x:f>
        <x:v>10</x:v>
      </x:c>
      <x:c r="AP21" s="18" t="n">
        <x:f>'两日价格与决策'!AP21</x:f>
        <x:v>0</x:v>
      </x:c>
      <x:c r="AQ21" s="18" t="n">
        <x:f>'两日价格与决策'!AQ21</x:f>
        <x:v>4.9741</x:v>
      </x:c>
      <x:c r="AR21" s="21" t="n">
        <x:f>'两日价格与决策'!AR21</x:f>
        <x:v>45657</x:v>
      </x:c>
      <x:c r="AS21" s="17" t="n">
        <x:f>'两日价格与决策'!AS21</x:f>
        <x:v>45658.0625</x:v>
      </x:c>
      <x:c r="AT21" s="18" t="str">
        <x:f>'两日价格与决策'!AT21</x:f>
        <x:v>2025-01-01_3</x:v>
      </x:c>
      <x:c r="AU21" s="19" t="n">
        <x:f>'两日价格与决策'!AU21</x:f>
        <x:v>60</x:v>
      </x:c>
      <x:c r="AV21" s="18" t="str">
        <x:f>'两日价格与决策'!AV21</x:f>
        <x:v>OK</x:v>
      </x:c>
    </x:row>
    <x:row r="22" ht="21" customHeight="1">
      <x:c r="A22" s="17" t="n">
        <x:f>'两日价格与决策'!A22</x:f>
        <x:v>45658.15625</x:v>
      </x:c>
      <x:c r="B22" s="23" t="n">
        <x:f>'两日价格与决策'!B22</x:f>
        <x:v>124.42</x:v>
      </x:c>
      <x:c r="C22" s="23" t="str">
        <x:f>'两日价格与决策'!C22</x:f>
        <x:v>缺失</x:v>
      </x:c>
      <x:c r="D22" s="23" t="n">
        <x:f>'两日价格与决策'!D22</x:f>
        <x:v>13.71102309965622</x:v>
      </x:c>
      <x:c r="E22" s="23" t="n">
        <x:f>'两日价格与决策'!E22</x:f>
        <x:v>14.710198829939085</x:v>
      </x:c>
      <x:c r="F22" s="23" t="n">
        <x:f>'两日价格与决策'!F22</x:f>
        <x:v>136.70814820771596</x:v>
      </x:c>
      <x:c r="G22" s="23" t="n">
        <x:f>'两日价格与决策'!G22</x:f>
        <x:v>56.34305703544359</x:v>
      </x:c>
      <x:c r="H22" s="23" t="str">
        <x:f>'两日价格与决策'!H22</x:f>
        <x:v>未模拟</x:v>
      </x:c>
      <x:c r="I22" s="24" t="n">
        <x:f>'两日价格与决策'!I22</x:f>
        <x:v>10</x:v>
      </x:c>
      <x:c r="J22" s="24" t="n">
        <x:f>'两日价格与决策'!J22</x:f>
        <x:v>10</x:v>
      </x:c>
      <x:c r="K22" s="24" t="n">
        <x:f>'两日价格与决策'!K22</x:f>
        <x:v>0</x:v>
      </x:c>
      <x:c r="L22" s="24" t="n">
        <x:f>'两日价格与决策'!L22</x:f>
        <x:v>0</x:v>
      </x:c>
      <x:c r="M22" s="24" t="n">
        <x:f>'两日价格与决策'!M22</x:f>
        <x:v>0</x:v>
      </x:c>
      <x:c r="N22" s="24" t="n">
        <x:f>'两日价格与决策'!N22</x:f>
        <x:v>0</x:v>
      </x:c>
      <x:c r="O22" s="24" t="n">
        <x:f>'两日价格与决策'!O22</x:f>
        <x:v>0</x:v>
      </x:c>
      <x:c r="P22" s="24" t="n">
        <x:f>'两日价格与决策'!P22</x:f>
        <x:v>0</x:v>
      </x:c>
      <x:c r="Q22" s="25" t="n">
        <x:f>'两日价格与决策'!Q22</x:f>
        <x:v>0</x:v>
      </x:c>
      <x:c r="R22" s="25" t="n">
        <x:f>'两日价格与决策'!R22</x:f>
        <x:v>0</x:v>
      </x:c>
      <x:c r="S22" s="25" t="n">
        <x:f>'两日价格与决策'!S22</x:f>
        <x:v>0</x:v>
      </x:c>
      <x:c r="T22" s="25" t="n">
        <x:f>'两日价格与决策'!T22</x:f>
        <x:v>0</x:v>
      </x:c>
      <x:c r="U22" s="25" t="n">
        <x:f>'两日价格与决策'!U22</x:f>
        <x:v>0</x:v>
      </x:c>
      <x:c r="V22" s="25" t="n">
        <x:f>'两日价格与决策'!V22</x:f>
        <x:v>0</x:v>
      </x:c>
      <x:c r="W22" s="25" t="n">
        <x:f>'两日价格与决策'!W22</x:f>
        <x:v>0</x:v>
      </x:c>
      <x:c r="X22" s="18" t="n">
        <x:f>'两日价格与决策'!X22</x:f>
        <x:v>0</x:v>
      </x:c>
      <x:c r="Y22" s="18" t="n">
        <x:f>'两日价格与决策'!Y22</x:f>
        <x:v>0</x:v>
      </x:c>
      <x:c r="Z22" s="18" t="str">
        <x:f>'两日价格与决策'!Z22</x:f>
        <x:v>1月1日执行｜初始化零订单</x:v>
      </x:c>
      <x:c r="AA22" s="19" t="n">
        <x:f>'两日价格与决策'!AA22</x:f>
        <x:v>1</x:v>
      </x:c>
      <x:c r="AB22" s="19" t="n">
        <x:f>'两日价格与决策'!AB22</x:f>
        <x:v>0</x:v>
      </x:c>
      <x:c r="AC22" s="18" t="n">
        <x:f>'两日价格与决策'!AC22</x:f>
        <x:v>0.25</x:v>
      </x:c>
      <x:c r="AD22" s="20" t="n">
        <x:f>'两日价格与决策'!AD22</x:f>
        <x:v>1</x:v>
      </x:c>
      <x:c r="AE22" s="20" t="n">
        <x:f>'两日价格与决策'!AE22</x:f>
        <x:v>0.00006</x:v>
      </x:c>
      <x:c r="AF22" s="20" t="n">
        <x:f>'两日价格与决策'!AF22</x:f>
        <x:v>0.00508</x:v>
      </x:c>
      <x:c r="AG22" s="18" t="n">
        <x:f>'两日价格与决策'!AG22</x:f>
        <x:v>200</x:v>
      </x:c>
      <x:c r="AH22" s="18" t="n">
        <x:f>'两日价格与决策'!AH22</x:f>
        <x:v>200</x:v>
      </x:c>
      <x:c r="AI22" s="18" t="n">
        <x:f>'两日价格与决策'!AI22</x:f>
        <x:v>0.003</x:v>
      </x:c>
      <x:c r="AJ22" s="18" t="n">
        <x:f>'两日价格与决策'!AJ22</x:f>
        <x:v>0.254</x:v>
      </x:c>
      <x:c r="AK22" s="18" t="str">
        <x:f>'两日价格与决策'!AK22</x:f>
        <x:v>缺失</x:v>
      </x:c>
      <x:c r="AL22" s="18" t="n">
        <x:f>'两日价格与决策'!AL22</x:f>
        <x:v>0</x:v>
      </x:c>
      <x:c r="AM22" s="18" t="n">
        <x:f>'两日价格与决策'!AM22</x:f>
        <x:v>0</x:v>
      </x:c>
      <x:c r="AN22" s="18" t="n">
        <x:f>'两日价格与决策'!AN22</x:f>
        <x:v>0</x:v>
      </x:c>
      <x:c r="AO22" s="18" t="n">
        <x:f>'两日价格与决策'!AO22</x:f>
        <x:v>10</x:v>
      </x:c>
      <x:c r="AP22" s="18" t="n">
        <x:f>'两日价格与决策'!AP22</x:f>
        <x:v>0</x:v>
      </x:c>
      <x:c r="AQ22" s="18" t="n">
        <x:f>'两日价格与决策'!AQ22</x:f>
        <x:v>4.9741</x:v>
      </x:c>
      <x:c r="AR22" s="21" t="n">
        <x:f>'两日价格与决策'!AR22</x:f>
        <x:v>45657</x:v>
      </x:c>
      <x:c r="AS22" s="17" t="n">
        <x:f>'两日价格与决策'!AS22</x:f>
        <x:v>45658.072916666664</x:v>
      </x:c>
      <x:c r="AT22" s="18" t="str">
        <x:f>'两日价格与决策'!AT22</x:f>
        <x:v>2025-01-01_3</x:v>
      </x:c>
      <x:c r="AU22" s="19" t="n">
        <x:f>'两日价格与决策'!AU22</x:f>
        <x:v>60</x:v>
      </x:c>
      <x:c r="AV22" s="18" t="str">
        <x:f>'两日价格与决策'!AV22</x:f>
        <x:v>OK</x:v>
      </x:c>
    </x:row>
    <x:row r="23" ht="21" customHeight="1">
      <x:c r="A23" s="17" t="n">
        <x:f>'两日价格与决策'!A23</x:f>
        <x:v>45658.166666666664</x:v>
      </x:c>
      <x:c r="B23" s="23" t="n">
        <x:f>'两日价格与决策'!B23</x:f>
        <x:v>84.48</x:v>
      </x:c>
      <x:c r="C23" s="23" t="str">
        <x:f>'两日价格与决策'!C23</x:f>
        <x:v>缺失</x:v>
      </x:c>
      <x:c r="D23" s="23" t="n">
        <x:f>'两日价格与决策'!D23</x:f>
        <x:v>13.71102309965622</x:v>
      </x:c>
      <x:c r="E23" s="23" t="n">
        <x:f>'两日价格与决策'!E23</x:f>
        <x:v>14.710198829939085</x:v>
      </x:c>
      <x:c r="F23" s="23" t="n">
        <x:f>'两日价格与决策'!F23</x:f>
        <x:v>0</x:v>
      </x:c>
      <x:c r="G23" s="23" t="n">
        <x:f>'两日价格与决策'!G23</x:f>
        <x:v>59.99195834422308</x:v>
      </x:c>
      <x:c r="H23" s="23" t="str">
        <x:f>'两日价格与决策'!H23</x:f>
        <x:v>未模拟</x:v>
      </x:c>
      <x:c r="I23" s="24" t="n">
        <x:f>'两日价格与决策'!I23</x:f>
        <x:v>10</x:v>
      </x:c>
      <x:c r="J23" s="24" t="n">
        <x:f>'两日价格与决策'!J23</x:f>
        <x:v>10</x:v>
      </x:c>
      <x:c r="K23" s="24" t="n">
        <x:f>'两日价格与决策'!K23</x:f>
        <x:v>0</x:v>
      </x:c>
      <x:c r="L23" s="24" t="n">
        <x:f>'两日价格与决策'!L23</x:f>
        <x:v>0</x:v>
      </x:c>
      <x:c r="M23" s="24" t="n">
        <x:f>'两日价格与决策'!M23</x:f>
        <x:v>0</x:v>
      </x:c>
      <x:c r="N23" s="24" t="n">
        <x:f>'两日价格与决策'!N23</x:f>
        <x:v>0</x:v>
      </x:c>
      <x:c r="O23" s="24" t="n">
        <x:f>'两日价格与决策'!O23</x:f>
        <x:v>0</x:v>
      </x:c>
      <x:c r="P23" s="24" t="n">
        <x:f>'两日价格与决策'!P23</x:f>
        <x:v>0</x:v>
      </x:c>
      <x:c r="Q23" s="25" t="n">
        <x:f>'两日价格与决策'!Q23</x:f>
        <x:v>0</x:v>
      </x:c>
      <x:c r="R23" s="25" t="n">
        <x:f>'两日价格与决策'!R23</x:f>
        <x:v>0</x:v>
      </x:c>
      <x:c r="S23" s="25" t="n">
        <x:f>'两日价格与决策'!S23</x:f>
        <x:v>0</x:v>
      </x:c>
      <x:c r="T23" s="25" t="n">
        <x:f>'两日价格与决策'!T23</x:f>
        <x:v>0</x:v>
      </x:c>
      <x:c r="U23" s="25" t="n">
        <x:f>'两日价格与决策'!U23</x:f>
        <x:v>0</x:v>
      </x:c>
      <x:c r="V23" s="25" t="n">
        <x:f>'两日价格与决策'!V23</x:f>
        <x:v>0</x:v>
      </x:c>
      <x:c r="W23" s="25" t="n">
        <x:f>'两日价格与决策'!W23</x:f>
        <x:v>0</x:v>
      </x:c>
      <x:c r="X23" s="18" t="n">
        <x:f>'两日价格与决策'!X23</x:f>
        <x:v>0</x:v>
      </x:c>
      <x:c r="Y23" s="18" t="n">
        <x:f>'两日价格与决策'!Y23</x:f>
        <x:v>0</x:v>
      </x:c>
      <x:c r="Z23" s="18" t="str">
        <x:f>'两日价格与决策'!Z23</x:f>
        <x:v>1月1日执行｜初始化零订单</x:v>
      </x:c>
      <x:c r="AA23" s="19" t="n">
        <x:f>'两日价格与决策'!AA23</x:f>
        <x:v>1</x:v>
      </x:c>
      <x:c r="AB23" s="19" t="n">
        <x:f>'两日价格与决策'!AB23</x:f>
        <x:v>0</x:v>
      </x:c>
      <x:c r="AC23" s="18" t="n">
        <x:f>'两日价格与决策'!AC23</x:f>
        <x:v>0.25</x:v>
      </x:c>
      <x:c r="AD23" s="20" t="n">
        <x:f>'两日价格与决策'!AD23</x:f>
        <x:v>1</x:v>
      </x:c>
      <x:c r="AE23" s="20" t="n">
        <x:f>'两日价格与决策'!AE23</x:f>
        <x:v>0</x:v>
      </x:c>
      <x:c r="AF23" s="20" t="n">
        <x:f>'两日价格与决策'!AF23</x:f>
        <x:v>0.013340000000000001</x:v>
      </x:c>
      <x:c r="AG23" s="18" t="n">
        <x:f>'两日价格与决策'!AG23</x:f>
        <x:v>200</x:v>
      </x:c>
      <x:c r="AH23" s="18" t="n">
        <x:f>'两日价格与决策'!AH23</x:f>
        <x:v>200</x:v>
      </x:c>
      <x:c r="AI23" s="18" t="n">
        <x:f>'两日价格与决策'!AI23</x:f>
        <x:v>0</x:v>
      </x:c>
      <x:c r="AJ23" s="18" t="n">
        <x:f>'两日价格与决策'!AJ23</x:f>
        <x:v>0.667</x:v>
      </x:c>
      <x:c r="AK23" s="18" t="str">
        <x:f>'两日价格与决策'!AK23</x:f>
        <x:v>缺失</x:v>
      </x:c>
      <x:c r="AL23" s="18" t="n">
        <x:f>'两日价格与决策'!AL23</x:f>
        <x:v>0</x:v>
      </x:c>
      <x:c r="AM23" s="18" t="n">
        <x:f>'两日价格与决策'!AM23</x:f>
        <x:v>0</x:v>
      </x:c>
      <x:c r="AN23" s="18" t="n">
        <x:f>'两日价格与决策'!AN23</x:f>
        <x:v>0</x:v>
      </x:c>
      <x:c r="AO23" s="18" t="n">
        <x:f>'两日价格与决策'!AO23</x:f>
        <x:v>10</x:v>
      </x:c>
      <x:c r="AP23" s="18" t="n">
        <x:f>'两日价格与决策'!AP23</x:f>
        <x:v>0</x:v>
      </x:c>
      <x:c r="AQ23" s="18" t="n">
        <x:f>'两日价格与决策'!AQ23</x:f>
        <x:v>4.9741</x:v>
      </x:c>
      <x:c r="AR23" s="21" t="n">
        <x:f>'两日价格与决策'!AR23</x:f>
        <x:v>45657</x:v>
      </x:c>
      <x:c r="AS23" s="17" t="n">
        <x:f>'两日价格与决策'!AS23</x:f>
        <x:v>45658.083333333336</x:v>
      </x:c>
      <x:c r="AT23" s="18" t="str">
        <x:f>'两日价格与决策'!AT23</x:f>
        <x:v>2025-01-01_4</x:v>
      </x:c>
      <x:c r="AU23" s="19" t="n">
        <x:f>'两日价格与决策'!AU23</x:f>
        <x:v>60</x:v>
      </x:c>
      <x:c r="AV23" s="18" t="str">
        <x:f>'两日价格与决策'!AV23</x:f>
        <x:v>OK</x:v>
      </x:c>
    </x:row>
    <x:row r="24" ht="21" customHeight="1">
      <x:c r="A24" s="17" t="n">
        <x:f>'两日价格与决策'!A24</x:f>
        <x:v>45658.177083333336</x:v>
      </x:c>
      <x:c r="B24" s="23" t="n">
        <x:f>'两日价格与决策'!B24</x:f>
        <x:v>84.48</x:v>
      </x:c>
      <x:c r="C24" s="23" t="str">
        <x:f>'两日价格与决策'!C24</x:f>
        <x:v>缺失</x:v>
      </x:c>
      <x:c r="D24" s="23" t="n">
        <x:f>'两日价格与决策'!D24</x:f>
        <x:v>13.71102309965622</x:v>
      </x:c>
      <x:c r="E24" s="23" t="n">
        <x:f>'两日价格与决策'!E24</x:f>
        <x:v>14.710198829939085</x:v>
      </x:c>
      <x:c r="F24" s="23" t="n">
        <x:f>'两日价格与决策'!F24</x:f>
        <x:v>136.70814820771596</x:v>
      </x:c>
      <x:c r="G24" s="23" t="n">
        <x:f>'两日价格与决策'!G24</x:f>
        <x:v>59.1240626444985</x:v>
      </x:c>
      <x:c r="H24" s="23" t="str">
        <x:f>'两日价格与决策'!H24</x:f>
        <x:v>未模拟</x:v>
      </x:c>
      <x:c r="I24" s="24" t="n">
        <x:f>'两日价格与决策'!I24</x:f>
        <x:v>10</x:v>
      </x:c>
      <x:c r="J24" s="24" t="n">
        <x:f>'两日价格与决策'!J24</x:f>
        <x:v>10</x:v>
      </x:c>
      <x:c r="K24" s="24" t="n">
        <x:f>'两日价格与决策'!K24</x:f>
        <x:v>0</x:v>
      </x:c>
      <x:c r="L24" s="24" t="n">
        <x:f>'两日价格与决策'!L24</x:f>
        <x:v>0</x:v>
      </x:c>
      <x:c r="M24" s="24" t="n">
        <x:f>'两日价格与决策'!M24</x:f>
        <x:v>0</x:v>
      </x:c>
      <x:c r="N24" s="24" t="n">
        <x:f>'两日价格与决策'!N24</x:f>
        <x:v>0</x:v>
      </x:c>
      <x:c r="O24" s="24" t="n">
        <x:f>'两日价格与决策'!O24</x:f>
        <x:v>0</x:v>
      </x:c>
      <x:c r="P24" s="24" t="n">
        <x:f>'两日价格与决策'!P24</x:f>
        <x:v>0</x:v>
      </x:c>
      <x:c r="Q24" s="25" t="n">
        <x:f>'两日价格与决策'!Q24</x:f>
        <x:v>0</x:v>
      </x:c>
      <x:c r="R24" s="25" t="n">
        <x:f>'两日价格与决策'!R24</x:f>
        <x:v>0</x:v>
      </x:c>
      <x:c r="S24" s="25" t="n">
        <x:f>'两日价格与决策'!S24</x:f>
        <x:v>0</x:v>
      </x:c>
      <x:c r="T24" s="25" t="n">
        <x:f>'两日价格与决策'!T24</x:f>
        <x:v>0</x:v>
      </x:c>
      <x:c r="U24" s="25" t="n">
        <x:f>'两日价格与决策'!U24</x:f>
        <x:v>0</x:v>
      </x:c>
      <x:c r="V24" s="25" t="n">
        <x:f>'两日价格与决策'!V24</x:f>
        <x:v>0</x:v>
      </x:c>
      <x:c r="W24" s="25" t="n">
        <x:f>'两日价格与决策'!W24</x:f>
        <x:v>0</x:v>
      </x:c>
      <x:c r="X24" s="18" t="n">
        <x:f>'两日价格与决策'!X24</x:f>
        <x:v>0</x:v>
      </x:c>
      <x:c r="Y24" s="18" t="n">
        <x:f>'两日价格与决策'!Y24</x:f>
        <x:v>0</x:v>
      </x:c>
      <x:c r="Z24" s="18" t="str">
        <x:f>'两日价格与决策'!Z24</x:f>
        <x:v>1月1日执行｜初始化零订单</x:v>
      </x:c>
      <x:c r="AA24" s="19" t="n">
        <x:f>'两日价格与决策'!AA24</x:f>
        <x:v>1</x:v>
      </x:c>
      <x:c r="AB24" s="19" t="n">
        <x:f>'两日价格与决策'!AB24</x:f>
        <x:v>0</x:v>
      </x:c>
      <x:c r="AC24" s="18" t="n">
        <x:f>'两日价格与决策'!AC24</x:f>
        <x:v>0.25</x:v>
      </x:c>
      <x:c r="AD24" s="20" t="n">
        <x:f>'两日价格与决策'!AD24</x:f>
        <x:v>1</x:v>
      </x:c>
      <x:c r="AE24" s="20" t="n">
        <x:f>'两日价格与决策'!AE24</x:f>
        <x:v>0.02004</x:v>
      </x:c>
      <x:c r="AF24" s="20" t="n">
        <x:f>'两日价格与决策'!AF24</x:f>
        <x:v>0.01576</x:v>
      </x:c>
      <x:c r="AG24" s="18" t="n">
        <x:f>'两日价格与决策'!AG24</x:f>
        <x:v>200</x:v>
      </x:c>
      <x:c r="AH24" s="18" t="n">
        <x:f>'两日价格与决策'!AH24</x:f>
        <x:v>200</x:v>
      </x:c>
      <x:c r="AI24" s="18" t="n">
        <x:f>'两日价格与决策'!AI24</x:f>
        <x:v>1.002</x:v>
      </x:c>
      <x:c r="AJ24" s="18" t="n">
        <x:f>'两日价格与决策'!AJ24</x:f>
        <x:v>0.788</x:v>
      </x:c>
      <x:c r="AK24" s="18" t="str">
        <x:f>'两日价格与决策'!AK24</x:f>
        <x:v>缺失</x:v>
      </x:c>
      <x:c r="AL24" s="18" t="n">
        <x:f>'两日价格与决策'!AL24</x:f>
        <x:v>0</x:v>
      </x:c>
      <x:c r="AM24" s="18" t="n">
        <x:f>'两日价格与决策'!AM24</x:f>
        <x:v>0</x:v>
      </x:c>
      <x:c r="AN24" s="18" t="n">
        <x:f>'两日价格与决策'!AN24</x:f>
        <x:v>0</x:v>
      </x:c>
      <x:c r="AO24" s="18" t="n">
        <x:f>'两日价格与决策'!AO24</x:f>
        <x:v>10</x:v>
      </x:c>
      <x:c r="AP24" s="18" t="n">
        <x:f>'两日价格与决策'!AP24</x:f>
        <x:v>0</x:v>
      </x:c>
      <x:c r="AQ24" s="18" t="n">
        <x:f>'两日价格与决策'!AQ24</x:f>
        <x:v>4.9741</x:v>
      </x:c>
      <x:c r="AR24" s="21" t="n">
        <x:f>'两日价格与决策'!AR24</x:f>
        <x:v>45657</x:v>
      </x:c>
      <x:c r="AS24" s="17" t="n">
        <x:f>'两日价格与决策'!AS24</x:f>
        <x:v>45658.09375</x:v>
      </x:c>
      <x:c r="AT24" s="18" t="str">
        <x:f>'两日价格与决策'!AT24</x:f>
        <x:v>2025-01-01_4</x:v>
      </x:c>
      <x:c r="AU24" s="19" t="n">
        <x:f>'两日价格与决策'!AU24</x:f>
        <x:v>60</x:v>
      </x:c>
      <x:c r="AV24" s="18" t="str">
        <x:f>'两日价格与决策'!AV24</x:f>
        <x:v>OK</x:v>
      </x:c>
    </x:row>
    <x:row r="25" ht="21" customHeight="1">
      <x:c r="A25" s="17" t="n">
        <x:f>'两日价格与决策'!A25</x:f>
        <x:v>45658.1875</x:v>
      </x:c>
      <x:c r="B25" s="23" t="n">
        <x:f>'两日价格与决策'!B25</x:f>
        <x:v>84.48</x:v>
      </x:c>
      <x:c r="C25" s="23" t="str">
        <x:f>'两日价格与决策'!C25</x:f>
        <x:v>缺失</x:v>
      </x:c>
      <x:c r="D25" s="23" t="n">
        <x:f>'两日价格与决策'!D25</x:f>
        <x:v>13.71102309965622</x:v>
      </x:c>
      <x:c r="E25" s="23" t="n">
        <x:f>'两日价格与决策'!E25</x:f>
        <x:v>14.710198829939085</x:v>
      </x:c>
      <x:c r="F25" s="23" t="n">
        <x:f>'两日价格与决策'!F25</x:f>
        <x:v>136.70814820771596</x:v>
      </x:c>
      <x:c r="G25" s="23" t="n">
        <x:f>'两日价格与决策'!G25</x:f>
        <x:v>0</x:v>
      </x:c>
      <x:c r="H25" s="23" t="str">
        <x:f>'两日价格与决策'!H25</x:f>
        <x:v>未模拟</x:v>
      </x:c>
      <x:c r="I25" s="24" t="n">
        <x:f>'两日价格与决策'!I25</x:f>
        <x:v>10</x:v>
      </x:c>
      <x:c r="J25" s="24" t="n">
        <x:f>'两日价格与决策'!J25</x:f>
        <x:v>10</x:v>
      </x:c>
      <x:c r="K25" s="24" t="n">
        <x:f>'两日价格与决策'!K25</x:f>
        <x:v>0</x:v>
      </x:c>
      <x:c r="L25" s="24" t="n">
        <x:f>'两日价格与决策'!L25</x:f>
        <x:v>0</x:v>
      </x:c>
      <x:c r="M25" s="24" t="n">
        <x:f>'两日价格与决策'!M25</x:f>
        <x:v>0</x:v>
      </x:c>
      <x:c r="N25" s="24" t="n">
        <x:f>'两日价格与决策'!N25</x:f>
        <x:v>0</x:v>
      </x:c>
      <x:c r="O25" s="24" t="n">
        <x:f>'两日价格与决策'!O25</x:f>
        <x:v>0</x:v>
      </x:c>
      <x:c r="P25" s="24" t="n">
        <x:f>'两日价格与决策'!P25</x:f>
        <x:v>0</x:v>
      </x:c>
      <x:c r="Q25" s="25" t="n">
        <x:f>'两日价格与决策'!Q25</x:f>
        <x:v>0</x:v>
      </x:c>
      <x:c r="R25" s="25" t="n">
        <x:f>'两日价格与决策'!R25</x:f>
        <x:v>0</x:v>
      </x:c>
      <x:c r="S25" s="25" t="n">
        <x:f>'两日价格与决策'!S25</x:f>
        <x:v>0</x:v>
      </x:c>
      <x:c r="T25" s="25" t="n">
        <x:f>'两日价格与决策'!T25</x:f>
        <x:v>0</x:v>
      </x:c>
      <x:c r="U25" s="25" t="n">
        <x:f>'两日价格与决策'!U25</x:f>
        <x:v>0</x:v>
      </x:c>
      <x:c r="V25" s="25" t="n">
        <x:f>'两日价格与决策'!V25</x:f>
        <x:v>0</x:v>
      </x:c>
      <x:c r="W25" s="25" t="n">
        <x:f>'两日价格与决策'!W25</x:f>
        <x:v>0</x:v>
      </x:c>
      <x:c r="X25" s="18" t="n">
        <x:f>'两日价格与决策'!X25</x:f>
        <x:v>0</x:v>
      </x:c>
      <x:c r="Y25" s="18" t="n">
        <x:f>'两日价格与决策'!Y25</x:f>
        <x:v>0</x:v>
      </x:c>
      <x:c r="Z25" s="18" t="str">
        <x:f>'两日价格与决策'!Z25</x:f>
        <x:v>1月1日执行｜初始化零订单</x:v>
      </x:c>
      <x:c r="AA25" s="19" t="n">
        <x:f>'两日价格与决策'!AA25</x:f>
        <x:v>1</x:v>
      </x:c>
      <x:c r="AB25" s="19" t="n">
        <x:f>'两日价格与决策'!AB25</x:f>
        <x:v>0</x:v>
      </x:c>
      <x:c r="AC25" s="18" t="n">
        <x:f>'两日价格与决策'!AC25</x:f>
        <x:v>0.25</x:v>
      </x:c>
      <x:c r="AD25" s="20" t="n">
        <x:f>'两日价格与决策'!AD25</x:f>
        <x:v>1</x:v>
      </x:c>
      <x:c r="AE25" s="20" t="n">
        <x:f>'两日价格与决策'!AE25</x:f>
        <x:v>0.04598</x:v>
      </x:c>
      <x:c r="AF25" s="20" t="n">
        <x:f>'两日价格与决策'!AF25</x:f>
        <x:v>0</x:v>
      </x:c>
      <x:c r="AG25" s="18" t="n">
        <x:f>'两日价格与决策'!AG25</x:f>
        <x:v>200</x:v>
      </x:c>
      <x:c r="AH25" s="18" t="n">
        <x:f>'两日价格与决策'!AH25</x:f>
        <x:v>200</x:v>
      </x:c>
      <x:c r="AI25" s="18" t="n">
        <x:f>'两日价格与决策'!AI25</x:f>
        <x:v>2.299</x:v>
      </x:c>
      <x:c r="AJ25" s="18" t="n">
        <x:f>'两日价格与决策'!AJ25</x:f>
        <x:v>0</x:v>
      </x:c>
      <x:c r="AK25" s="18" t="str">
        <x:f>'两日价格与决策'!AK25</x:f>
        <x:v>缺失</x:v>
      </x:c>
      <x:c r="AL25" s="18" t="n">
        <x:f>'两日价格与决策'!AL25</x:f>
        <x:v>0</x:v>
      </x:c>
      <x:c r="AM25" s="18" t="n">
        <x:f>'两日价格与决策'!AM25</x:f>
        <x:v>0</x:v>
      </x:c>
      <x:c r="AN25" s="18" t="n">
        <x:f>'两日价格与决策'!AN25</x:f>
        <x:v>0</x:v>
      </x:c>
      <x:c r="AO25" s="18" t="n">
        <x:f>'两日价格与决策'!AO25</x:f>
        <x:v>10</x:v>
      </x:c>
      <x:c r="AP25" s="18" t="n">
        <x:f>'两日价格与决策'!AP25</x:f>
        <x:v>0</x:v>
      </x:c>
      <x:c r="AQ25" s="18" t="n">
        <x:f>'两日价格与决策'!AQ25</x:f>
        <x:v>4.9741</x:v>
      </x:c>
      <x:c r="AR25" s="21" t="n">
        <x:f>'两日价格与决策'!AR25</x:f>
        <x:v>45657</x:v>
      </x:c>
      <x:c r="AS25" s="17" t="n">
        <x:f>'两日价格与决策'!AS25</x:f>
        <x:v>45658.104166666664</x:v>
      </x:c>
      <x:c r="AT25" s="18" t="str">
        <x:f>'两日价格与决策'!AT25</x:f>
        <x:v>2025-01-01_4</x:v>
      </x:c>
      <x:c r="AU25" s="19" t="n">
        <x:f>'两日价格与决策'!AU25</x:f>
        <x:v>60</x:v>
      </x:c>
      <x:c r="AV25" s="18" t="str">
        <x:f>'两日价格与决策'!AV25</x:f>
        <x:v>OK</x:v>
      </x:c>
    </x:row>
    <x:row r="26" ht="21" customHeight="1">
      <x:c r="A26" s="17" t="n">
        <x:f>'两日价格与决策'!A26</x:f>
        <x:v>45658.197916666664</x:v>
      </x:c>
      <x:c r="B26" s="23" t="n">
        <x:f>'两日价格与决策'!B26</x:f>
        <x:v>84.48</x:v>
      </x:c>
      <x:c r="C26" s="23" t="str">
        <x:f>'两日价格与决策'!C26</x:f>
        <x:v>缺失</x:v>
      </x:c>
      <x:c r="D26" s="23" t="n">
        <x:f>'两日价格与决策'!D26</x:f>
        <x:v>13.71102309965622</x:v>
      </x:c>
      <x:c r="E26" s="23" t="n">
        <x:f>'两日价格与决策'!E26</x:f>
        <x:v>14.710198829939085</x:v>
      </x:c>
      <x:c r="F26" s="23" t="n">
        <x:f>'两日价格与决策'!F26</x:f>
        <x:v>136.70814820771596</x:v>
      </x:c>
      <x:c r="G26" s="23" t="n">
        <x:f>'两日价格与决策'!G26</x:f>
        <x:v>60.1113769325104</x:v>
      </x:c>
      <x:c r="H26" s="23" t="str">
        <x:f>'两日价格与决策'!H26</x:f>
        <x:v>未模拟</x:v>
      </x:c>
      <x:c r="I26" s="24" t="n">
        <x:f>'两日价格与决策'!I26</x:f>
        <x:v>10</x:v>
      </x:c>
      <x:c r="J26" s="24" t="n">
        <x:f>'两日价格与决策'!J26</x:f>
        <x:v>10</x:v>
      </x:c>
      <x:c r="K26" s="24" t="n">
        <x:f>'两日价格与决策'!K26</x:f>
        <x:v>0</x:v>
      </x:c>
      <x:c r="L26" s="24" t="n">
        <x:f>'两日价格与决策'!L26</x:f>
        <x:v>0</x:v>
      </x:c>
      <x:c r="M26" s="24" t="n">
        <x:f>'两日价格与决策'!M26</x:f>
        <x:v>0</x:v>
      </x:c>
      <x:c r="N26" s="24" t="n">
        <x:f>'两日价格与决策'!N26</x:f>
        <x:v>0</x:v>
      </x:c>
      <x:c r="O26" s="24" t="n">
        <x:f>'两日价格与决策'!O26</x:f>
        <x:v>0</x:v>
      </x:c>
      <x:c r="P26" s="24" t="n">
        <x:f>'两日价格与决策'!P26</x:f>
        <x:v>0</x:v>
      </x:c>
      <x:c r="Q26" s="25" t="n">
        <x:f>'两日价格与决策'!Q26</x:f>
        <x:v>0</x:v>
      </x:c>
      <x:c r="R26" s="25" t="n">
        <x:f>'两日价格与决策'!R26</x:f>
        <x:v>0</x:v>
      </x:c>
      <x:c r="S26" s="25" t="n">
        <x:f>'两日价格与决策'!S26</x:f>
        <x:v>0</x:v>
      </x:c>
      <x:c r="T26" s="25" t="n">
        <x:f>'两日价格与决策'!T26</x:f>
        <x:v>0</x:v>
      </x:c>
      <x:c r="U26" s="25" t="n">
        <x:f>'两日价格与决策'!U26</x:f>
        <x:v>0</x:v>
      </x:c>
      <x:c r="V26" s="25" t="n">
        <x:f>'两日价格与决策'!V26</x:f>
        <x:v>0</x:v>
      </x:c>
      <x:c r="W26" s="25" t="n">
        <x:f>'两日价格与决策'!W26</x:f>
        <x:v>0</x:v>
      </x:c>
      <x:c r="X26" s="18" t="n">
        <x:f>'两日价格与决策'!X26</x:f>
        <x:v>0</x:v>
      </x:c>
      <x:c r="Y26" s="18" t="n">
        <x:f>'两日价格与决策'!Y26</x:f>
        <x:v>0</x:v>
      </x:c>
      <x:c r="Z26" s="18" t="str">
        <x:f>'两日价格与决策'!Z26</x:f>
        <x:v>1月1日执行｜初始化零订单</x:v>
      </x:c>
      <x:c r="AA26" s="19" t="n">
        <x:f>'两日价格与决策'!AA26</x:f>
        <x:v>1</x:v>
      </x:c>
      <x:c r="AB26" s="19" t="n">
        <x:f>'两日价格与决策'!AB26</x:f>
        <x:v>0</x:v>
      </x:c>
      <x:c r="AC26" s="18" t="n">
        <x:f>'两日价格与决策'!AC26</x:f>
        <x:v>0.25</x:v>
      </x:c>
      <x:c r="AD26" s="20" t="n">
        <x:f>'两日价格与决策'!AD26</x:f>
        <x:v>1</x:v>
      </x:c>
      <x:c r="AE26" s="20" t="n">
        <x:f>'两日价格与决策'!AE26</x:f>
        <x:v>0.00256</x:v>
      </x:c>
      <x:c r="AF26" s="20" t="n">
        <x:f>'两日价格与决策'!AF26</x:f>
        <x:v>0.00422</x:v>
      </x:c>
      <x:c r="AG26" s="18" t="n">
        <x:f>'两日价格与决策'!AG26</x:f>
        <x:v>200</x:v>
      </x:c>
      <x:c r="AH26" s="18" t="n">
        <x:f>'两日价格与决策'!AH26</x:f>
        <x:v>200</x:v>
      </x:c>
      <x:c r="AI26" s="18" t="n">
        <x:f>'两日价格与决策'!AI26</x:f>
        <x:v>0.128</x:v>
      </x:c>
      <x:c r="AJ26" s="18" t="n">
        <x:f>'两日价格与决策'!AJ26</x:f>
        <x:v>0.211</x:v>
      </x:c>
      <x:c r="AK26" s="18" t="str">
        <x:f>'两日价格与决策'!AK26</x:f>
        <x:v>缺失</x:v>
      </x:c>
      <x:c r="AL26" s="18" t="n">
        <x:f>'两日价格与决策'!AL26</x:f>
        <x:v>0</x:v>
      </x:c>
      <x:c r="AM26" s="18" t="n">
        <x:f>'两日价格与决策'!AM26</x:f>
        <x:v>0</x:v>
      </x:c>
      <x:c r="AN26" s="18" t="n">
        <x:f>'两日价格与决策'!AN26</x:f>
        <x:v>0</x:v>
      </x:c>
      <x:c r="AO26" s="18" t="n">
        <x:f>'两日价格与决策'!AO26</x:f>
        <x:v>10</x:v>
      </x:c>
      <x:c r="AP26" s="18" t="n">
        <x:f>'两日价格与决策'!AP26</x:f>
        <x:v>0</x:v>
      </x:c>
      <x:c r="AQ26" s="18" t="n">
        <x:f>'两日价格与决策'!AQ26</x:f>
        <x:v>4.9741</x:v>
      </x:c>
      <x:c r="AR26" s="21" t="n">
        <x:f>'两日价格与决策'!AR26</x:f>
        <x:v>45657</x:v>
      </x:c>
      <x:c r="AS26" s="17" t="n">
        <x:f>'两日价格与决策'!AS26</x:f>
        <x:v>45658.114583333336</x:v>
      </x:c>
      <x:c r="AT26" s="18" t="str">
        <x:f>'两日价格与决策'!AT26</x:f>
        <x:v>2025-01-01_4</x:v>
      </x:c>
      <x:c r="AU26" s="19" t="n">
        <x:f>'两日价格与决策'!AU26</x:f>
        <x:v>60</x:v>
      </x:c>
      <x:c r="AV26" s="18" t="str">
        <x:f>'两日价格与决策'!AV26</x:f>
        <x:v>OK</x:v>
      </x:c>
    </x:row>
    <x:row r="27" ht="21" customHeight="1">
      <x:c r="A27" s="17" t="n">
        <x:f>'两日价格与决策'!A27</x:f>
        <x:v>45658.208333333336</x:v>
      </x:c>
      <x:c r="B27" s="23" t="n">
        <x:f>'两日价格与决策'!B27</x:f>
        <x:v>64.28</x:v>
      </x:c>
      <x:c r="C27" s="23" t="str">
        <x:f>'两日价格与决策'!C27</x:f>
        <x:v>缺失</x:v>
      </x:c>
      <x:c r="D27" s="23" t="n">
        <x:f>'两日价格与决策'!D27</x:f>
        <x:v>13.71102309965622</x:v>
      </x:c>
      <x:c r="E27" s="23" t="n">
        <x:f>'两日价格与决策'!E27</x:f>
        <x:v>14.173418306829376</x:v>
      </x:c>
      <x:c r="F27" s="23" t="n">
        <x:f>'两日价格与决策'!F27</x:f>
        <x:v>152.06087533423133</x:v>
      </x:c>
      <x:c r="G27" s="23" t="n">
        <x:f>'两日价格与决策'!G27</x:f>
        <x:v>0</x:v>
      </x:c>
      <x:c r="H27" s="23" t="str">
        <x:f>'两日价格与决策'!H27</x:f>
        <x:v>未模拟</x:v>
      </x:c>
      <x:c r="I27" s="24" t="n">
        <x:f>'两日价格与决策'!I27</x:f>
        <x:v>10</x:v>
      </x:c>
      <x:c r="J27" s="24" t="n">
        <x:f>'两日价格与决策'!J27</x:f>
        <x:v>10</x:v>
      </x:c>
      <x:c r="K27" s="24" t="n">
        <x:f>'两日价格与决策'!K27</x:f>
        <x:v>0</x:v>
      </x:c>
      <x:c r="L27" s="24" t="n">
        <x:f>'两日价格与决策'!L27</x:f>
        <x:v>0</x:v>
      </x:c>
      <x:c r="M27" s="24" t="n">
        <x:f>'两日价格与决策'!M27</x:f>
        <x:v>0</x:v>
      </x:c>
      <x:c r="N27" s="24" t="n">
        <x:f>'两日价格与决策'!N27</x:f>
        <x:v>0</x:v>
      </x:c>
      <x:c r="O27" s="24" t="n">
        <x:f>'两日价格与决策'!O27</x:f>
        <x:v>0</x:v>
      </x:c>
      <x:c r="P27" s="24" t="n">
        <x:f>'两日价格与决策'!P27</x:f>
        <x:v>0</x:v>
      </x:c>
      <x:c r="Q27" s="25" t="n">
        <x:f>'两日价格与决策'!Q27</x:f>
        <x:v>0</x:v>
      </x:c>
      <x:c r="R27" s="25" t="n">
        <x:f>'两日价格与决策'!R27</x:f>
        <x:v>0</x:v>
      </x:c>
      <x:c r="S27" s="25" t="n">
        <x:f>'两日价格与决策'!S27</x:f>
        <x:v>0</x:v>
      </x:c>
      <x:c r="T27" s="25" t="n">
        <x:f>'两日价格与决策'!T27</x:f>
        <x:v>0</x:v>
      </x:c>
      <x:c r="U27" s="25" t="n">
        <x:f>'两日价格与决策'!U27</x:f>
        <x:v>0</x:v>
      </x:c>
      <x:c r="V27" s="25" t="n">
        <x:f>'两日价格与决策'!V27</x:f>
        <x:v>0</x:v>
      </x:c>
      <x:c r="W27" s="25" t="n">
        <x:f>'两日价格与决策'!W27</x:f>
        <x:v>0</x:v>
      </x:c>
      <x:c r="X27" s="18" t="n">
        <x:f>'两日价格与决策'!X27</x:f>
        <x:v>0</x:v>
      </x:c>
      <x:c r="Y27" s="18" t="n">
        <x:f>'两日价格与决策'!Y27</x:f>
        <x:v>0</x:v>
      </x:c>
      <x:c r="Z27" s="18" t="str">
        <x:f>'两日价格与决策'!Z27</x:f>
        <x:v>1月1日执行｜初始化零订单</x:v>
      </x:c>
      <x:c r="AA27" s="19" t="n">
        <x:f>'两日价格与决策'!AA27</x:f>
        <x:v>1</x:v>
      </x:c>
      <x:c r="AB27" s="19" t="n">
        <x:f>'两日价格与决策'!AB27</x:f>
        <x:v>0</x:v>
      </x:c>
      <x:c r="AC27" s="18" t="n">
        <x:f>'两日价格与决策'!AC27</x:f>
        <x:v>0.25</x:v>
      </x:c>
      <x:c r="AD27" s="20" t="n">
        <x:f>'两日价格与决策'!AD27</x:f>
        <x:v>1</x:v>
      </x:c>
      <x:c r="AE27" s="20" t="n">
        <x:f>'两日价格与决策'!AE27</x:f>
        <x:v>0.18372</x:v>
      </x:c>
      <x:c r="AF27" s="20" t="n">
        <x:f>'两日价格与决策'!AF27</x:f>
        <x:v>0</x:v>
      </x:c>
      <x:c r="AG27" s="18" t="n">
        <x:f>'两日价格与决策'!AG27</x:f>
        <x:v>200</x:v>
      </x:c>
      <x:c r="AH27" s="18" t="n">
        <x:f>'两日价格与决策'!AH27</x:f>
        <x:v>200</x:v>
      </x:c>
      <x:c r="AI27" s="18" t="n">
        <x:f>'两日价格与决策'!AI27</x:f>
        <x:v>9.186</x:v>
      </x:c>
      <x:c r="AJ27" s="18" t="n">
        <x:f>'两日价格与决策'!AJ27</x:f>
        <x:v>0</x:v>
      </x:c>
      <x:c r="AK27" s="18" t="str">
        <x:f>'两日价格与决策'!AK27</x:f>
        <x:v>缺失</x:v>
      </x:c>
      <x:c r="AL27" s="18" t="n">
        <x:f>'两日价格与决策'!AL27</x:f>
        <x:v>0</x:v>
      </x:c>
      <x:c r="AM27" s="18" t="n">
        <x:f>'两日价格与决策'!AM27</x:f>
        <x:v>0</x:v>
      </x:c>
      <x:c r="AN27" s="18" t="n">
        <x:f>'两日价格与决策'!AN27</x:f>
        <x:v>0</x:v>
      </x:c>
      <x:c r="AO27" s="18" t="n">
        <x:f>'两日价格与决策'!AO27</x:f>
        <x:v>10</x:v>
      </x:c>
      <x:c r="AP27" s="18" t="n">
        <x:f>'两日价格与决策'!AP27</x:f>
        <x:v>0</x:v>
      </x:c>
      <x:c r="AQ27" s="18" t="n">
        <x:f>'两日价格与决策'!AQ27</x:f>
        <x:v>4.9741</x:v>
      </x:c>
      <x:c r="AR27" s="21" t="n">
        <x:f>'两日价格与决策'!AR27</x:f>
        <x:v>45657</x:v>
      </x:c>
      <x:c r="AS27" s="17" t="n">
        <x:f>'两日价格与决策'!AS27</x:f>
        <x:v>45658.125</x:v>
      </x:c>
      <x:c r="AT27" s="18" t="str">
        <x:f>'两日价格与决策'!AT27</x:f>
        <x:v>2025-01-01_5</x:v>
      </x:c>
      <x:c r="AU27" s="19" t="n">
        <x:f>'两日价格与决策'!AU27</x:f>
        <x:v>60</x:v>
      </x:c>
      <x:c r="AV27" s="18" t="str">
        <x:f>'两日价格与决策'!AV27</x:f>
        <x:v>OK</x:v>
      </x:c>
    </x:row>
    <x:row r="28" ht="21" customHeight="1">
      <x:c r="A28" s="17" t="n">
        <x:f>'两日价格与决策'!A28</x:f>
        <x:v>45658.21875</x:v>
      </x:c>
      <x:c r="B28" s="23" t="n">
        <x:f>'两日价格与决策'!B28</x:f>
        <x:v>64.28</x:v>
      </x:c>
      <x:c r="C28" s="23" t="str">
        <x:f>'两日价格与决策'!C28</x:f>
        <x:v>缺失</x:v>
      </x:c>
      <x:c r="D28" s="23" t="n">
        <x:f>'两日价格与决策'!D28</x:f>
        <x:v>13.71102309965622</x:v>
      </x:c>
      <x:c r="E28" s="23" t="n">
        <x:f>'两日价格与决策'!E28</x:f>
        <x:v>14.173418306829376</x:v>
      </x:c>
      <x:c r="F28" s="23" t="n">
        <x:f>'两日价格与决策'!F28</x:f>
        <x:v>141.37833980016487</x:v>
      </x:c>
      <x:c r="G28" s="23" t="n">
        <x:f>'两日价格与决策'!G28</x:f>
        <x:v>0</x:v>
      </x:c>
      <x:c r="H28" s="23" t="str">
        <x:f>'两日价格与决策'!H28</x:f>
        <x:v>未模拟</x:v>
      </x:c>
      <x:c r="I28" s="24" t="n">
        <x:f>'两日价格与决策'!I28</x:f>
        <x:v>10</x:v>
      </x:c>
      <x:c r="J28" s="24" t="n">
        <x:f>'两日价格与决策'!J28</x:f>
        <x:v>10</x:v>
      </x:c>
      <x:c r="K28" s="24" t="n">
        <x:f>'两日价格与决策'!K28</x:f>
        <x:v>0</x:v>
      </x:c>
      <x:c r="L28" s="24" t="n">
        <x:f>'两日价格与决策'!L28</x:f>
        <x:v>0</x:v>
      </x:c>
      <x:c r="M28" s="24" t="n">
        <x:f>'两日价格与决策'!M28</x:f>
        <x:v>0</x:v>
      </x:c>
      <x:c r="N28" s="24" t="n">
        <x:f>'两日价格与决策'!N28</x:f>
        <x:v>0</x:v>
      </x:c>
      <x:c r="O28" s="24" t="n">
        <x:f>'两日价格与决策'!O28</x:f>
        <x:v>0</x:v>
      </x:c>
      <x:c r="P28" s="24" t="n">
        <x:f>'两日价格与决策'!P28</x:f>
        <x:v>0</x:v>
      </x:c>
      <x:c r="Q28" s="25" t="n">
        <x:f>'两日价格与决策'!Q28</x:f>
        <x:v>0</x:v>
      </x:c>
      <x:c r="R28" s="25" t="n">
        <x:f>'两日价格与决策'!R28</x:f>
        <x:v>0</x:v>
      </x:c>
      <x:c r="S28" s="25" t="n">
        <x:f>'两日价格与决策'!S28</x:f>
        <x:v>0</x:v>
      </x:c>
      <x:c r="T28" s="25" t="n">
        <x:f>'两日价格与决策'!T28</x:f>
        <x:v>0</x:v>
      </x:c>
      <x:c r="U28" s="25" t="n">
        <x:f>'两日价格与决策'!U28</x:f>
        <x:v>0</x:v>
      </x:c>
      <x:c r="V28" s="25" t="n">
        <x:f>'两日价格与决策'!V28</x:f>
        <x:v>0</x:v>
      </x:c>
      <x:c r="W28" s="25" t="n">
        <x:f>'两日价格与决策'!W28</x:f>
        <x:v>0</x:v>
      </x:c>
      <x:c r="X28" s="18" t="n">
        <x:f>'两日价格与决策'!X28</x:f>
        <x:v>0</x:v>
      </x:c>
      <x:c r="Y28" s="18" t="n">
        <x:f>'两日价格与决策'!Y28</x:f>
        <x:v>0</x:v>
      </x:c>
      <x:c r="Z28" s="18" t="str">
        <x:f>'两日价格与决策'!Z28</x:f>
        <x:v>1月1日执行｜初始化零订单</x:v>
      </x:c>
      <x:c r="AA28" s="19" t="n">
        <x:f>'两日价格与决策'!AA28</x:f>
        <x:v>1</x:v>
      </x:c>
      <x:c r="AB28" s="19" t="n">
        <x:f>'两日价格与决策'!AB28</x:f>
        <x:v>0</x:v>
      </x:c>
      <x:c r="AC28" s="18" t="n">
        <x:f>'两日价格与决策'!AC28</x:f>
        <x:v>0.25</x:v>
      </x:c>
      <x:c r="AD28" s="20" t="n">
        <x:f>'两日价格与决策'!AD28</x:f>
        <x:v>1</x:v>
      </x:c>
      <x:c r="AE28" s="20" t="n">
        <x:f>'两日价格与决策'!AE28</x:f>
        <x:v>0.14116</x:v>
      </x:c>
      <x:c r="AF28" s="20" t="n">
        <x:f>'两日价格与决策'!AF28</x:f>
        <x:v>0</x:v>
      </x:c>
      <x:c r="AG28" s="18" t="n">
        <x:f>'两日价格与决策'!AG28</x:f>
        <x:v>200</x:v>
      </x:c>
      <x:c r="AH28" s="18" t="n">
        <x:f>'两日价格与决策'!AH28</x:f>
        <x:v>200</x:v>
      </x:c>
      <x:c r="AI28" s="18" t="n">
        <x:f>'两日价格与决策'!AI28</x:f>
        <x:v>7.058</x:v>
      </x:c>
      <x:c r="AJ28" s="18" t="n">
        <x:f>'两日价格与决策'!AJ28</x:f>
        <x:v>0</x:v>
      </x:c>
      <x:c r="AK28" s="18" t="str">
        <x:f>'两日价格与决策'!AK28</x:f>
        <x:v>缺失</x:v>
      </x:c>
      <x:c r="AL28" s="18" t="n">
        <x:f>'两日价格与决策'!AL28</x:f>
        <x:v>0</x:v>
      </x:c>
      <x:c r="AM28" s="18" t="n">
        <x:f>'两日价格与决策'!AM28</x:f>
        <x:v>0</x:v>
      </x:c>
      <x:c r="AN28" s="18" t="n">
        <x:f>'两日价格与决策'!AN28</x:f>
        <x:v>0</x:v>
      </x:c>
      <x:c r="AO28" s="18" t="n">
        <x:f>'两日价格与决策'!AO28</x:f>
        <x:v>10</x:v>
      </x:c>
      <x:c r="AP28" s="18" t="n">
        <x:f>'两日价格与决策'!AP28</x:f>
        <x:v>0</x:v>
      </x:c>
      <x:c r="AQ28" s="18" t="n">
        <x:f>'两日价格与决策'!AQ28</x:f>
        <x:v>4.9741</x:v>
      </x:c>
      <x:c r="AR28" s="21" t="n">
        <x:f>'两日价格与决策'!AR28</x:f>
        <x:v>45657</x:v>
      </x:c>
      <x:c r="AS28" s="17" t="n">
        <x:f>'两日价格与决策'!AS28</x:f>
        <x:v>45658.135416666664</x:v>
      </x:c>
      <x:c r="AT28" s="18" t="str">
        <x:f>'两日价格与决策'!AT28</x:f>
        <x:v>2025-01-01_5</x:v>
      </x:c>
      <x:c r="AU28" s="19" t="n">
        <x:f>'两日价格与决策'!AU28</x:f>
        <x:v>60</x:v>
      </x:c>
      <x:c r="AV28" s="18" t="str">
        <x:f>'两日价格与决策'!AV28</x:f>
        <x:v>OK</x:v>
      </x:c>
    </x:row>
    <x:row r="29" ht="21" customHeight="1">
      <x:c r="A29" s="17" t="n">
        <x:f>'两日价格与决策'!A29</x:f>
        <x:v>45658.229166666664</x:v>
      </x:c>
      <x:c r="B29" s="23" t="n">
        <x:f>'两日价格与决策'!B29</x:f>
        <x:v>64.28</x:v>
      </x:c>
      <x:c r="C29" s="23" t="str">
        <x:f>'两日价格与决策'!C29</x:f>
        <x:v>缺失</x:v>
      </x:c>
      <x:c r="D29" s="23" t="n">
        <x:f>'两日价格与决策'!D29</x:f>
        <x:v>13.71102309965622</x:v>
      </x:c>
      <x:c r="E29" s="23" t="n">
        <x:f>'两日价格与决策'!E29</x:f>
        <x:v>14.173418306829376</x:v>
      </x:c>
      <x:c r="F29" s="23" t="n">
        <x:f>'两日价格与决策'!F29</x:f>
        <x:v>136.70814820771596</x:v>
      </x:c>
      <x:c r="G29" s="23" t="n">
        <x:f>'两日价格与决策'!G29</x:f>
        <x:v>0</x:v>
      </x:c>
      <x:c r="H29" s="23" t="str">
        <x:f>'两日价格与决策'!H29</x:f>
        <x:v>未模拟</x:v>
      </x:c>
      <x:c r="I29" s="24" t="n">
        <x:f>'两日价格与决策'!I29</x:f>
        <x:v>10</x:v>
      </x:c>
      <x:c r="J29" s="24" t="n">
        <x:f>'两日价格与决策'!J29</x:f>
        <x:v>10</x:v>
      </x:c>
      <x:c r="K29" s="24" t="n">
        <x:f>'两日价格与决策'!K29</x:f>
        <x:v>0</x:v>
      </x:c>
      <x:c r="L29" s="24" t="n">
        <x:f>'两日价格与决策'!L29</x:f>
        <x:v>0</x:v>
      </x:c>
      <x:c r="M29" s="24" t="n">
        <x:f>'两日价格与决策'!M29</x:f>
        <x:v>0</x:v>
      </x:c>
      <x:c r="N29" s="24" t="n">
        <x:f>'两日价格与决策'!N29</x:f>
        <x:v>0</x:v>
      </x:c>
      <x:c r="O29" s="24" t="n">
        <x:f>'两日价格与决策'!O29</x:f>
        <x:v>0</x:v>
      </x:c>
      <x:c r="P29" s="24" t="n">
        <x:f>'两日价格与决策'!P29</x:f>
        <x:v>0</x:v>
      </x:c>
      <x:c r="Q29" s="25" t="n">
        <x:f>'两日价格与决策'!Q29</x:f>
        <x:v>0</x:v>
      </x:c>
      <x:c r="R29" s="25" t="n">
        <x:f>'两日价格与决策'!R29</x:f>
        <x:v>0</x:v>
      </x:c>
      <x:c r="S29" s="25" t="n">
        <x:f>'两日价格与决策'!S29</x:f>
        <x:v>0</x:v>
      </x:c>
      <x:c r="T29" s="25" t="n">
        <x:f>'两日价格与决策'!T29</x:f>
        <x:v>0</x:v>
      </x:c>
      <x:c r="U29" s="25" t="n">
        <x:f>'两日价格与决策'!U29</x:f>
        <x:v>0</x:v>
      </x:c>
      <x:c r="V29" s="25" t="n">
        <x:f>'两日价格与决策'!V29</x:f>
        <x:v>0</x:v>
      </x:c>
      <x:c r="W29" s="25" t="n">
        <x:f>'两日价格与决策'!W29</x:f>
        <x:v>0</x:v>
      </x:c>
      <x:c r="X29" s="18" t="n">
        <x:f>'两日价格与决策'!X29</x:f>
        <x:v>0</x:v>
      </x:c>
      <x:c r="Y29" s="18" t="n">
        <x:f>'两日价格与决策'!Y29</x:f>
        <x:v>0</x:v>
      </x:c>
      <x:c r="Z29" s="18" t="str">
        <x:f>'两日价格与决策'!Z29</x:f>
        <x:v>1月1日执行｜初始化零订单</x:v>
      </x:c>
      <x:c r="AA29" s="19" t="n">
        <x:f>'两日价格与决策'!AA29</x:f>
        <x:v>1</x:v>
      </x:c>
      <x:c r="AB29" s="19" t="n">
        <x:f>'两日价格与决策'!AB29</x:f>
        <x:v>0</x:v>
      </x:c>
      <x:c r="AC29" s="18" t="n">
        <x:f>'两日价格与决策'!AC29</x:f>
        <x:v>0.25</x:v>
      </x:c>
      <x:c r="AD29" s="20" t="n">
        <x:f>'两日价格与决策'!AD29</x:f>
        <x:v>1</x:v>
      </x:c>
      <x:c r="AE29" s="20" t="n">
        <x:f>'两日价格与决策'!AE29</x:f>
        <x:v>0.10746</x:v>
      </x:c>
      <x:c r="AF29" s="20" t="n">
        <x:f>'两日价格与决策'!AF29</x:f>
        <x:v>0</x:v>
      </x:c>
      <x:c r="AG29" s="18" t="n">
        <x:f>'两日价格与决策'!AG29</x:f>
        <x:v>200</x:v>
      </x:c>
      <x:c r="AH29" s="18" t="n">
        <x:f>'两日价格与决策'!AH29</x:f>
        <x:v>200</x:v>
      </x:c>
      <x:c r="AI29" s="18" t="n">
        <x:f>'两日价格与决策'!AI29</x:f>
        <x:v>5.373</x:v>
      </x:c>
      <x:c r="AJ29" s="18" t="n">
        <x:f>'两日价格与决策'!AJ29</x:f>
        <x:v>0</x:v>
      </x:c>
      <x:c r="AK29" s="18" t="str">
        <x:f>'两日价格与决策'!AK29</x:f>
        <x:v>缺失</x:v>
      </x:c>
      <x:c r="AL29" s="18" t="n">
        <x:f>'两日价格与决策'!AL29</x:f>
        <x:v>0</x:v>
      </x:c>
      <x:c r="AM29" s="18" t="n">
        <x:f>'两日价格与决策'!AM29</x:f>
        <x:v>0</x:v>
      </x:c>
      <x:c r="AN29" s="18" t="n">
        <x:f>'两日价格与决策'!AN29</x:f>
        <x:v>0</x:v>
      </x:c>
      <x:c r="AO29" s="18" t="n">
        <x:f>'两日价格与决策'!AO29</x:f>
        <x:v>10</x:v>
      </x:c>
      <x:c r="AP29" s="18" t="n">
        <x:f>'两日价格与决策'!AP29</x:f>
        <x:v>0</x:v>
      </x:c>
      <x:c r="AQ29" s="18" t="n">
        <x:f>'两日价格与决策'!AQ29</x:f>
        <x:v>4.9741</x:v>
      </x:c>
      <x:c r="AR29" s="21" t="n">
        <x:f>'两日价格与决策'!AR29</x:f>
        <x:v>45657</x:v>
      </x:c>
      <x:c r="AS29" s="17" t="n">
        <x:f>'两日价格与决策'!AS29</x:f>
        <x:v>45658.145833333336</x:v>
      </x:c>
      <x:c r="AT29" s="18" t="str">
        <x:f>'两日价格与决策'!AT29</x:f>
        <x:v>2025-01-01_5</x:v>
      </x:c>
      <x:c r="AU29" s="19" t="n">
        <x:f>'两日价格与决策'!AU29</x:f>
        <x:v>60</x:v>
      </x:c>
      <x:c r="AV29" s="18" t="str">
        <x:f>'两日价格与决策'!AV29</x:f>
        <x:v>OK</x:v>
      </x:c>
    </x:row>
    <x:row r="30" ht="21" customHeight="1">
      <x:c r="A30" s="17" t="n">
        <x:f>'两日价格与决策'!A30</x:f>
        <x:v>45658.239583333336</x:v>
      </x:c>
      <x:c r="B30" s="23" t="n">
        <x:f>'两日价格与决策'!B30</x:f>
        <x:v>64.28</x:v>
      </x:c>
      <x:c r="C30" s="23" t="str">
        <x:f>'两日价格与决策'!C30</x:f>
        <x:v>缺失</x:v>
      </x:c>
      <x:c r="D30" s="23" t="n">
        <x:f>'两日价格与决策'!D30</x:f>
        <x:v>13.71102309965622</x:v>
      </x:c>
      <x:c r="E30" s="23" t="n">
        <x:f>'两日价格与决策'!E30</x:f>
        <x:v>14.173418306829376</x:v>
      </x:c>
      <x:c r="F30" s="23" t="n">
        <x:f>'两日价格与决策'!F30</x:f>
        <x:v>141.09929434470558</x:v>
      </x:c>
      <x:c r="G30" s="23" t="n">
        <x:f>'两日价格与决策'!G30</x:f>
        <x:v>0</x:v>
      </x:c>
      <x:c r="H30" s="23" t="str">
        <x:f>'两日价格与决策'!H30</x:f>
        <x:v>未模拟</x:v>
      </x:c>
      <x:c r="I30" s="24" t="n">
        <x:f>'两日价格与决策'!I30</x:f>
        <x:v>10</x:v>
      </x:c>
      <x:c r="J30" s="24" t="n">
        <x:f>'两日价格与决策'!J30</x:f>
        <x:v>10</x:v>
      </x:c>
      <x:c r="K30" s="24" t="n">
        <x:f>'两日价格与决策'!K30</x:f>
        <x:v>0</x:v>
      </x:c>
      <x:c r="L30" s="24" t="n">
        <x:f>'两日价格与决策'!L30</x:f>
        <x:v>0</x:v>
      </x:c>
      <x:c r="M30" s="24" t="n">
        <x:f>'两日价格与决策'!M30</x:f>
        <x:v>0</x:v>
      </x:c>
      <x:c r="N30" s="24" t="n">
        <x:f>'两日价格与决策'!N30</x:f>
        <x:v>0</x:v>
      </x:c>
      <x:c r="O30" s="24" t="n">
        <x:f>'两日价格与决策'!O30</x:f>
        <x:v>0</x:v>
      </x:c>
      <x:c r="P30" s="24" t="n">
        <x:f>'两日价格与决策'!P30</x:f>
        <x:v>0</x:v>
      </x:c>
      <x:c r="Q30" s="25" t="n">
        <x:f>'两日价格与决策'!Q30</x:f>
        <x:v>0</x:v>
      </x:c>
      <x:c r="R30" s="25" t="n">
        <x:f>'两日价格与决策'!R30</x:f>
        <x:v>0</x:v>
      </x:c>
      <x:c r="S30" s="25" t="n">
        <x:f>'两日价格与决策'!S30</x:f>
        <x:v>0</x:v>
      </x:c>
      <x:c r="T30" s="25" t="n">
        <x:f>'两日价格与决策'!T30</x:f>
        <x:v>0</x:v>
      </x:c>
      <x:c r="U30" s="25" t="n">
        <x:f>'两日价格与决策'!U30</x:f>
        <x:v>0</x:v>
      </x:c>
      <x:c r="V30" s="25" t="n">
        <x:f>'两日价格与决策'!V30</x:f>
        <x:v>0</x:v>
      </x:c>
      <x:c r="W30" s="25" t="n">
        <x:f>'两日价格与决策'!W30</x:f>
        <x:v>0</x:v>
      </x:c>
      <x:c r="X30" s="18" t="n">
        <x:f>'两日价格与决策'!X30</x:f>
        <x:v>0</x:v>
      </x:c>
      <x:c r="Y30" s="18" t="n">
        <x:f>'两日价格与决策'!Y30</x:f>
        <x:v>0</x:v>
      </x:c>
      <x:c r="Z30" s="18" t="str">
        <x:f>'两日价格与决策'!Z30</x:f>
        <x:v>1月1日执行｜初始化零订单</x:v>
      </x:c>
      <x:c r="AA30" s="19" t="n">
        <x:f>'两日价格与决策'!AA30</x:f>
        <x:v>1</x:v>
      </x:c>
      <x:c r="AB30" s="19" t="n">
        <x:f>'两日价格与决策'!AB30</x:f>
        <x:v>0</x:v>
      </x:c>
      <x:c r="AC30" s="18" t="n">
        <x:f>'两日价格与决策'!AC30</x:f>
        <x:v>0.25</x:v>
      </x:c>
      <x:c r="AD30" s="20" t="n">
        <x:f>'两日价格与决策'!AD30</x:f>
        <x:v>1</x:v>
      </x:c>
      <x:c r="AE30" s="20" t="n">
        <x:f>'两日价格与决策'!AE30</x:f>
        <x:v>0.12552</x:v>
      </x:c>
      <x:c r="AF30" s="20" t="n">
        <x:f>'两日价格与决策'!AF30</x:f>
        <x:v>0</x:v>
      </x:c>
      <x:c r="AG30" s="18" t="n">
        <x:f>'两日价格与决策'!AG30</x:f>
        <x:v>200</x:v>
      </x:c>
      <x:c r="AH30" s="18" t="n">
        <x:f>'两日价格与决策'!AH30</x:f>
        <x:v>200</x:v>
      </x:c>
      <x:c r="AI30" s="18" t="n">
        <x:f>'两日价格与决策'!AI30</x:f>
        <x:v>6.276</x:v>
      </x:c>
      <x:c r="AJ30" s="18" t="n">
        <x:f>'两日价格与决策'!AJ30</x:f>
        <x:v>0</x:v>
      </x:c>
      <x:c r="AK30" s="18" t="str">
        <x:f>'两日价格与决策'!AK30</x:f>
        <x:v>缺失</x:v>
      </x:c>
      <x:c r="AL30" s="18" t="n">
        <x:f>'两日价格与决策'!AL30</x:f>
        <x:v>0</x:v>
      </x:c>
      <x:c r="AM30" s="18" t="n">
        <x:f>'两日价格与决策'!AM30</x:f>
        <x:v>0</x:v>
      </x:c>
      <x:c r="AN30" s="18" t="n">
        <x:f>'两日价格与决策'!AN30</x:f>
        <x:v>0</x:v>
      </x:c>
      <x:c r="AO30" s="18" t="n">
        <x:f>'两日价格与决策'!AO30</x:f>
        <x:v>10</x:v>
      </x:c>
      <x:c r="AP30" s="18" t="n">
        <x:f>'两日价格与决策'!AP30</x:f>
        <x:v>0</x:v>
      </x:c>
      <x:c r="AQ30" s="18" t="n">
        <x:f>'两日价格与决策'!AQ30</x:f>
        <x:v>4.9741</x:v>
      </x:c>
      <x:c r="AR30" s="21" t="n">
        <x:f>'两日价格与决策'!AR30</x:f>
        <x:v>45657</x:v>
      </x:c>
      <x:c r="AS30" s="17" t="n">
        <x:f>'两日价格与决策'!AS30</x:f>
        <x:v>45658.15625</x:v>
      </x:c>
      <x:c r="AT30" s="18" t="str">
        <x:f>'两日价格与决策'!AT30</x:f>
        <x:v>2025-01-01_5</x:v>
      </x:c>
      <x:c r="AU30" s="19" t="n">
        <x:f>'两日价格与决策'!AU30</x:f>
        <x:v>60</x:v>
      </x:c>
      <x:c r="AV30" s="18" t="str">
        <x:f>'两日价格与决策'!AV30</x:f>
        <x:v>OK</x:v>
      </x:c>
    </x:row>
    <x:row r="31" ht="21" customHeight="1">
      <x:c r="A31" s="17" t="n">
        <x:f>'两日价格与决策'!A31</x:f>
        <x:v>45658.25</x:v>
      </x:c>
      <x:c r="B31" s="23" t="n">
        <x:f>'两日价格与决策'!B31</x:f>
        <x:v>66.7</x:v>
      </x:c>
      <x:c r="C31" s="23" t="str">
        <x:f>'两日价格与决策'!C31</x:f>
        <x:v>缺失</x:v>
      </x:c>
      <x:c r="D31" s="23" t="n">
        <x:f>'两日价格与决策'!D31</x:f>
        <x:v>13.831647936310086</x:v>
      </x:c>
      <x:c r="E31" s="23" t="n">
        <x:f>'两日价格与决策'!E31</x:f>
        <x:v>14.710198829939085</x:v>
      </x:c>
      <x:c r="F31" s="23" t="n">
        <x:f>'两日价格与决策'!F31</x:f>
        <x:v>142.19295953036732</x:v>
      </x:c>
      <x:c r="G31" s="23" t="n">
        <x:f>'两日价格与决策'!G31</x:f>
        <x:v>0</x:v>
      </x:c>
      <x:c r="H31" s="23" t="str">
        <x:f>'两日价格与决策'!H31</x:f>
        <x:v>未模拟</x:v>
      </x:c>
      <x:c r="I31" s="24" t="n">
        <x:f>'两日价格与决策'!I31</x:f>
        <x:v>10</x:v>
      </x:c>
      <x:c r="J31" s="24" t="n">
        <x:f>'两日价格与决策'!J31</x:f>
        <x:v>10</x:v>
      </x:c>
      <x:c r="K31" s="24" t="n">
        <x:f>'两日价格与决策'!K31</x:f>
        <x:v>0</x:v>
      </x:c>
      <x:c r="L31" s="24" t="n">
        <x:f>'两日价格与决策'!L31</x:f>
        <x:v>0</x:v>
      </x:c>
      <x:c r="M31" s="24" t="n">
        <x:f>'两日价格与决策'!M31</x:f>
        <x:v>0</x:v>
      </x:c>
      <x:c r="N31" s="24" t="n">
        <x:f>'两日价格与决策'!N31</x:f>
        <x:v>0</x:v>
      </x:c>
      <x:c r="O31" s="24" t="n">
        <x:f>'两日价格与决策'!O31</x:f>
        <x:v>0</x:v>
      </x:c>
      <x:c r="P31" s="24" t="n">
        <x:f>'两日价格与决策'!P31</x:f>
        <x:v>0</x:v>
      </x:c>
      <x:c r="Q31" s="25" t="n">
        <x:f>'两日价格与决策'!Q31</x:f>
        <x:v>0</x:v>
      </x:c>
      <x:c r="R31" s="25" t="n">
        <x:f>'两日价格与决策'!R31</x:f>
        <x:v>0</x:v>
      </x:c>
      <x:c r="S31" s="25" t="n">
        <x:f>'两日价格与决策'!S31</x:f>
        <x:v>0</x:v>
      </x:c>
      <x:c r="T31" s="25" t="n">
        <x:f>'两日价格与决策'!T31</x:f>
        <x:v>0</x:v>
      </x:c>
      <x:c r="U31" s="25" t="n">
        <x:f>'两日价格与决策'!U31</x:f>
        <x:v>0</x:v>
      </x:c>
      <x:c r="V31" s="25" t="n">
        <x:f>'两日价格与决策'!V31</x:f>
        <x:v>0</x:v>
      </x:c>
      <x:c r="W31" s="25" t="n">
        <x:f>'两日价格与决策'!W31</x:f>
        <x:v>0</x:v>
      </x:c>
      <x:c r="X31" s="18" t="n">
        <x:f>'两日价格与决策'!X31</x:f>
        <x:v>0</x:v>
      </x:c>
      <x:c r="Y31" s="18" t="n">
        <x:f>'两日价格与决策'!Y31</x:f>
        <x:v>0</x:v>
      </x:c>
      <x:c r="Z31" s="18" t="str">
        <x:f>'两日价格与决策'!Z31</x:f>
        <x:v>1月1日执行｜初始化零订单</x:v>
      </x:c>
      <x:c r="AA31" s="19" t="n">
        <x:f>'两日价格与决策'!AA31</x:f>
        <x:v>1</x:v>
      </x:c>
      <x:c r="AB31" s="19" t="n">
        <x:f>'两日价格与决策'!AB31</x:f>
        <x:v>0</x:v>
      </x:c>
      <x:c r="AC31" s="18" t="n">
        <x:f>'两日价格与决策'!AC31</x:f>
        <x:v>0.25</x:v>
      </x:c>
      <x:c r="AD31" s="20" t="n">
        <x:f>'两日价格与决策'!AD31</x:f>
        <x:v>1</x:v>
      </x:c>
      <x:c r="AE31" s="20" t="n">
        <x:f>'两日价格与决策'!AE31</x:f>
        <x:v>0.08277720207253886</x:v>
      </x:c>
      <x:c r="AF31" s="20" t="n">
        <x:f>'两日价格与决策'!AF31</x:f>
        <x:v>0</x:v>
      </x:c>
      <x:c r="AG31" s="18" t="n">
        <x:f>'两日价格与决策'!AG31</x:f>
        <x:v>193</x:v>
      </x:c>
      <x:c r="AH31" s="18" t="n">
        <x:f>'两日价格与决策'!AH31</x:f>
        <x:v>200</x:v>
      </x:c>
      <x:c r="AI31" s="18" t="n">
        <x:f>'两日价格与决策'!AI31</x:f>
        <x:v>3.994</x:v>
      </x:c>
      <x:c r="AJ31" s="18" t="n">
        <x:f>'两日价格与决策'!AJ31</x:f>
        <x:v>0</x:v>
      </x:c>
      <x:c r="AK31" s="18" t="str">
        <x:f>'两日价格与决策'!AK31</x:f>
        <x:v>缺失</x:v>
      </x:c>
      <x:c r="AL31" s="18" t="n">
        <x:f>'两日价格与决策'!AL31</x:f>
        <x:v>0</x:v>
      </x:c>
      <x:c r="AM31" s="18" t="n">
        <x:f>'两日价格与决策'!AM31</x:f>
        <x:v>0</x:v>
      </x:c>
      <x:c r="AN31" s="18" t="n">
        <x:f>'两日价格与决策'!AN31</x:f>
        <x:v>0</x:v>
      </x:c>
      <x:c r="AO31" s="18" t="n">
        <x:f>'两日价格与决策'!AO31</x:f>
        <x:v>10</x:v>
      </x:c>
      <x:c r="AP31" s="18" t="n">
        <x:f>'两日价格与决策'!AP31</x:f>
        <x:v>0</x:v>
      </x:c>
      <x:c r="AQ31" s="18" t="n">
        <x:f>'两日价格与决策'!AQ31</x:f>
        <x:v>4.9741</x:v>
      </x:c>
      <x:c r="AR31" s="21" t="n">
        <x:f>'两日价格与决策'!AR31</x:f>
        <x:v>45657</x:v>
      </x:c>
      <x:c r="AS31" s="17" t="n">
        <x:f>'两日价格与决策'!AS31</x:f>
        <x:v>45658.166666666664</x:v>
      </x:c>
      <x:c r="AT31" s="18" t="str">
        <x:f>'两日价格与决策'!AT31</x:f>
        <x:v>2025-01-01_6</x:v>
      </x:c>
      <x:c r="AU31" s="19" t="n">
        <x:f>'两日价格与决策'!AU31</x:f>
        <x:v>60</x:v>
      </x:c>
      <x:c r="AV31" s="18" t="str">
        <x:f>'两日价格与决策'!AV31</x:f>
        <x:v>OK</x:v>
      </x:c>
    </x:row>
    <x:row r="32" ht="21" customHeight="1">
      <x:c r="A32" s="17" t="n">
        <x:f>'两日价格与决策'!A32</x:f>
        <x:v>45658.260416666664</x:v>
      </x:c>
      <x:c r="B32" s="23" t="n">
        <x:f>'两日价格与决策'!B32</x:f>
        <x:v>66.7</x:v>
      </x:c>
      <x:c r="C32" s="23" t="str">
        <x:f>'两日价格与决策'!C32</x:f>
        <x:v>缺失</x:v>
      </x:c>
      <x:c r="D32" s="23" t="n">
        <x:f>'两日价格与决策'!D32</x:f>
        <x:v>13.831647936310086</x:v>
      </x:c>
      <x:c r="E32" s="23" t="n">
        <x:f>'两日价格与决策'!E32</x:f>
        <x:v>14.710198829939085</x:v>
      </x:c>
      <x:c r="F32" s="23" t="n">
        <x:f>'两日价格与决策'!F32</x:f>
        <x:v>136.70814820771596</x:v>
      </x:c>
      <x:c r="G32" s="23" t="n">
        <x:f>'两日价格与决策'!G32</x:f>
        <x:v>0</x:v>
      </x:c>
      <x:c r="H32" s="23" t="str">
        <x:f>'两日价格与决策'!H32</x:f>
        <x:v>未模拟</x:v>
      </x:c>
      <x:c r="I32" s="24" t="n">
        <x:f>'两日价格与决策'!I32</x:f>
        <x:v>10</x:v>
      </x:c>
      <x:c r="J32" s="24" t="n">
        <x:f>'两日价格与决策'!J32</x:f>
        <x:v>10</x:v>
      </x:c>
      <x:c r="K32" s="24" t="n">
        <x:f>'两日价格与决策'!K32</x:f>
        <x:v>0</x:v>
      </x:c>
      <x:c r="L32" s="24" t="n">
        <x:f>'两日价格与决策'!L32</x:f>
        <x:v>0</x:v>
      </x:c>
      <x:c r="M32" s="24" t="n">
        <x:f>'两日价格与决策'!M32</x:f>
        <x:v>0</x:v>
      </x:c>
      <x:c r="N32" s="24" t="n">
        <x:f>'两日价格与决策'!N32</x:f>
        <x:v>0</x:v>
      </x:c>
      <x:c r="O32" s="24" t="n">
        <x:f>'两日价格与决策'!O32</x:f>
        <x:v>0</x:v>
      </x:c>
      <x:c r="P32" s="24" t="n">
        <x:f>'两日价格与决策'!P32</x:f>
        <x:v>0</x:v>
      </x:c>
      <x:c r="Q32" s="25" t="n">
        <x:f>'两日价格与决策'!Q32</x:f>
        <x:v>0</x:v>
      </x:c>
      <x:c r="R32" s="25" t="n">
        <x:f>'两日价格与决策'!R32</x:f>
        <x:v>0</x:v>
      </x:c>
      <x:c r="S32" s="25" t="n">
        <x:f>'两日价格与决策'!S32</x:f>
        <x:v>0</x:v>
      </x:c>
      <x:c r="T32" s="25" t="n">
        <x:f>'两日价格与决策'!T32</x:f>
        <x:v>0</x:v>
      </x:c>
      <x:c r="U32" s="25" t="n">
        <x:f>'两日价格与决策'!U32</x:f>
        <x:v>0</x:v>
      </x:c>
      <x:c r="V32" s="25" t="n">
        <x:f>'两日价格与决策'!V32</x:f>
        <x:v>0</x:v>
      </x:c>
      <x:c r="W32" s="25" t="n">
        <x:f>'两日价格与决策'!W32</x:f>
        <x:v>0</x:v>
      </x:c>
      <x:c r="X32" s="18" t="n">
        <x:f>'两日价格与决策'!X32</x:f>
        <x:v>0</x:v>
      </x:c>
      <x:c r="Y32" s="18" t="n">
        <x:f>'两日价格与决策'!Y32</x:f>
        <x:v>0</x:v>
      </x:c>
      <x:c r="Z32" s="18" t="str">
        <x:f>'两日价格与决策'!Z32</x:f>
        <x:v>1月1日执行｜初始化零订单</x:v>
      </x:c>
      <x:c r="AA32" s="19" t="n">
        <x:f>'两日价格与决策'!AA32</x:f>
        <x:v>1</x:v>
      </x:c>
      <x:c r="AB32" s="19" t="n">
        <x:f>'两日价格与决策'!AB32</x:f>
        <x:v>0</x:v>
      </x:c>
      <x:c r="AC32" s="18" t="n">
        <x:f>'两日价格与决策'!AC32</x:f>
        <x:v>0.25</x:v>
      </x:c>
      <x:c r="AD32" s="20" t="n">
        <x:f>'两日价格与决策'!AD32</x:f>
        <x:v>1</x:v>
      </x:c>
      <x:c r="AE32" s="20" t="n">
        <x:f>'两日价格与决策'!AE32</x:f>
        <x:v>0.08358549222797929</x:v>
      </x:c>
      <x:c r="AF32" s="20" t="n">
        <x:f>'两日价格与决策'!AF32</x:f>
        <x:v>0</x:v>
      </x:c>
      <x:c r="AG32" s="18" t="n">
        <x:f>'两日价格与决策'!AG32</x:f>
        <x:v>193</x:v>
      </x:c>
      <x:c r="AH32" s="18" t="n">
        <x:f>'两日价格与决策'!AH32</x:f>
        <x:v>200</x:v>
      </x:c>
      <x:c r="AI32" s="18" t="n">
        <x:f>'两日价格与决策'!AI32</x:f>
        <x:v>4.033</x:v>
      </x:c>
      <x:c r="AJ32" s="18" t="n">
        <x:f>'两日价格与决策'!AJ32</x:f>
        <x:v>0</x:v>
      </x:c>
      <x:c r="AK32" s="18" t="str">
        <x:f>'两日价格与决策'!AK32</x:f>
        <x:v>缺失</x:v>
      </x:c>
      <x:c r="AL32" s="18" t="n">
        <x:f>'两日价格与决策'!AL32</x:f>
        <x:v>0</x:v>
      </x:c>
      <x:c r="AM32" s="18" t="n">
        <x:f>'两日价格与决策'!AM32</x:f>
        <x:v>0</x:v>
      </x:c>
      <x:c r="AN32" s="18" t="n">
        <x:f>'两日价格与决策'!AN32</x:f>
        <x:v>0</x:v>
      </x:c>
      <x:c r="AO32" s="18" t="n">
        <x:f>'两日价格与决策'!AO32</x:f>
        <x:v>10</x:v>
      </x:c>
      <x:c r="AP32" s="18" t="n">
        <x:f>'两日价格与决策'!AP32</x:f>
        <x:v>0</x:v>
      </x:c>
      <x:c r="AQ32" s="18" t="n">
        <x:f>'两日价格与决策'!AQ32</x:f>
        <x:v>4.9741</x:v>
      </x:c>
      <x:c r="AR32" s="21" t="n">
        <x:f>'两日价格与决策'!AR32</x:f>
        <x:v>45657</x:v>
      </x:c>
      <x:c r="AS32" s="17" t="n">
        <x:f>'两日价格与决策'!AS32</x:f>
        <x:v>45658.177083333336</x:v>
      </x:c>
      <x:c r="AT32" s="18" t="str">
        <x:f>'两日价格与决策'!AT32</x:f>
        <x:v>2025-01-01_6</x:v>
      </x:c>
      <x:c r="AU32" s="19" t="n">
        <x:f>'两日价格与决策'!AU32</x:f>
        <x:v>60</x:v>
      </x:c>
      <x:c r="AV32" s="18" t="str">
        <x:f>'两日价格与决策'!AV32</x:f>
        <x:v>OK</x:v>
      </x:c>
    </x:row>
    <x:row r="33" ht="21" customHeight="1">
      <x:c r="A33" s="17" t="n">
        <x:f>'两日价格与决策'!A33</x:f>
        <x:v>45658.270833333336</x:v>
      </x:c>
      <x:c r="B33" s="23" t="n">
        <x:f>'两日价格与决策'!B33</x:f>
        <x:v>66.7</x:v>
      </x:c>
      <x:c r="C33" s="23" t="str">
        <x:f>'两日价格与决策'!C33</x:f>
        <x:v>缺失</x:v>
      </x:c>
      <x:c r="D33" s="23" t="n">
        <x:f>'两日价格与决策'!D33</x:f>
        <x:v>13.831647936310086</x:v>
      </x:c>
      <x:c r="E33" s="23" t="n">
        <x:f>'两日价格与决策'!E33</x:f>
        <x:v>14.710198829939085</x:v>
      </x:c>
      <x:c r="F33" s="23" t="n">
        <x:f>'两日价格与决策'!F33</x:f>
        <x:v>153.6935324983414</x:v>
      </x:c>
      <x:c r="G33" s="23" t="n">
        <x:f>'两日价格与决策'!G33</x:f>
        <x:v>0</x:v>
      </x:c>
      <x:c r="H33" s="23" t="str">
        <x:f>'两日价格与决策'!H33</x:f>
        <x:v>未模拟</x:v>
      </x:c>
      <x:c r="I33" s="24" t="n">
        <x:f>'两日价格与决策'!I33</x:f>
        <x:v>10</x:v>
      </x:c>
      <x:c r="J33" s="24" t="n">
        <x:f>'两日价格与决策'!J33</x:f>
        <x:v>10</x:v>
      </x:c>
      <x:c r="K33" s="24" t="n">
        <x:f>'两日价格与决策'!K33</x:f>
        <x:v>0</x:v>
      </x:c>
      <x:c r="L33" s="24" t="n">
        <x:f>'两日价格与决策'!L33</x:f>
        <x:v>0</x:v>
      </x:c>
      <x:c r="M33" s="24" t="n">
        <x:f>'两日价格与决策'!M33</x:f>
        <x:v>0</x:v>
      </x:c>
      <x:c r="N33" s="24" t="n">
        <x:f>'两日价格与决策'!N33</x:f>
        <x:v>0</x:v>
      </x:c>
      <x:c r="O33" s="24" t="n">
        <x:f>'两日价格与决策'!O33</x:f>
        <x:v>0</x:v>
      </x:c>
      <x:c r="P33" s="24" t="n">
        <x:f>'两日价格与决策'!P33</x:f>
        <x:v>0</x:v>
      </x:c>
      <x:c r="Q33" s="25" t="n">
        <x:f>'两日价格与决策'!Q33</x:f>
        <x:v>0</x:v>
      </x:c>
      <x:c r="R33" s="25" t="n">
        <x:f>'两日价格与决策'!R33</x:f>
        <x:v>0</x:v>
      </x:c>
      <x:c r="S33" s="25" t="n">
        <x:f>'两日价格与决策'!S33</x:f>
        <x:v>0</x:v>
      </x:c>
      <x:c r="T33" s="25" t="n">
        <x:f>'两日价格与决策'!T33</x:f>
        <x:v>0</x:v>
      </x:c>
      <x:c r="U33" s="25" t="n">
        <x:f>'两日价格与决策'!U33</x:f>
        <x:v>0</x:v>
      </x:c>
      <x:c r="V33" s="25" t="n">
        <x:f>'两日价格与决策'!V33</x:f>
        <x:v>0</x:v>
      </x:c>
      <x:c r="W33" s="25" t="n">
        <x:f>'两日价格与决策'!W33</x:f>
        <x:v>0</x:v>
      </x:c>
      <x:c r="X33" s="18" t="n">
        <x:f>'两日价格与决策'!X33</x:f>
        <x:v>0</x:v>
      </x:c>
      <x:c r="Y33" s="18" t="n">
        <x:f>'两日价格与决策'!Y33</x:f>
        <x:v>0</x:v>
      </x:c>
      <x:c r="Z33" s="18" t="str">
        <x:f>'两日价格与决策'!Z33</x:f>
        <x:v>1月1日执行｜初始化零订单</x:v>
      </x:c>
      <x:c r="AA33" s="19" t="n">
        <x:f>'两日价格与决策'!AA33</x:f>
        <x:v>1</x:v>
      </x:c>
      <x:c r="AB33" s="19" t="n">
        <x:f>'两日价格与决策'!AB33</x:f>
        <x:v>0</x:v>
      </x:c>
      <x:c r="AC33" s="18" t="n">
        <x:f>'两日价格与决策'!AC33</x:f>
        <x:v>0.25</x:v>
      </x:c>
      <x:c r="AD33" s="20" t="n">
        <x:f>'两日价格与决策'!AD33</x:f>
        <x:v>1</x:v>
      </x:c>
      <x:c r="AE33" s="20" t="n">
        <x:f>'两日价格与决策'!AE33</x:f>
        <x:v>0.19765803108808291</x:v>
      </x:c>
      <x:c r="AF33" s="20" t="n">
        <x:f>'两日价格与决策'!AF33</x:f>
        <x:v>0</x:v>
      </x:c>
      <x:c r="AG33" s="18" t="n">
        <x:f>'两日价格与决策'!AG33</x:f>
        <x:v>193</x:v>
      </x:c>
      <x:c r="AH33" s="18" t="n">
        <x:f>'两日价格与决策'!AH33</x:f>
        <x:v>200</x:v>
      </x:c>
      <x:c r="AI33" s="18" t="n">
        <x:f>'两日价格与决策'!AI33</x:f>
        <x:v>9.537</x:v>
      </x:c>
      <x:c r="AJ33" s="18" t="n">
        <x:f>'两日价格与决策'!AJ33</x:f>
        <x:v>0</x:v>
      </x:c>
      <x:c r="AK33" s="18" t="str">
        <x:f>'两日价格与决策'!AK33</x:f>
        <x:v>缺失</x:v>
      </x:c>
      <x:c r="AL33" s="18" t="n">
        <x:f>'两日价格与决策'!AL33</x:f>
        <x:v>0</x:v>
      </x:c>
      <x:c r="AM33" s="18" t="n">
        <x:f>'两日价格与决策'!AM33</x:f>
        <x:v>0</x:v>
      </x:c>
      <x:c r="AN33" s="18" t="n">
        <x:f>'两日价格与决策'!AN33</x:f>
        <x:v>0</x:v>
      </x:c>
      <x:c r="AO33" s="18" t="n">
        <x:f>'两日价格与决策'!AO33</x:f>
        <x:v>10</x:v>
      </x:c>
      <x:c r="AP33" s="18" t="n">
        <x:f>'两日价格与决策'!AP33</x:f>
        <x:v>0</x:v>
      </x:c>
      <x:c r="AQ33" s="18" t="n">
        <x:f>'两日价格与决策'!AQ33</x:f>
        <x:v>4.9741</x:v>
      </x:c>
      <x:c r="AR33" s="21" t="n">
        <x:f>'两日价格与决策'!AR33</x:f>
        <x:v>45657</x:v>
      </x:c>
      <x:c r="AS33" s="17" t="n">
        <x:f>'两日价格与决策'!AS33</x:f>
        <x:v>45658.1875</x:v>
      </x:c>
      <x:c r="AT33" s="18" t="str">
        <x:f>'两日价格与决策'!AT33</x:f>
        <x:v>2025-01-01_6</x:v>
      </x:c>
      <x:c r="AU33" s="19" t="n">
        <x:f>'两日价格与决策'!AU33</x:f>
        <x:v>60</x:v>
      </x:c>
      <x:c r="AV33" s="18" t="str">
        <x:f>'两日价格与决策'!AV33</x:f>
        <x:v>OK</x:v>
      </x:c>
    </x:row>
    <x:row r="34" ht="21" customHeight="1">
      <x:c r="A34" s="17" t="n">
        <x:f>'两日价格与决策'!A34</x:f>
        <x:v>45658.28125</x:v>
      </x:c>
      <x:c r="B34" s="23" t="n">
        <x:f>'两日价格与决策'!B34</x:f>
        <x:v>66.7</x:v>
      </x:c>
      <x:c r="C34" s="23" t="str">
        <x:f>'两日价格与决策'!C34</x:f>
        <x:v>缺失</x:v>
      </x:c>
      <x:c r="D34" s="23" t="n">
        <x:f>'两日价格与决策'!D34</x:f>
        <x:v>13.831647936310086</x:v>
      </x:c>
      <x:c r="E34" s="23" t="n">
        <x:f>'两日价格与决策'!E34</x:f>
        <x:v>14.710198829939085</x:v>
      </x:c>
      <x:c r="F34" s="23" t="n">
        <x:f>'两日价格与决策'!F34</x:f>
        <x:v>157.20029754126375</x:v>
      </x:c>
      <x:c r="G34" s="23" t="n">
        <x:f>'两日价格与决策'!G34</x:f>
        <x:v>0</x:v>
      </x:c>
      <x:c r="H34" s="23" t="str">
        <x:f>'两日价格与决策'!H34</x:f>
        <x:v>未模拟</x:v>
      </x:c>
      <x:c r="I34" s="24" t="n">
        <x:f>'两日价格与决策'!I34</x:f>
        <x:v>10</x:v>
      </x:c>
      <x:c r="J34" s="24" t="n">
        <x:f>'两日价格与决策'!J34</x:f>
        <x:v>10</x:v>
      </x:c>
      <x:c r="K34" s="24" t="n">
        <x:f>'两日价格与决策'!K34</x:f>
        <x:v>0</x:v>
      </x:c>
      <x:c r="L34" s="24" t="n">
        <x:f>'两日价格与决策'!L34</x:f>
        <x:v>0</x:v>
      </x:c>
      <x:c r="M34" s="24" t="n">
        <x:f>'两日价格与决策'!M34</x:f>
        <x:v>0</x:v>
      </x:c>
      <x:c r="N34" s="24" t="n">
        <x:f>'两日价格与决策'!N34</x:f>
        <x:v>0</x:v>
      </x:c>
      <x:c r="O34" s="24" t="n">
        <x:f>'两日价格与决策'!O34</x:f>
        <x:v>0</x:v>
      </x:c>
      <x:c r="P34" s="24" t="n">
        <x:f>'两日价格与决策'!P34</x:f>
        <x:v>0</x:v>
      </x:c>
      <x:c r="Q34" s="25" t="n">
        <x:f>'两日价格与决策'!Q34</x:f>
        <x:v>0</x:v>
      </x:c>
      <x:c r="R34" s="25" t="n">
        <x:f>'两日价格与决策'!R34</x:f>
        <x:v>0</x:v>
      </x:c>
      <x:c r="S34" s="25" t="n">
        <x:f>'两日价格与决策'!S34</x:f>
        <x:v>0</x:v>
      </x:c>
      <x:c r="T34" s="25" t="n">
        <x:f>'两日价格与决策'!T34</x:f>
        <x:v>0</x:v>
      </x:c>
      <x:c r="U34" s="25" t="n">
        <x:f>'两日价格与决策'!U34</x:f>
        <x:v>0</x:v>
      </x:c>
      <x:c r="V34" s="25" t="n">
        <x:f>'两日价格与决策'!V34</x:f>
        <x:v>0</x:v>
      </x:c>
      <x:c r="W34" s="25" t="n">
        <x:f>'两日价格与决策'!W34</x:f>
        <x:v>0</x:v>
      </x:c>
      <x:c r="X34" s="18" t="n">
        <x:f>'两日价格与决策'!X34</x:f>
        <x:v>0</x:v>
      </x:c>
      <x:c r="Y34" s="18" t="n">
        <x:f>'两日价格与决策'!Y34</x:f>
        <x:v>0</x:v>
      </x:c>
      <x:c r="Z34" s="18" t="str">
        <x:f>'两日价格与决策'!Z34</x:f>
        <x:v>1月1日执行｜初始化零订单</x:v>
      </x:c>
      <x:c r="AA34" s="19" t="n">
        <x:f>'两日价格与决策'!AA34</x:f>
        <x:v>1</x:v>
      </x:c>
      <x:c r="AB34" s="19" t="n">
        <x:f>'两日价格与决策'!AB34</x:f>
        <x:v>0</x:v>
      </x:c>
      <x:c r="AC34" s="18" t="n">
        <x:f>'两日价格与决策'!AC34</x:f>
        <x:v>0.25</x:v>
      </x:c>
      <x:c r="AD34" s="20" t="n">
        <x:f>'两日价格与决策'!AD34</x:f>
        <x:v>1</x:v>
      </x:c>
      <x:c r="AE34" s="20" t="n">
        <x:f>'两日价格与决策'!AE34</x:f>
        <x:v>0.23600000000000002</x:v>
      </x:c>
      <x:c r="AF34" s="20" t="n">
        <x:f>'两日价格与决策'!AF34</x:f>
        <x:v>0</x:v>
      </x:c>
      <x:c r="AG34" s="18" t="n">
        <x:f>'两日价格与决策'!AG34</x:f>
        <x:v>193</x:v>
      </x:c>
      <x:c r="AH34" s="18" t="n">
        <x:f>'两日价格与决策'!AH34</x:f>
        <x:v>200</x:v>
      </x:c>
      <x:c r="AI34" s="18" t="n">
        <x:f>'两日价格与决策'!AI34</x:f>
        <x:v>11.387</x:v>
      </x:c>
      <x:c r="AJ34" s="18" t="n">
        <x:f>'两日价格与决策'!AJ34</x:f>
        <x:v>0</x:v>
      </x:c>
      <x:c r="AK34" s="18" t="str">
        <x:f>'两日价格与决策'!AK34</x:f>
        <x:v>缺失</x:v>
      </x:c>
      <x:c r="AL34" s="18" t="n">
        <x:f>'两日价格与决策'!AL34</x:f>
        <x:v>0</x:v>
      </x:c>
      <x:c r="AM34" s="18" t="n">
        <x:f>'两日价格与决策'!AM34</x:f>
        <x:v>0</x:v>
      </x:c>
      <x:c r="AN34" s="18" t="n">
        <x:f>'两日价格与决策'!AN34</x:f>
        <x:v>0</x:v>
      </x:c>
      <x:c r="AO34" s="18" t="n">
        <x:f>'两日价格与决策'!AO34</x:f>
        <x:v>10</x:v>
      </x:c>
      <x:c r="AP34" s="18" t="n">
        <x:f>'两日价格与决策'!AP34</x:f>
        <x:v>0</x:v>
      </x:c>
      <x:c r="AQ34" s="18" t="n">
        <x:f>'两日价格与决策'!AQ34</x:f>
        <x:v>4.9741</x:v>
      </x:c>
      <x:c r="AR34" s="21" t="n">
        <x:f>'两日价格与决策'!AR34</x:f>
        <x:v>45657</x:v>
      </x:c>
      <x:c r="AS34" s="17" t="n">
        <x:f>'两日价格与决策'!AS34</x:f>
        <x:v>45658.197916666664</x:v>
      </x:c>
      <x:c r="AT34" s="18" t="str">
        <x:f>'两日价格与决策'!AT34</x:f>
        <x:v>2025-01-01_6</x:v>
      </x:c>
      <x:c r="AU34" s="19" t="n">
        <x:f>'两日价格与决策'!AU34</x:f>
        <x:v>60</x:v>
      </x:c>
      <x:c r="AV34" s="18" t="str">
        <x:f>'两日价格与决策'!AV34</x:f>
        <x:v>OK</x:v>
      </x:c>
    </x:row>
    <x:row r="35" ht="21" customHeight="1">
      <x:c r="A35" s="17" t="n">
        <x:f>'两日价格与决策'!A35</x:f>
        <x:v>45658.291666666664</x:v>
      </x:c>
      <x:c r="B35" s="23" t="n">
        <x:f>'两日价格与决策'!B35</x:f>
        <x:v>62.42</x:v>
      </x:c>
      <x:c r="C35" s="23" t="str">
        <x:f>'两日价格与决策'!C35</x:f>
        <x:v>缺失</x:v>
      </x:c>
      <x:c r="D35" s="23" t="n">
        <x:f>'两日价格与决策'!D35</x:f>
        <x:v>13.831647936310086</x:v>
      </x:c>
      <x:c r="E35" s="23" t="n">
        <x:f>'两日价格与决策'!E35</x:f>
        <x:v>14.710198829939085</x:v>
      </x:c>
      <x:c r="F35" s="23" t="n">
        <x:f>'两日价格与决策'!F35</x:f>
        <x:v>152.91610542610724</x:v>
      </x:c>
      <x:c r="G35" s="23" t="n">
        <x:f>'两日价格与决策'!G35</x:f>
        <x:v>0</x:v>
      </x:c>
      <x:c r="H35" s="23" t="str">
        <x:f>'两日价格与决策'!H35</x:f>
        <x:v>未模拟</x:v>
      </x:c>
      <x:c r="I35" s="24" t="n">
        <x:f>'两日价格与决策'!I35</x:f>
        <x:v>10</x:v>
      </x:c>
      <x:c r="J35" s="24" t="n">
        <x:f>'两日价格与决策'!J35</x:f>
        <x:v>10</x:v>
      </x:c>
      <x:c r="K35" s="24" t="n">
        <x:f>'两日价格与决策'!K35</x:f>
        <x:v>0</x:v>
      </x:c>
      <x:c r="L35" s="24" t="n">
        <x:f>'两日价格与决策'!L35</x:f>
        <x:v>0</x:v>
      </x:c>
      <x:c r="M35" s="24" t="n">
        <x:f>'两日价格与决策'!M35</x:f>
        <x:v>0</x:v>
      </x:c>
      <x:c r="N35" s="24" t="n">
        <x:f>'两日价格与决策'!N35</x:f>
        <x:v>0</x:v>
      </x:c>
      <x:c r="O35" s="24" t="n">
        <x:f>'两日价格与决策'!O35</x:f>
        <x:v>0</x:v>
      </x:c>
      <x:c r="P35" s="24" t="n">
        <x:f>'两日价格与决策'!P35</x:f>
        <x:v>0</x:v>
      </x:c>
      <x:c r="Q35" s="25" t="n">
        <x:f>'两日价格与决策'!Q35</x:f>
        <x:v>0</x:v>
      </x:c>
      <x:c r="R35" s="25" t="n">
        <x:f>'两日价格与决策'!R35</x:f>
        <x:v>0</x:v>
      </x:c>
      <x:c r="S35" s="25" t="n">
        <x:f>'两日价格与决策'!S35</x:f>
        <x:v>0</x:v>
      </x:c>
      <x:c r="T35" s="25" t="n">
        <x:f>'两日价格与决策'!T35</x:f>
        <x:v>0</x:v>
      </x:c>
      <x:c r="U35" s="25" t="n">
        <x:f>'两日价格与决策'!U35</x:f>
        <x:v>0</x:v>
      </x:c>
      <x:c r="V35" s="25" t="n">
        <x:f>'两日价格与决策'!V35</x:f>
        <x:v>0</x:v>
      </x:c>
      <x:c r="W35" s="25" t="n">
        <x:f>'两日价格与决策'!W35</x:f>
        <x:v>0</x:v>
      </x:c>
      <x:c r="X35" s="18" t="n">
        <x:f>'两日价格与决策'!X35</x:f>
        <x:v>0</x:v>
      </x:c>
      <x:c r="Y35" s="18" t="n">
        <x:f>'两日价格与决策'!Y35</x:f>
        <x:v>0</x:v>
      </x:c>
      <x:c r="Z35" s="18" t="str">
        <x:f>'两日价格与决策'!Z35</x:f>
        <x:v>1月1日执行｜初始化零订单</x:v>
      </x:c>
      <x:c r="AA35" s="19" t="n">
        <x:f>'两日价格与决策'!AA35</x:f>
        <x:v>1</x:v>
      </x:c>
      <x:c r="AB35" s="19" t="n">
        <x:f>'两日价格与决策'!AB35</x:f>
        <x:v>0</x:v>
      </x:c>
      <x:c r="AC35" s="18" t="n">
        <x:f>'两日价格与决策'!AC35</x:f>
        <x:v>0.25</x:v>
      </x:c>
      <x:c r="AD35" s="20" t="n">
        <x:f>'两日价格与决策'!AD35</x:f>
        <x:v>1</x:v>
      </x:c>
      <x:c r="AE35" s="20" t="n">
        <x:f>'两日价格与决策'!AE35</x:f>
        <x:v>0.3394</x:v>
      </x:c>
      <x:c r="AF35" s="20" t="n">
        <x:f>'两日价格与决策'!AF35</x:f>
        <x:v>0</x:v>
      </x:c>
      <x:c r="AG35" s="18" t="n">
        <x:f>'两日价格与决策'!AG35</x:f>
        <x:v>200</x:v>
      </x:c>
      <x:c r="AH35" s="18" t="n">
        <x:f>'两日价格与决策'!AH35</x:f>
        <x:v>200</x:v>
      </x:c>
      <x:c r="AI35" s="18" t="n">
        <x:f>'两日价格与决策'!AI35</x:f>
        <x:v>16.97</x:v>
      </x:c>
      <x:c r="AJ35" s="18" t="n">
        <x:f>'两日价格与决策'!AJ35</x:f>
        <x:v>0</x:v>
      </x:c>
      <x:c r="AK35" s="18" t="str">
        <x:f>'两日价格与决策'!AK35</x:f>
        <x:v>缺失</x:v>
      </x:c>
      <x:c r="AL35" s="18" t="n">
        <x:f>'两日价格与决策'!AL35</x:f>
        <x:v>0</x:v>
      </x:c>
      <x:c r="AM35" s="18" t="n">
        <x:f>'两日价格与决策'!AM35</x:f>
        <x:v>0</x:v>
      </x:c>
      <x:c r="AN35" s="18" t="n">
        <x:f>'两日价格与决策'!AN35</x:f>
        <x:v>0</x:v>
      </x:c>
      <x:c r="AO35" s="18" t="n">
        <x:f>'两日价格与决策'!AO35</x:f>
        <x:v>10</x:v>
      </x:c>
      <x:c r="AP35" s="18" t="n">
        <x:f>'两日价格与决策'!AP35</x:f>
        <x:v>0</x:v>
      </x:c>
      <x:c r="AQ35" s="18" t="n">
        <x:f>'两日价格与决策'!AQ35</x:f>
        <x:v>4.9741</x:v>
      </x:c>
      <x:c r="AR35" s="21" t="n">
        <x:f>'两日价格与决策'!AR35</x:f>
        <x:v>45657</x:v>
      </x:c>
      <x:c r="AS35" s="17" t="n">
        <x:f>'两日价格与决策'!AS35</x:f>
        <x:v>45658.208333333336</x:v>
      </x:c>
      <x:c r="AT35" s="18" t="str">
        <x:f>'两日价格与决策'!AT35</x:f>
        <x:v>2025-01-01_7</x:v>
      </x:c>
      <x:c r="AU35" s="19" t="n">
        <x:f>'两日价格与决策'!AU35</x:f>
        <x:v>60</x:v>
      </x:c>
      <x:c r="AV35" s="18" t="str">
        <x:f>'两日价格与决策'!AV35</x:f>
        <x:v>OK</x:v>
      </x:c>
    </x:row>
    <x:row r="36" ht="21" customHeight="1">
      <x:c r="A36" s="17" t="n">
        <x:f>'两日价格与决策'!A36</x:f>
        <x:v>45658.302083333336</x:v>
      </x:c>
      <x:c r="B36" s="23" t="n">
        <x:f>'两日价格与决策'!B36</x:f>
        <x:v>62.42</x:v>
      </x:c>
      <x:c r="C36" s="23" t="str">
        <x:f>'两日价格与决策'!C36</x:f>
        <x:v>缺失</x:v>
      </x:c>
      <x:c r="D36" s="23" t="n">
        <x:f>'两日价格与决策'!D36</x:f>
        <x:v>13.831647936310086</x:v>
      </x:c>
      <x:c r="E36" s="23" t="n">
        <x:f>'两日价格与决策'!E36</x:f>
        <x:v>14.710198829939085</x:v>
      </x:c>
      <x:c r="F36" s="23" t="n">
        <x:f>'两日价格与决策'!F36</x:f>
        <x:v>152.91610542610724</x:v>
      </x:c>
      <x:c r="G36" s="23" t="n">
        <x:f>'两日价格与决策'!G36</x:f>
        <x:v>0</x:v>
      </x:c>
      <x:c r="H36" s="23" t="str">
        <x:f>'两日价格与决策'!H36</x:f>
        <x:v>未模拟</x:v>
      </x:c>
      <x:c r="I36" s="24" t="n">
        <x:f>'两日价格与决策'!I36</x:f>
        <x:v>10</x:v>
      </x:c>
      <x:c r="J36" s="24" t="n">
        <x:f>'两日价格与决策'!J36</x:f>
        <x:v>10</x:v>
      </x:c>
      <x:c r="K36" s="24" t="n">
        <x:f>'两日价格与决策'!K36</x:f>
        <x:v>0</x:v>
      </x:c>
      <x:c r="L36" s="24" t="n">
        <x:f>'两日价格与决策'!L36</x:f>
        <x:v>0</x:v>
      </x:c>
      <x:c r="M36" s="24" t="n">
        <x:f>'两日价格与决策'!M36</x:f>
        <x:v>0</x:v>
      </x:c>
      <x:c r="N36" s="24" t="n">
        <x:f>'两日价格与决策'!N36</x:f>
        <x:v>0</x:v>
      </x:c>
      <x:c r="O36" s="24" t="n">
        <x:f>'两日价格与决策'!O36</x:f>
        <x:v>0</x:v>
      </x:c>
      <x:c r="P36" s="24" t="n">
        <x:f>'两日价格与决策'!P36</x:f>
        <x:v>0</x:v>
      </x:c>
      <x:c r="Q36" s="25" t="n">
        <x:f>'两日价格与决策'!Q36</x:f>
        <x:v>0</x:v>
      </x:c>
      <x:c r="R36" s="25" t="n">
        <x:f>'两日价格与决策'!R36</x:f>
        <x:v>0</x:v>
      </x:c>
      <x:c r="S36" s="25" t="n">
        <x:f>'两日价格与决策'!S36</x:f>
        <x:v>0</x:v>
      </x:c>
      <x:c r="T36" s="25" t="n">
        <x:f>'两日价格与决策'!T36</x:f>
        <x:v>0</x:v>
      </x:c>
      <x:c r="U36" s="25" t="n">
        <x:f>'两日价格与决策'!U36</x:f>
        <x:v>0</x:v>
      </x:c>
      <x:c r="V36" s="25" t="n">
        <x:f>'两日价格与决策'!V36</x:f>
        <x:v>0</x:v>
      </x:c>
      <x:c r="W36" s="25" t="n">
        <x:f>'两日价格与决策'!W36</x:f>
        <x:v>0</x:v>
      </x:c>
      <x:c r="X36" s="18" t="n">
        <x:f>'两日价格与决策'!X36</x:f>
        <x:v>0</x:v>
      </x:c>
      <x:c r="Y36" s="18" t="n">
        <x:f>'两日价格与决策'!Y36</x:f>
        <x:v>0</x:v>
      </x:c>
      <x:c r="Z36" s="18" t="str">
        <x:f>'两日价格与决策'!Z36</x:f>
        <x:v>1月1日执行｜初始化零订单</x:v>
      </x:c>
      <x:c r="AA36" s="19" t="n">
        <x:f>'两日价格与决策'!AA36</x:f>
        <x:v>1</x:v>
      </x:c>
      <x:c r="AB36" s="19" t="n">
        <x:f>'两日价格与决策'!AB36</x:f>
        <x:v>0</x:v>
      </x:c>
      <x:c r="AC36" s="18" t="n">
        <x:f>'两日价格与决策'!AC36</x:f>
        <x:v>0.25</x:v>
      </x:c>
      <x:c r="AD36" s="20" t="n">
        <x:f>'两日价格与决策'!AD36</x:f>
        <x:v>1</x:v>
      </x:c>
      <x:c r="AE36" s="20" t="n">
        <x:f>'两日价格与决策'!AE36</x:f>
        <x:v>0.40184</x:v>
      </x:c>
      <x:c r="AF36" s="20" t="n">
        <x:f>'两日价格与决策'!AF36</x:f>
        <x:v>0</x:v>
      </x:c>
      <x:c r="AG36" s="18" t="n">
        <x:f>'两日价格与决策'!AG36</x:f>
        <x:v>200</x:v>
      </x:c>
      <x:c r="AH36" s="18" t="n">
        <x:f>'两日价格与决策'!AH36</x:f>
        <x:v>200</x:v>
      </x:c>
      <x:c r="AI36" s="18" t="n">
        <x:f>'两日价格与决策'!AI36</x:f>
        <x:v>20.092</x:v>
      </x:c>
      <x:c r="AJ36" s="18" t="n">
        <x:f>'两日价格与决策'!AJ36</x:f>
        <x:v>0</x:v>
      </x:c>
      <x:c r="AK36" s="18" t="str">
        <x:f>'两日价格与决策'!AK36</x:f>
        <x:v>缺失</x:v>
      </x:c>
      <x:c r="AL36" s="18" t="n">
        <x:f>'两日价格与决策'!AL36</x:f>
        <x:v>0</x:v>
      </x:c>
      <x:c r="AM36" s="18" t="n">
        <x:f>'两日价格与决策'!AM36</x:f>
        <x:v>0</x:v>
      </x:c>
      <x:c r="AN36" s="18" t="n">
        <x:f>'两日价格与决策'!AN36</x:f>
        <x:v>0</x:v>
      </x:c>
      <x:c r="AO36" s="18" t="n">
        <x:f>'两日价格与决策'!AO36</x:f>
        <x:v>10</x:v>
      </x:c>
      <x:c r="AP36" s="18" t="n">
        <x:f>'两日价格与决策'!AP36</x:f>
        <x:v>0</x:v>
      </x:c>
      <x:c r="AQ36" s="18" t="n">
        <x:f>'两日价格与决策'!AQ36</x:f>
        <x:v>4.9741</x:v>
      </x:c>
      <x:c r="AR36" s="21" t="n">
        <x:f>'两日价格与决策'!AR36</x:f>
        <x:v>45657</x:v>
      </x:c>
      <x:c r="AS36" s="17" t="n">
        <x:f>'两日价格与决策'!AS36</x:f>
        <x:v>45658.21875</x:v>
      </x:c>
      <x:c r="AT36" s="18" t="str">
        <x:f>'两日价格与决策'!AT36</x:f>
        <x:v>2025-01-01_7</x:v>
      </x:c>
      <x:c r="AU36" s="19" t="n">
        <x:f>'两日价格与决策'!AU36</x:f>
        <x:v>60</x:v>
      </x:c>
      <x:c r="AV36" s="18" t="str">
        <x:f>'两日价格与决策'!AV36</x:f>
        <x:v>OK</x:v>
      </x:c>
    </x:row>
    <x:row r="37" ht="21" customHeight="1">
      <x:c r="A37" s="17" t="n">
        <x:f>'两日价格与决策'!A37</x:f>
        <x:v>45658.3125</x:v>
      </x:c>
      <x:c r="B37" s="23" t="n">
        <x:f>'两日价格与决策'!B37</x:f>
        <x:v>62.42</x:v>
      </x:c>
      <x:c r="C37" s="23" t="str">
        <x:f>'两日价格与决策'!C37</x:f>
        <x:v>缺失</x:v>
      </x:c>
      <x:c r="D37" s="23" t="n">
        <x:f>'两日价格与决策'!D37</x:f>
        <x:v>13.831647936310086</x:v>
      </x:c>
      <x:c r="E37" s="23" t="n">
        <x:f>'两日价格与决策'!E37</x:f>
        <x:v>14.710198829939085</x:v>
      </x:c>
      <x:c r="F37" s="23" t="n">
        <x:f>'两日价格与决策'!F37</x:f>
        <x:v>151.75046742124204</x:v>
      </x:c>
      <x:c r="G37" s="23" t="n">
        <x:f>'两日价格与决策'!G37</x:f>
        <x:v>0</x:v>
      </x:c>
      <x:c r="H37" s="23" t="str">
        <x:f>'两日价格与决策'!H37</x:f>
        <x:v>未模拟</x:v>
      </x:c>
      <x:c r="I37" s="24" t="n">
        <x:f>'两日价格与决策'!I37</x:f>
        <x:v>10</x:v>
      </x:c>
      <x:c r="J37" s="24" t="n">
        <x:f>'两日价格与决策'!J37</x:f>
        <x:v>10</x:v>
      </x:c>
      <x:c r="K37" s="24" t="n">
        <x:f>'两日价格与决策'!K37</x:f>
        <x:v>0</x:v>
      </x:c>
      <x:c r="L37" s="24" t="n">
        <x:f>'两日价格与决策'!L37</x:f>
        <x:v>0</x:v>
      </x:c>
      <x:c r="M37" s="24" t="n">
        <x:f>'两日价格与决策'!M37</x:f>
        <x:v>0</x:v>
      </x:c>
      <x:c r="N37" s="24" t="n">
        <x:f>'两日价格与决策'!N37</x:f>
        <x:v>0</x:v>
      </x:c>
      <x:c r="O37" s="24" t="n">
        <x:f>'两日价格与决策'!O37</x:f>
        <x:v>0</x:v>
      </x:c>
      <x:c r="P37" s="24" t="n">
        <x:f>'两日价格与决策'!P37</x:f>
        <x:v>0</x:v>
      </x:c>
      <x:c r="Q37" s="25" t="n">
        <x:f>'两日价格与决策'!Q37</x:f>
        <x:v>0</x:v>
      </x:c>
      <x:c r="R37" s="25" t="n">
        <x:f>'两日价格与决策'!R37</x:f>
        <x:v>0</x:v>
      </x:c>
      <x:c r="S37" s="25" t="n">
        <x:f>'两日价格与决策'!S37</x:f>
        <x:v>0</x:v>
      </x:c>
      <x:c r="T37" s="25" t="n">
        <x:f>'两日价格与决策'!T37</x:f>
        <x:v>0</x:v>
      </x:c>
      <x:c r="U37" s="25" t="n">
        <x:f>'两日价格与决策'!U37</x:f>
        <x:v>0</x:v>
      </x:c>
      <x:c r="V37" s="25" t="n">
        <x:f>'两日价格与决策'!V37</x:f>
        <x:v>0</x:v>
      </x:c>
      <x:c r="W37" s="25" t="n">
        <x:f>'两日价格与决策'!W37</x:f>
        <x:v>0</x:v>
      </x:c>
      <x:c r="X37" s="18" t="n">
        <x:f>'两日价格与决策'!X37</x:f>
        <x:v>0</x:v>
      </x:c>
      <x:c r="Y37" s="18" t="n">
        <x:f>'两日价格与决策'!Y37</x:f>
        <x:v>0</x:v>
      </x:c>
      <x:c r="Z37" s="18" t="str">
        <x:f>'两日价格与决策'!Z37</x:f>
        <x:v>1月1日执行｜初始化零订单</x:v>
      </x:c>
      <x:c r="AA37" s="19" t="n">
        <x:f>'两日价格与决策'!AA37</x:f>
        <x:v>1</x:v>
      </x:c>
      <x:c r="AB37" s="19" t="n">
        <x:f>'两日价格与决策'!AB37</x:f>
        <x:v>0</x:v>
      </x:c>
      <x:c r="AC37" s="18" t="n">
        <x:f>'两日价格与决策'!AC37</x:f>
        <x:v>0.25</x:v>
      </x:c>
      <x:c r="AD37" s="20" t="n">
        <x:f>'两日价格与决策'!AD37</x:f>
        <x:v>1</x:v>
      </x:c>
      <x:c r="AE37" s="20" t="n">
        <x:f>'两日价格与决策'!AE37</x:f>
        <x:v>0.23056000000000001</x:v>
      </x:c>
      <x:c r="AF37" s="20" t="n">
        <x:f>'两日价格与决策'!AF37</x:f>
        <x:v>0</x:v>
      </x:c>
      <x:c r="AG37" s="18" t="n">
        <x:f>'两日价格与决策'!AG37</x:f>
        <x:v>200</x:v>
      </x:c>
      <x:c r="AH37" s="18" t="n">
        <x:f>'两日价格与决策'!AH37</x:f>
        <x:v>200</x:v>
      </x:c>
      <x:c r="AI37" s="18" t="n">
        <x:f>'两日价格与决策'!AI37</x:f>
        <x:v>11.528</x:v>
      </x:c>
      <x:c r="AJ37" s="18" t="n">
        <x:f>'两日价格与决策'!AJ37</x:f>
        <x:v>0</x:v>
      </x:c>
      <x:c r="AK37" s="18" t="str">
        <x:f>'两日价格与决策'!AK37</x:f>
        <x:v>缺失</x:v>
      </x:c>
      <x:c r="AL37" s="18" t="n">
        <x:f>'两日价格与决策'!AL37</x:f>
        <x:v>0</x:v>
      </x:c>
      <x:c r="AM37" s="18" t="n">
        <x:f>'两日价格与决策'!AM37</x:f>
        <x:v>0</x:v>
      </x:c>
      <x:c r="AN37" s="18" t="n">
        <x:f>'两日价格与决策'!AN37</x:f>
        <x:v>0</x:v>
      </x:c>
      <x:c r="AO37" s="18" t="n">
        <x:f>'两日价格与决策'!AO37</x:f>
        <x:v>10</x:v>
      </x:c>
      <x:c r="AP37" s="18" t="n">
        <x:f>'两日价格与决策'!AP37</x:f>
        <x:v>0</x:v>
      </x:c>
      <x:c r="AQ37" s="18" t="n">
        <x:f>'两日价格与决策'!AQ37</x:f>
        <x:v>4.9741</x:v>
      </x:c>
      <x:c r="AR37" s="21" t="n">
        <x:f>'两日价格与决策'!AR37</x:f>
        <x:v>45657</x:v>
      </x:c>
      <x:c r="AS37" s="17" t="n">
        <x:f>'两日价格与决策'!AS37</x:f>
        <x:v>45658.229166666664</x:v>
      </x:c>
      <x:c r="AT37" s="18" t="str">
        <x:f>'两日价格与决策'!AT37</x:f>
        <x:v>2025-01-01_7</x:v>
      </x:c>
      <x:c r="AU37" s="19" t="n">
        <x:f>'两日价格与决策'!AU37</x:f>
        <x:v>60</x:v>
      </x:c>
      <x:c r="AV37" s="18" t="str">
        <x:f>'两日价格与决策'!AV37</x:f>
        <x:v>OK</x:v>
      </x:c>
    </x:row>
    <x:row r="38" ht="21" customHeight="1">
      <x:c r="A38" s="17" t="n">
        <x:f>'两日价格与决策'!A38</x:f>
        <x:v>45658.322916666664</x:v>
      </x:c>
      <x:c r="B38" s="23" t="n">
        <x:f>'两日价格与决策'!B38</x:f>
        <x:v>62.42</x:v>
      </x:c>
      <x:c r="C38" s="23" t="str">
        <x:f>'两日价格与决策'!C38</x:f>
        <x:v>缺失</x:v>
      </x:c>
      <x:c r="D38" s="23" t="n">
        <x:f>'两日价格与决策'!D38</x:f>
        <x:v>13.831647936310086</x:v>
      </x:c>
      <x:c r="E38" s="23" t="n">
        <x:f>'两日价格与决策'!E38</x:f>
        <x:v>14.710198829939085</x:v>
      </x:c>
      <x:c r="F38" s="23" t="n">
        <x:f>'两日价格与决策'!F38</x:f>
        <x:v>136.70814820771596</x:v>
      </x:c>
      <x:c r="G38" s="23" t="n">
        <x:f>'两日价格与决策'!G38</x:f>
        <x:v>0</x:v>
      </x:c>
      <x:c r="H38" s="23" t="str">
        <x:f>'两日价格与决策'!H38</x:f>
        <x:v>未模拟</x:v>
      </x:c>
      <x:c r="I38" s="24" t="n">
        <x:f>'两日价格与决策'!I38</x:f>
        <x:v>10</x:v>
      </x:c>
      <x:c r="J38" s="24" t="n">
        <x:f>'两日价格与决策'!J38</x:f>
        <x:v>10</x:v>
      </x:c>
      <x:c r="K38" s="24" t="n">
        <x:f>'两日价格与决策'!K38</x:f>
        <x:v>0</x:v>
      </x:c>
      <x:c r="L38" s="24" t="n">
        <x:f>'两日价格与决策'!L38</x:f>
        <x:v>0</x:v>
      </x:c>
      <x:c r="M38" s="24" t="n">
        <x:f>'两日价格与决策'!M38</x:f>
        <x:v>0</x:v>
      </x:c>
      <x:c r="N38" s="24" t="n">
        <x:f>'两日价格与决策'!N38</x:f>
        <x:v>0</x:v>
      </x:c>
      <x:c r="O38" s="24" t="n">
        <x:f>'两日价格与决策'!O38</x:f>
        <x:v>0</x:v>
      </x:c>
      <x:c r="P38" s="24" t="n">
        <x:f>'两日价格与决策'!P38</x:f>
        <x:v>0</x:v>
      </x:c>
      <x:c r="Q38" s="25" t="n">
        <x:f>'两日价格与决策'!Q38</x:f>
        <x:v>0</x:v>
      </x:c>
      <x:c r="R38" s="25" t="n">
        <x:f>'两日价格与决策'!R38</x:f>
        <x:v>0</x:v>
      </x:c>
      <x:c r="S38" s="25" t="n">
        <x:f>'两日价格与决策'!S38</x:f>
        <x:v>0</x:v>
      </x:c>
      <x:c r="T38" s="25" t="n">
        <x:f>'两日价格与决策'!T38</x:f>
        <x:v>0</x:v>
      </x:c>
      <x:c r="U38" s="25" t="n">
        <x:f>'两日价格与决策'!U38</x:f>
        <x:v>0</x:v>
      </x:c>
      <x:c r="V38" s="25" t="n">
        <x:f>'两日价格与决策'!V38</x:f>
        <x:v>0</x:v>
      </x:c>
      <x:c r="W38" s="25" t="n">
        <x:f>'两日价格与决策'!W38</x:f>
        <x:v>0</x:v>
      </x:c>
      <x:c r="X38" s="18" t="n">
        <x:f>'两日价格与决策'!X38</x:f>
        <x:v>0</x:v>
      </x:c>
      <x:c r="Y38" s="18" t="n">
        <x:f>'两日价格与决策'!Y38</x:f>
        <x:v>0</x:v>
      </x:c>
      <x:c r="Z38" s="18" t="str">
        <x:f>'两日价格与决策'!Z38</x:f>
        <x:v>1月1日执行｜初始化零订单</x:v>
      </x:c>
      <x:c r="AA38" s="19" t="n">
        <x:f>'两日价格与决策'!AA38</x:f>
        <x:v>1</x:v>
      </x:c>
      <x:c r="AB38" s="19" t="n">
        <x:f>'两日价格与决策'!AB38</x:f>
        <x:v>0</x:v>
      </x:c>
      <x:c r="AC38" s="18" t="n">
        <x:f>'两日价格与决策'!AC38</x:f>
        <x:v>0.25</x:v>
      </x:c>
      <x:c r="AD38" s="20" t="n">
        <x:f>'两日价格与决策'!AD38</x:f>
        <x:v>1</x:v>
      </x:c>
      <x:c r="AE38" s="20" t="n">
        <x:f>'两日价格与决策'!AE38</x:f>
        <x:v>0.0401</x:v>
      </x:c>
      <x:c r="AF38" s="20" t="n">
        <x:f>'两日价格与决策'!AF38</x:f>
        <x:v>0</x:v>
      </x:c>
      <x:c r="AG38" s="18" t="n">
        <x:f>'两日价格与决策'!AG38</x:f>
        <x:v>200</x:v>
      </x:c>
      <x:c r="AH38" s="18" t="n">
        <x:f>'两日价格与决策'!AH38</x:f>
        <x:v>200</x:v>
      </x:c>
      <x:c r="AI38" s="18" t="n">
        <x:f>'两日价格与决策'!AI38</x:f>
        <x:v>2.005</x:v>
      </x:c>
      <x:c r="AJ38" s="18" t="n">
        <x:f>'两日价格与决策'!AJ38</x:f>
        <x:v>0</x:v>
      </x:c>
      <x:c r="AK38" s="18" t="str">
        <x:f>'两日价格与决策'!AK38</x:f>
        <x:v>缺失</x:v>
      </x:c>
      <x:c r="AL38" s="18" t="n">
        <x:f>'两日价格与决策'!AL38</x:f>
        <x:v>0</x:v>
      </x:c>
      <x:c r="AM38" s="18" t="n">
        <x:f>'两日价格与决策'!AM38</x:f>
        <x:v>0</x:v>
      </x:c>
      <x:c r="AN38" s="18" t="n">
        <x:f>'两日价格与决策'!AN38</x:f>
        <x:v>0</x:v>
      </x:c>
      <x:c r="AO38" s="18" t="n">
        <x:f>'两日价格与决策'!AO38</x:f>
        <x:v>10</x:v>
      </x:c>
      <x:c r="AP38" s="18" t="n">
        <x:f>'两日价格与决策'!AP38</x:f>
        <x:v>0</x:v>
      </x:c>
      <x:c r="AQ38" s="18" t="n">
        <x:f>'两日价格与决策'!AQ38</x:f>
        <x:v>4.9741</x:v>
      </x:c>
      <x:c r="AR38" s="21" t="n">
        <x:f>'两日价格与决策'!AR38</x:f>
        <x:v>45657</x:v>
      </x:c>
      <x:c r="AS38" s="17" t="n">
        <x:f>'两日价格与决策'!AS38</x:f>
        <x:v>45658.239583333336</x:v>
      </x:c>
      <x:c r="AT38" s="18" t="str">
        <x:f>'两日价格与决策'!AT38</x:f>
        <x:v>2025-01-01_7</x:v>
      </x:c>
      <x:c r="AU38" s="19" t="n">
        <x:f>'两日价格与决策'!AU38</x:f>
        <x:v>60</x:v>
      </x:c>
      <x:c r="AV38" s="18" t="str">
        <x:f>'两日价格与决策'!AV38</x:f>
        <x:v>OK</x:v>
      </x:c>
    </x:row>
    <x:row r="39" ht="21" customHeight="1">
      <x:c r="A39" s="17" t="n">
        <x:f>'两日价格与决策'!A39</x:f>
        <x:v>45658.333333333336</x:v>
      </x:c>
      <x:c r="B39" s="23" t="n">
        <x:f>'两日价格与决策'!B39</x:f>
        <x:v>56.78</x:v>
      </x:c>
      <x:c r="C39" s="23" t="str">
        <x:f>'两日价格与决策'!C39</x:f>
        <x:v>缺失</x:v>
      </x:c>
      <x:c r="D39" s="23" t="n">
        <x:f>'两日价格与决策'!D39</x:f>
        <x:v>13.831647936310086</x:v>
      </x:c>
      <x:c r="E39" s="23" t="n">
        <x:f>'两日价格与决策'!E39</x:f>
        <x:v>14.676021792887155</x:v>
      </x:c>
      <x:c r="F39" s="23" t="n">
        <x:f>'两日价格与决策'!F39</x:f>
        <x:v>144.71763736153275</x:v>
      </x:c>
      <x:c r="G39" s="23" t="n">
        <x:f>'两日价格与决策'!G39</x:f>
        <x:v>0</x:v>
      </x:c>
      <x:c r="H39" s="23" t="str">
        <x:f>'两日价格与决策'!H39</x:f>
        <x:v>未模拟</x:v>
      </x:c>
      <x:c r="I39" s="24" t="n">
        <x:f>'两日价格与决策'!I39</x:f>
        <x:v>10</x:v>
      </x:c>
      <x:c r="J39" s="24" t="n">
        <x:f>'两日价格与决策'!J39</x:f>
        <x:v>10</x:v>
      </x:c>
      <x:c r="K39" s="24" t="n">
        <x:f>'两日价格与决策'!K39</x:f>
        <x:v>0</x:v>
      </x:c>
      <x:c r="L39" s="24" t="n">
        <x:f>'两日价格与决策'!L39</x:f>
        <x:v>0</x:v>
      </x:c>
      <x:c r="M39" s="24" t="n">
        <x:f>'两日价格与决策'!M39</x:f>
        <x:v>0</x:v>
      </x:c>
      <x:c r="N39" s="24" t="n">
        <x:f>'两日价格与决策'!N39</x:f>
        <x:v>0</x:v>
      </x:c>
      <x:c r="O39" s="24" t="n">
        <x:f>'两日价格与决策'!O39</x:f>
        <x:v>0</x:v>
      </x:c>
      <x:c r="P39" s="24" t="n">
        <x:f>'两日价格与决策'!P39</x:f>
        <x:v>0</x:v>
      </x:c>
      <x:c r="Q39" s="25" t="n">
        <x:f>'两日价格与决策'!Q39</x:f>
        <x:v>0</x:v>
      </x:c>
      <x:c r="R39" s="25" t="n">
        <x:f>'两日价格与决策'!R39</x:f>
        <x:v>0</x:v>
      </x:c>
      <x:c r="S39" s="25" t="n">
        <x:f>'两日价格与决策'!S39</x:f>
        <x:v>0</x:v>
      </x:c>
      <x:c r="T39" s="25" t="n">
        <x:f>'两日价格与决策'!T39</x:f>
        <x:v>0</x:v>
      </x:c>
      <x:c r="U39" s="25" t="n">
        <x:f>'两日价格与决策'!U39</x:f>
        <x:v>0</x:v>
      </x:c>
      <x:c r="V39" s="25" t="n">
        <x:f>'两日价格与决策'!V39</x:f>
        <x:v>0</x:v>
      </x:c>
      <x:c r="W39" s="25" t="n">
        <x:f>'两日价格与决策'!W39</x:f>
        <x:v>0</x:v>
      </x:c>
      <x:c r="X39" s="18" t="n">
        <x:f>'两日价格与决策'!X39</x:f>
        <x:v>0</x:v>
      </x:c>
      <x:c r="Y39" s="18" t="n">
        <x:f>'两日价格与决策'!Y39</x:f>
        <x:v>0</x:v>
      </x:c>
      <x:c r="Z39" s="18" t="str">
        <x:f>'两日价格与决策'!Z39</x:f>
        <x:v>1月1日执行｜初始化零订单</x:v>
      </x:c>
      <x:c r="AA39" s="19" t="n">
        <x:f>'两日价格与决策'!AA39</x:f>
        <x:v>1</x:v>
      </x:c>
      <x:c r="AB39" s="19" t="n">
        <x:f>'两日价格与决策'!AB39</x:f>
        <x:v>0</x:v>
      </x:c>
      <x:c r="AC39" s="18" t="n">
        <x:f>'两日价格与决策'!AC39</x:f>
        <x:v>0.25</x:v>
      </x:c>
      <x:c r="AD39" s="20" t="n">
        <x:f>'两日价格与决策'!AD39</x:f>
        <x:v>1</x:v>
      </x:c>
      <x:c r="AE39" s="20" t="n">
        <x:f>'两日价格与决策'!AE39</x:f>
        <x:v>0.17768</x:v>
      </x:c>
      <x:c r="AF39" s="20" t="n">
        <x:f>'两日价格与决策'!AF39</x:f>
        <x:v>0</x:v>
      </x:c>
      <x:c r="AG39" s="18" t="n">
        <x:f>'两日价格与决策'!AG39</x:f>
        <x:v>200</x:v>
      </x:c>
      <x:c r="AH39" s="18" t="n">
        <x:f>'两日价格与决策'!AH39</x:f>
        <x:v>200</x:v>
      </x:c>
      <x:c r="AI39" s="18" t="n">
        <x:f>'两日价格与决策'!AI39</x:f>
        <x:v>8.884</x:v>
      </x:c>
      <x:c r="AJ39" s="18" t="n">
        <x:f>'两日价格与决策'!AJ39</x:f>
        <x:v>0</x:v>
      </x:c>
      <x:c r="AK39" s="18" t="str">
        <x:f>'两日价格与决策'!AK39</x:f>
        <x:v>缺失</x:v>
      </x:c>
      <x:c r="AL39" s="18" t="n">
        <x:f>'两日价格与决策'!AL39</x:f>
        <x:v>0</x:v>
      </x:c>
      <x:c r="AM39" s="18" t="n">
        <x:f>'两日价格与决策'!AM39</x:f>
        <x:v>0</x:v>
      </x:c>
      <x:c r="AN39" s="18" t="n">
        <x:f>'两日价格与决策'!AN39</x:f>
        <x:v>0</x:v>
      </x:c>
      <x:c r="AO39" s="18" t="n">
        <x:f>'两日价格与决策'!AO39</x:f>
        <x:v>10</x:v>
      </x:c>
      <x:c r="AP39" s="18" t="n">
        <x:f>'两日价格与决策'!AP39</x:f>
        <x:v>0</x:v>
      </x:c>
      <x:c r="AQ39" s="18" t="n">
        <x:f>'两日价格与决策'!AQ39</x:f>
        <x:v>4.9741</x:v>
      </x:c>
      <x:c r="AR39" s="21" t="n">
        <x:f>'两日价格与决策'!AR39</x:f>
        <x:v>45657</x:v>
      </x:c>
      <x:c r="AS39" s="17" t="n">
        <x:f>'两日价格与决策'!AS39</x:f>
        <x:v>45658.25</x:v>
      </x:c>
      <x:c r="AT39" s="18" t="str">
        <x:f>'两日价格与决策'!AT39</x:f>
        <x:v>2025-01-01_8</x:v>
      </x:c>
      <x:c r="AU39" s="19" t="n">
        <x:f>'两日价格与决策'!AU39</x:f>
        <x:v>60</x:v>
      </x:c>
      <x:c r="AV39" s="18" t="str">
        <x:f>'两日价格与决策'!AV39</x:f>
        <x:v>OK</x:v>
      </x:c>
    </x:row>
    <x:row r="40" ht="21" customHeight="1">
      <x:c r="A40" s="17" t="n">
        <x:f>'两日价格与决策'!A40</x:f>
        <x:v>45658.34375</x:v>
      </x:c>
      <x:c r="B40" s="23" t="n">
        <x:f>'两日价格与决策'!B40</x:f>
        <x:v>56.78</x:v>
      </x:c>
      <x:c r="C40" s="23" t="str">
        <x:f>'两日价格与决策'!C40</x:f>
        <x:v>缺失</x:v>
      </x:c>
      <x:c r="D40" s="23" t="n">
        <x:f>'两日价格与决策'!D40</x:f>
        <x:v>13.831647936310086</x:v>
      </x:c>
      <x:c r="E40" s="23" t="n">
        <x:f>'两日价格与决策'!E40</x:f>
        <x:v>14.676021792887155</x:v>
      </x:c>
      <x:c r="F40" s="23" t="n">
        <x:f>'两日价格与决策'!F40</x:f>
        <x:v>136.70814820771596</x:v>
      </x:c>
      <x:c r="G40" s="23" t="n">
        <x:f>'两日价格与决策'!G40</x:f>
        <x:v>0</x:v>
      </x:c>
      <x:c r="H40" s="23" t="str">
        <x:f>'两日价格与决策'!H40</x:f>
        <x:v>未模拟</x:v>
      </x:c>
      <x:c r="I40" s="24" t="n">
        <x:f>'两日价格与决策'!I40</x:f>
        <x:v>10</x:v>
      </x:c>
      <x:c r="J40" s="24" t="n">
        <x:f>'两日价格与决策'!J40</x:f>
        <x:v>10</x:v>
      </x:c>
      <x:c r="K40" s="24" t="n">
        <x:f>'两日价格与决策'!K40</x:f>
        <x:v>0</x:v>
      </x:c>
      <x:c r="L40" s="24" t="n">
        <x:f>'两日价格与决策'!L40</x:f>
        <x:v>0</x:v>
      </x:c>
      <x:c r="M40" s="24" t="n">
        <x:f>'两日价格与决策'!M40</x:f>
        <x:v>0</x:v>
      </x:c>
      <x:c r="N40" s="24" t="n">
        <x:f>'两日价格与决策'!N40</x:f>
        <x:v>0</x:v>
      </x:c>
      <x:c r="O40" s="24" t="n">
        <x:f>'两日价格与决策'!O40</x:f>
        <x:v>0</x:v>
      </x:c>
      <x:c r="P40" s="24" t="n">
        <x:f>'两日价格与决策'!P40</x:f>
        <x:v>0</x:v>
      </x:c>
      <x:c r="Q40" s="25" t="n">
        <x:f>'两日价格与决策'!Q40</x:f>
        <x:v>0</x:v>
      </x:c>
      <x:c r="R40" s="25" t="n">
        <x:f>'两日价格与决策'!R40</x:f>
        <x:v>0</x:v>
      </x:c>
      <x:c r="S40" s="25" t="n">
        <x:f>'两日价格与决策'!S40</x:f>
        <x:v>0</x:v>
      </x:c>
      <x:c r="T40" s="25" t="n">
        <x:f>'两日价格与决策'!T40</x:f>
        <x:v>0</x:v>
      </x:c>
      <x:c r="U40" s="25" t="n">
        <x:f>'两日价格与决策'!U40</x:f>
        <x:v>0</x:v>
      </x:c>
      <x:c r="V40" s="25" t="n">
        <x:f>'两日价格与决策'!V40</x:f>
        <x:v>0</x:v>
      </x:c>
      <x:c r="W40" s="25" t="n">
        <x:f>'两日价格与决策'!W40</x:f>
        <x:v>0</x:v>
      </x:c>
      <x:c r="X40" s="18" t="n">
        <x:f>'两日价格与决策'!X40</x:f>
        <x:v>0</x:v>
      </x:c>
      <x:c r="Y40" s="18" t="n">
        <x:f>'两日价格与决策'!Y40</x:f>
        <x:v>0</x:v>
      </x:c>
      <x:c r="Z40" s="18" t="str">
        <x:f>'两日价格与决策'!Z40</x:f>
        <x:v>1月1日执行｜初始化零订单</x:v>
      </x:c>
      <x:c r="AA40" s="19" t="n">
        <x:f>'两日价格与决策'!AA40</x:f>
        <x:v>1</x:v>
      </x:c>
      <x:c r="AB40" s="19" t="n">
        <x:f>'两日价格与决策'!AB40</x:f>
        <x:v>0</x:v>
      </x:c>
      <x:c r="AC40" s="18" t="n">
        <x:f>'两日价格与决策'!AC40</x:f>
        <x:v>0.25</x:v>
      </x:c>
      <x:c r="AD40" s="20" t="n">
        <x:f>'两日价格与决策'!AD40</x:f>
        <x:v>1</x:v>
      </x:c>
      <x:c r="AE40" s="20" t="n">
        <x:f>'两日价格与决策'!AE40</x:f>
        <x:v>0.028679999999999997</x:v>
      </x:c>
      <x:c r="AF40" s="20" t="n">
        <x:f>'两日价格与决策'!AF40</x:f>
        <x:v>0</x:v>
      </x:c>
      <x:c r="AG40" s="18" t="n">
        <x:f>'两日价格与决策'!AG40</x:f>
        <x:v>200</x:v>
      </x:c>
      <x:c r="AH40" s="18" t="n">
        <x:f>'两日价格与决策'!AH40</x:f>
        <x:v>200</x:v>
      </x:c>
      <x:c r="AI40" s="18" t="n">
        <x:f>'两日价格与决策'!AI40</x:f>
        <x:v>1.434</x:v>
      </x:c>
      <x:c r="AJ40" s="18" t="n">
        <x:f>'两日价格与决策'!AJ40</x:f>
        <x:v>0</x:v>
      </x:c>
      <x:c r="AK40" s="18" t="str">
        <x:f>'两日价格与决策'!AK40</x:f>
        <x:v>缺失</x:v>
      </x:c>
      <x:c r="AL40" s="18" t="n">
        <x:f>'两日价格与决策'!AL40</x:f>
        <x:v>0</x:v>
      </x:c>
      <x:c r="AM40" s="18" t="n">
        <x:f>'两日价格与决策'!AM40</x:f>
        <x:v>0</x:v>
      </x:c>
      <x:c r="AN40" s="18" t="n">
        <x:f>'两日价格与决策'!AN40</x:f>
        <x:v>0</x:v>
      </x:c>
      <x:c r="AO40" s="18" t="n">
        <x:f>'两日价格与决策'!AO40</x:f>
        <x:v>10</x:v>
      </x:c>
      <x:c r="AP40" s="18" t="n">
        <x:f>'两日价格与决策'!AP40</x:f>
        <x:v>0</x:v>
      </x:c>
      <x:c r="AQ40" s="18" t="n">
        <x:f>'两日价格与决策'!AQ40</x:f>
        <x:v>4.9741</x:v>
      </x:c>
      <x:c r="AR40" s="21" t="n">
        <x:f>'两日价格与决策'!AR40</x:f>
        <x:v>45657</x:v>
      </x:c>
      <x:c r="AS40" s="17" t="n">
        <x:f>'两日价格与决策'!AS40</x:f>
        <x:v>45658.260416666664</x:v>
      </x:c>
      <x:c r="AT40" s="18" t="str">
        <x:f>'两日价格与决策'!AT40</x:f>
        <x:v>2025-01-01_8</x:v>
      </x:c>
      <x:c r="AU40" s="19" t="n">
        <x:f>'两日价格与决策'!AU40</x:f>
        <x:v>60</x:v>
      </x:c>
      <x:c r="AV40" s="18" t="str">
        <x:f>'两日价格与决策'!AV40</x:f>
        <x:v>OK</x:v>
      </x:c>
    </x:row>
    <x:row r="41" ht="21" customHeight="1">
      <x:c r="A41" s="17" t="n">
        <x:f>'两日价格与决策'!A41</x:f>
        <x:v>45658.354166666664</x:v>
      </x:c>
      <x:c r="B41" s="23" t="n">
        <x:f>'两日价格与决策'!B41</x:f>
        <x:v>56.78</x:v>
      </x:c>
      <x:c r="C41" s="23" t="str">
        <x:f>'两日价格与决策'!C41</x:f>
        <x:v>缺失</x:v>
      </x:c>
      <x:c r="D41" s="23" t="n">
        <x:f>'两日价格与决策'!D41</x:f>
        <x:v>13.831647936310086</x:v>
      </x:c>
      <x:c r="E41" s="23" t="n">
        <x:f>'两日价格与决策'!E41</x:f>
        <x:v>14.676021792887155</x:v>
      </x:c>
      <x:c r="F41" s="23" t="n">
        <x:f>'两日价格与决策'!F41</x:f>
        <x:v>136.70814820771596</x:v>
      </x:c>
      <x:c r="G41" s="23" t="n">
        <x:f>'两日价格与决策'!G41</x:f>
        <x:v>41.106732876299226</x:v>
      </x:c>
      <x:c r="H41" s="23" t="str">
        <x:f>'两日价格与决策'!H41</x:f>
        <x:v>未模拟</x:v>
      </x:c>
      <x:c r="I41" s="24" t="n">
        <x:f>'两日价格与决策'!I41</x:f>
        <x:v>10</x:v>
      </x:c>
      <x:c r="J41" s="24" t="n">
        <x:f>'两日价格与决策'!J41</x:f>
        <x:v>10</x:v>
      </x:c>
      <x:c r="K41" s="24" t="n">
        <x:f>'两日价格与决策'!K41</x:f>
        <x:v>0</x:v>
      </x:c>
      <x:c r="L41" s="24" t="n">
        <x:f>'两日价格与决策'!L41</x:f>
        <x:v>0</x:v>
      </x:c>
      <x:c r="M41" s="24" t="n">
        <x:f>'两日价格与决策'!M41</x:f>
        <x:v>0</x:v>
      </x:c>
      <x:c r="N41" s="24" t="n">
        <x:f>'两日价格与决策'!N41</x:f>
        <x:v>0</x:v>
      </x:c>
      <x:c r="O41" s="24" t="n">
        <x:f>'两日价格与决策'!O41</x:f>
        <x:v>0</x:v>
      </x:c>
      <x:c r="P41" s="24" t="n">
        <x:f>'两日价格与决策'!P41</x:f>
        <x:v>0</x:v>
      </x:c>
      <x:c r="Q41" s="25" t="n">
        <x:f>'两日价格与决策'!Q41</x:f>
        <x:v>0</x:v>
      </x:c>
      <x:c r="R41" s="25" t="n">
        <x:f>'两日价格与决策'!R41</x:f>
        <x:v>0</x:v>
      </x:c>
      <x:c r="S41" s="25" t="n">
        <x:f>'两日价格与决策'!S41</x:f>
        <x:v>0</x:v>
      </x:c>
      <x:c r="T41" s="25" t="n">
        <x:f>'两日价格与决策'!T41</x:f>
        <x:v>0</x:v>
      </x:c>
      <x:c r="U41" s="25" t="n">
        <x:f>'两日价格与决策'!U41</x:f>
        <x:v>0</x:v>
      </x:c>
      <x:c r="V41" s="25" t="n">
        <x:f>'两日价格与决策'!V41</x:f>
        <x:v>0</x:v>
      </x:c>
      <x:c r="W41" s="25" t="n">
        <x:f>'两日价格与决策'!W41</x:f>
        <x:v>0</x:v>
      </x:c>
      <x:c r="X41" s="18" t="n">
        <x:f>'两日价格与决策'!X41</x:f>
        <x:v>0</x:v>
      </x:c>
      <x:c r="Y41" s="18" t="n">
        <x:f>'两日价格与决策'!Y41</x:f>
        <x:v>0</x:v>
      </x:c>
      <x:c r="Z41" s="18" t="str">
        <x:f>'两日价格与决策'!Z41</x:f>
        <x:v>1月1日执行｜初始化零订单</x:v>
      </x:c>
      <x:c r="AA41" s="19" t="n">
        <x:f>'两日价格与决策'!AA41</x:f>
        <x:v>1</x:v>
      </x:c>
      <x:c r="AB41" s="19" t="n">
        <x:f>'两日价格与决策'!AB41</x:f>
        <x:v>0</x:v>
      </x:c>
      <x:c r="AC41" s="18" t="n">
        <x:f>'两日价格与决策'!AC41</x:f>
        <x:v>0.25</x:v>
      </x:c>
      <x:c r="AD41" s="20" t="n">
        <x:f>'两日价格与决策'!AD41</x:f>
        <x:v>1</x:v>
      </x:c>
      <x:c r="AE41" s="20" t="n">
        <x:f>'两日价格与决策'!AE41</x:f>
        <x:v>0.0014199999999999998</x:v>
      </x:c>
      <x:c r="AF41" s="20" t="n">
        <x:f>'两日价格与决策'!AF41</x:f>
        <x:v>0.00912</x:v>
      </x:c>
      <x:c r="AG41" s="18" t="n">
        <x:f>'两日价格与决策'!AG41</x:f>
        <x:v>200</x:v>
      </x:c>
      <x:c r="AH41" s="18" t="n">
        <x:f>'两日价格与决策'!AH41</x:f>
        <x:v>200</x:v>
      </x:c>
      <x:c r="AI41" s="18" t="n">
        <x:f>'两日价格与决策'!AI41</x:f>
        <x:v>0.071</x:v>
      </x:c>
      <x:c r="AJ41" s="18" t="n">
        <x:f>'两日价格与决策'!AJ41</x:f>
        <x:v>0.456</x:v>
      </x:c>
      <x:c r="AK41" s="18" t="str">
        <x:f>'两日价格与决策'!AK41</x:f>
        <x:v>缺失</x:v>
      </x:c>
      <x:c r="AL41" s="18" t="n">
        <x:f>'两日价格与决策'!AL41</x:f>
        <x:v>0</x:v>
      </x:c>
      <x:c r="AM41" s="18" t="n">
        <x:f>'两日价格与决策'!AM41</x:f>
        <x:v>0</x:v>
      </x:c>
      <x:c r="AN41" s="18" t="n">
        <x:f>'两日价格与决策'!AN41</x:f>
        <x:v>0</x:v>
      </x:c>
      <x:c r="AO41" s="18" t="n">
        <x:f>'两日价格与决策'!AO41</x:f>
        <x:v>10</x:v>
      </x:c>
      <x:c r="AP41" s="18" t="n">
        <x:f>'两日价格与决策'!AP41</x:f>
        <x:v>0</x:v>
      </x:c>
      <x:c r="AQ41" s="18" t="n">
        <x:f>'两日价格与决策'!AQ41</x:f>
        <x:v>4.9741</x:v>
      </x:c>
      <x:c r="AR41" s="21" t="n">
        <x:f>'两日价格与决策'!AR41</x:f>
        <x:v>45657</x:v>
      </x:c>
      <x:c r="AS41" s="17" t="n">
        <x:f>'两日价格与决策'!AS41</x:f>
        <x:v>45658.270833333336</x:v>
      </x:c>
      <x:c r="AT41" s="18" t="str">
        <x:f>'两日价格与决策'!AT41</x:f>
        <x:v>2025-01-01_8</x:v>
      </x:c>
      <x:c r="AU41" s="19" t="n">
        <x:f>'两日价格与决策'!AU41</x:f>
        <x:v>60</x:v>
      </x:c>
      <x:c r="AV41" s="18" t="str">
        <x:f>'两日价格与决策'!AV41</x:f>
        <x:v>OK</x:v>
      </x:c>
    </x:row>
    <x:row r="42" ht="21" customHeight="1">
      <x:c r="A42" s="17" t="n">
        <x:f>'两日价格与决策'!A42</x:f>
        <x:v>45658.364583333336</x:v>
      </x:c>
      <x:c r="B42" s="23" t="n">
        <x:f>'两日价格与决策'!B42</x:f>
        <x:v>56.78</x:v>
      </x:c>
      <x:c r="C42" s="23" t="str">
        <x:f>'两日价格与决策'!C42</x:f>
        <x:v>缺失</x:v>
      </x:c>
      <x:c r="D42" s="23" t="n">
        <x:f>'两日价格与决策'!D42</x:f>
        <x:v>13.831647936310086</x:v>
      </x:c>
      <x:c r="E42" s="23" t="n">
        <x:f>'两日价格与决策'!E42</x:f>
        <x:v>14.676021792887155</x:v>
      </x:c>
      <x:c r="F42" s="23" t="n">
        <x:f>'两日价格与决策'!F42</x:f>
        <x:v>0</x:v>
      </x:c>
      <x:c r="G42" s="23" t="n">
        <x:f>'两日价格与决策'!G42</x:f>
        <x:v>11.022898614824793</x:v>
      </x:c>
      <x:c r="H42" s="23" t="str">
        <x:f>'两日价格与决策'!H42</x:f>
        <x:v>未模拟</x:v>
      </x:c>
      <x:c r="I42" s="24" t="n">
        <x:f>'两日价格与决策'!I42</x:f>
        <x:v>10</x:v>
      </x:c>
      <x:c r="J42" s="24" t="n">
        <x:f>'两日价格与决策'!J42</x:f>
        <x:v>10</x:v>
      </x:c>
      <x:c r="K42" s="24" t="n">
        <x:f>'两日价格与决策'!K42</x:f>
        <x:v>0</x:v>
      </x:c>
      <x:c r="L42" s="24" t="n">
        <x:f>'两日价格与决策'!L42</x:f>
        <x:v>0</x:v>
      </x:c>
      <x:c r="M42" s="24" t="n">
        <x:f>'两日价格与决策'!M42</x:f>
        <x:v>0</x:v>
      </x:c>
      <x:c r="N42" s="24" t="n">
        <x:f>'两日价格与决策'!N42</x:f>
        <x:v>0</x:v>
      </x:c>
      <x:c r="O42" s="24" t="n">
        <x:f>'两日价格与决策'!O42</x:f>
        <x:v>0</x:v>
      </x:c>
      <x:c r="P42" s="24" t="n">
        <x:f>'两日价格与决策'!P42</x:f>
        <x:v>0</x:v>
      </x:c>
      <x:c r="Q42" s="25" t="n">
        <x:f>'两日价格与决策'!Q42</x:f>
        <x:v>0</x:v>
      </x:c>
      <x:c r="R42" s="25" t="n">
        <x:f>'两日价格与决策'!R42</x:f>
        <x:v>0</x:v>
      </x:c>
      <x:c r="S42" s="25" t="n">
        <x:f>'两日价格与决策'!S42</x:f>
        <x:v>0</x:v>
      </x:c>
      <x:c r="T42" s="25" t="n">
        <x:f>'两日价格与决策'!T42</x:f>
        <x:v>0</x:v>
      </x:c>
      <x:c r="U42" s="25" t="n">
        <x:f>'两日价格与决策'!U42</x:f>
        <x:v>0</x:v>
      </x:c>
      <x:c r="V42" s="25" t="n">
        <x:f>'两日价格与决策'!V42</x:f>
        <x:v>0</x:v>
      </x:c>
      <x:c r="W42" s="25" t="n">
        <x:f>'两日价格与决策'!W42</x:f>
        <x:v>0</x:v>
      </x:c>
      <x:c r="X42" s="18" t="n">
        <x:f>'两日价格与决策'!X42</x:f>
        <x:v>0</x:v>
      </x:c>
      <x:c r="Y42" s="18" t="n">
        <x:f>'两日价格与决策'!Y42</x:f>
        <x:v>0</x:v>
      </x:c>
      <x:c r="Z42" s="18" t="str">
        <x:f>'两日价格与决策'!Z42</x:f>
        <x:v>1月1日执行｜初始化零订单</x:v>
      </x:c>
      <x:c r="AA42" s="19" t="n">
        <x:f>'两日价格与决策'!AA42</x:f>
        <x:v>1</x:v>
      </x:c>
      <x:c r="AB42" s="19" t="n">
        <x:f>'两日价格与决策'!AB42</x:f>
        <x:v>0</x:v>
      </x:c>
      <x:c r="AC42" s="18" t="n">
        <x:f>'两日价格与决策'!AC42</x:f>
        <x:v>0.25</x:v>
      </x:c>
      <x:c r="AD42" s="20" t="n">
        <x:f>'两日价格与决策'!AD42</x:f>
        <x:v>1</x:v>
      </x:c>
      <x:c r="AE42" s="20" t="n">
        <x:f>'两日价格与决策'!AE42</x:f>
        <x:v>0</x:v>
      </x:c>
      <x:c r="AF42" s="20" t="n">
        <x:f>'两日价格与决策'!AF42</x:f>
        <x:v>0.27440000000000003</x:v>
      </x:c>
      <x:c r="AG42" s="18" t="n">
        <x:f>'两日价格与决策'!AG42</x:f>
        <x:v>200</x:v>
      </x:c>
      <x:c r="AH42" s="18" t="n">
        <x:f>'两日价格与决策'!AH42</x:f>
        <x:v>200</x:v>
      </x:c>
      <x:c r="AI42" s="18" t="n">
        <x:f>'两日价格与决策'!AI42</x:f>
        <x:v>0</x:v>
      </x:c>
      <x:c r="AJ42" s="18" t="n">
        <x:f>'两日价格与决策'!AJ42</x:f>
        <x:v>13.72</x:v>
      </x:c>
      <x:c r="AK42" s="18" t="str">
        <x:f>'两日价格与决策'!AK42</x:f>
        <x:v>缺失</x:v>
      </x:c>
      <x:c r="AL42" s="18" t="n">
        <x:f>'两日价格与决策'!AL42</x:f>
        <x:v>0</x:v>
      </x:c>
      <x:c r="AM42" s="18" t="n">
        <x:f>'两日价格与决策'!AM42</x:f>
        <x:v>0</x:v>
      </x:c>
      <x:c r="AN42" s="18" t="n">
        <x:f>'两日价格与决策'!AN42</x:f>
        <x:v>0</x:v>
      </x:c>
      <x:c r="AO42" s="18" t="n">
        <x:f>'两日价格与决策'!AO42</x:f>
        <x:v>10</x:v>
      </x:c>
      <x:c r="AP42" s="18" t="n">
        <x:f>'两日价格与决策'!AP42</x:f>
        <x:v>0</x:v>
      </x:c>
      <x:c r="AQ42" s="18" t="n">
        <x:f>'两日价格与决策'!AQ42</x:f>
        <x:v>4.9741</x:v>
      </x:c>
      <x:c r="AR42" s="21" t="n">
        <x:f>'两日价格与决策'!AR42</x:f>
        <x:v>45657</x:v>
      </x:c>
      <x:c r="AS42" s="17" t="n">
        <x:f>'两日价格与决策'!AS42</x:f>
        <x:v>45658.28125</x:v>
      </x:c>
      <x:c r="AT42" s="18" t="str">
        <x:f>'两日价格与决策'!AT42</x:f>
        <x:v>2025-01-01_8</x:v>
      </x:c>
      <x:c r="AU42" s="19" t="n">
        <x:f>'两日价格与决策'!AU42</x:f>
        <x:v>60</x:v>
      </x:c>
      <x:c r="AV42" s="18" t="str">
        <x:f>'两日价格与决策'!AV42</x:f>
        <x:v>OK</x:v>
      </x:c>
    </x:row>
    <x:row r="43" ht="21" customHeight="1">
      <x:c r="A43" s="17" t="n">
        <x:f>'两日价格与决策'!A43</x:f>
        <x:v>45658.375</x:v>
      </x:c>
      <x:c r="B43" s="23" t="n">
        <x:f>'两日价格与决策'!B43</x:f>
        <x:v>29.22</x:v>
      </x:c>
      <x:c r="C43" s="23" t="str">
        <x:f>'两日价格与决策'!C43</x:f>
        <x:v>缺失</x:v>
      </x:c>
      <x:c r="D43" s="23" t="n">
        <x:f>'两日价格与决策'!D43</x:f>
        <x:v>13.831647936310086</x:v>
      </x:c>
      <x:c r="E43" s="23" t="n">
        <x:f>'两日价格与决策'!E43</x:f>
        <x:v>14.676021792887155</x:v>
      </x:c>
      <x:c r="F43" s="23" t="n">
        <x:f>'两日价格与决策'!F43</x:f>
        <x:v>0</x:v>
      </x:c>
      <x:c r="G43" s="23" t="n">
        <x:f>'两日价格与决策'!G43</x:f>
        <x:v>34.24840674694919</x:v>
      </x:c>
      <x:c r="H43" s="23" t="str">
        <x:f>'两日价格与决策'!H43</x:f>
        <x:v>未模拟</x:v>
      </x:c>
      <x:c r="I43" s="24" t="n">
        <x:f>'两日价格与决策'!I43</x:f>
        <x:v>10</x:v>
      </x:c>
      <x:c r="J43" s="24" t="n">
        <x:f>'两日价格与决策'!J43</x:f>
        <x:v>10</x:v>
      </x:c>
      <x:c r="K43" s="24" t="n">
        <x:f>'两日价格与决策'!K43</x:f>
        <x:v>0</x:v>
      </x:c>
      <x:c r="L43" s="24" t="n">
        <x:f>'两日价格与决策'!L43</x:f>
        <x:v>0</x:v>
      </x:c>
      <x:c r="M43" s="24" t="n">
        <x:f>'两日价格与决策'!M43</x:f>
        <x:v>0</x:v>
      </x:c>
      <x:c r="N43" s="24" t="n">
        <x:f>'两日价格与决策'!N43</x:f>
        <x:v>0</x:v>
      </x:c>
      <x:c r="O43" s="24" t="n">
        <x:f>'两日价格与决策'!O43</x:f>
        <x:v>0</x:v>
      </x:c>
      <x:c r="P43" s="24" t="n">
        <x:f>'两日价格与决策'!P43</x:f>
        <x:v>0</x:v>
      </x:c>
      <x:c r="Q43" s="25" t="n">
        <x:f>'两日价格与决策'!Q43</x:f>
        <x:v>0</x:v>
      </x:c>
      <x:c r="R43" s="25" t="n">
        <x:f>'两日价格与决策'!R43</x:f>
        <x:v>0</x:v>
      </x:c>
      <x:c r="S43" s="25" t="n">
        <x:f>'两日价格与决策'!S43</x:f>
        <x:v>0</x:v>
      </x:c>
      <x:c r="T43" s="25" t="n">
        <x:f>'两日价格与决策'!T43</x:f>
        <x:v>0</x:v>
      </x:c>
      <x:c r="U43" s="25" t="n">
        <x:f>'两日价格与决策'!U43</x:f>
        <x:v>0</x:v>
      </x:c>
      <x:c r="V43" s="25" t="n">
        <x:f>'两日价格与决策'!V43</x:f>
        <x:v>0</x:v>
      </x:c>
      <x:c r="W43" s="25" t="n">
        <x:f>'两日价格与决策'!W43</x:f>
        <x:v>0</x:v>
      </x:c>
      <x:c r="X43" s="18" t="n">
        <x:f>'两日价格与决策'!X43</x:f>
        <x:v>0</x:v>
      </x:c>
      <x:c r="Y43" s="18" t="n">
        <x:f>'两日价格与决策'!Y43</x:f>
        <x:v>0</x:v>
      </x:c>
      <x:c r="Z43" s="18" t="str">
        <x:f>'两日价格与决策'!Z43</x:f>
        <x:v>1月1日执行｜初始化零订单</x:v>
      </x:c>
      <x:c r="AA43" s="19" t="n">
        <x:f>'两日价格与决策'!AA43</x:f>
        <x:v>0</x:v>
      </x:c>
      <x:c r="AB43" s="19" t="n">
        <x:f>'两日价格与决策'!AB43</x:f>
        <x:v>0</x:v>
      </x:c>
      <x:c r="AC43" s="18" t="n">
        <x:f>'两日价格与决策'!AC43</x:f>
        <x:v>0.25</x:v>
      </x:c>
      <x:c r="AD43" s="20" t="n">
        <x:f>'两日价格与决策'!AD43</x:f>
        <x:v>1</x:v>
      </x:c>
      <x:c r="AE43" s="20" t="n">
        <x:f>'两日价格与决策'!AE43</x:f>
        <x:v>0</x:v>
      </x:c>
      <x:c r="AF43" s="20" t="n">
        <x:f>'两日价格与决策'!AF43</x:f>
        <x:v>0</x:v>
      </x:c>
      <x:c r="AG43" s="18" t="n">
        <x:f>'两日价格与决策'!AG43</x:f>
        <x:v>200</x:v>
      </x:c>
      <x:c r="AH43" s="18" t="n">
        <x:f>'两日价格与决策'!AH43</x:f>
        <x:v>200</x:v>
      </x:c>
      <x:c r="AI43" s="18" t="n">
        <x:f>'两日价格与决策'!AI43</x:f>
        <x:v>0</x:v>
      </x:c>
      <x:c r="AJ43" s="18" t="n">
        <x:f>'两日价格与决策'!AJ43</x:f>
        <x:v>2.921</x:v>
      </x:c>
      <x:c r="AK43" s="18" t="str">
        <x:f>'两日价格与决策'!AK43</x:f>
        <x:v>缺失</x:v>
      </x:c>
      <x:c r="AL43" s="18" t="n">
        <x:f>'两日价格与决策'!AL43</x:f>
        <x:v>0</x:v>
      </x:c>
      <x:c r="AM43" s="18" t="n">
        <x:f>'两日价格与决策'!AM43</x:f>
        <x:v>0</x:v>
      </x:c>
      <x:c r="AN43" s="18" t="n">
        <x:f>'两日价格与决策'!AN43</x:f>
        <x:v>0</x:v>
      </x:c>
      <x:c r="AO43" s="18" t="n">
        <x:f>'两日价格与决策'!AO43</x:f>
        <x:v>10</x:v>
      </x:c>
      <x:c r="AP43" s="18" t="n">
        <x:f>'两日价格与决策'!AP43</x:f>
        <x:v>0</x:v>
      </x:c>
      <x:c r="AQ43" s="18" t="n">
        <x:f>'两日价格与决策'!AQ43</x:f>
        <x:v>4.9741</x:v>
      </x:c>
      <x:c r="AR43" s="21" t="n">
        <x:f>'两日价格与决策'!AR43</x:f>
        <x:v>45657</x:v>
      </x:c>
      <x:c r="AS43" s="17" t="n">
        <x:f>'两日价格与决策'!AS43</x:f>
        <x:v>45658.291666666664</x:v>
      </x:c>
      <x:c r="AT43" s="18" t="str">
        <x:f>'两日价格与决策'!AT43</x:f>
        <x:v>2025-01-01_9</x:v>
      </x:c>
      <x:c r="AU43" s="19" t="n">
        <x:f>'两日价格与决策'!AU43</x:f>
        <x:v>60</x:v>
      </x:c>
      <x:c r="AV43" s="18" t="str">
        <x:f>'两日价格与决策'!AV43</x:f>
        <x:v>OTHER_QH_IN_SAME_HOUR_INVALID</x:v>
      </x:c>
    </x:row>
    <x:row r="44" ht="21" customHeight="1">
      <x:c r="A44" s="17" t="n">
        <x:f>'两日价格与决策'!A44</x:f>
        <x:v>45658.385416666664</x:v>
      </x:c>
      <x:c r="B44" s="23" t="n">
        <x:f>'两日价格与决策'!B44</x:f>
        <x:v>29.22</x:v>
      </x:c>
      <x:c r="C44" s="23" t="str">
        <x:f>'两日价格与决策'!C44</x:f>
        <x:v>缺失</x:v>
      </x:c>
      <x:c r="D44" s="23" t="n">
        <x:f>'两日价格与决策'!D44</x:f>
        <x:v>13.831647936310086</x:v>
      </x:c>
      <x:c r="E44" s="23" t="n">
        <x:f>'两日价格与决策'!E44</x:f>
        <x:v>14.676021792887155</x:v>
      </x:c>
      <x:c r="F44" s="23" t="n">
        <x:f>'两日价格与决策'!F44</x:f>
        <x:v>0</x:v>
      </x:c>
      <x:c r="G44" s="23" t="n">
        <x:f>'两日价格与决策'!G44</x:f>
        <x:v>6.865563619549265</x:v>
      </x:c>
      <x:c r="H44" s="23" t="str">
        <x:f>'两日价格与决策'!H44</x:f>
        <x:v>未模拟</x:v>
      </x:c>
      <x:c r="I44" s="24" t="n">
        <x:f>'两日价格与决策'!I44</x:f>
        <x:v>10</x:v>
      </x:c>
      <x:c r="J44" s="24" t="n">
        <x:f>'两日价格与决策'!J44</x:f>
        <x:v>10</x:v>
      </x:c>
      <x:c r="K44" s="24" t="n">
        <x:f>'两日价格与决策'!K44</x:f>
        <x:v>0</x:v>
      </x:c>
      <x:c r="L44" s="24" t="n">
        <x:f>'两日价格与决策'!L44</x:f>
        <x:v>0</x:v>
      </x:c>
      <x:c r="M44" s="24" t="n">
        <x:f>'两日价格与决策'!M44</x:f>
        <x:v>0</x:v>
      </x:c>
      <x:c r="N44" s="24" t="n">
        <x:f>'两日价格与决策'!N44</x:f>
        <x:v>0</x:v>
      </x:c>
      <x:c r="O44" s="24" t="n">
        <x:f>'两日价格与决策'!O44</x:f>
        <x:v>0</x:v>
      </x:c>
      <x:c r="P44" s="24" t="n">
        <x:f>'两日价格与决策'!P44</x:f>
        <x:v>0</x:v>
      </x:c>
      <x:c r="Q44" s="25" t="n">
        <x:f>'两日价格与决策'!Q44</x:f>
        <x:v>0</x:v>
      </x:c>
      <x:c r="R44" s="25" t="n">
        <x:f>'两日价格与决策'!R44</x:f>
        <x:v>0</x:v>
      </x:c>
      <x:c r="S44" s="25" t="n">
        <x:f>'两日价格与决策'!S44</x:f>
        <x:v>0</x:v>
      </x:c>
      <x:c r="T44" s="25" t="n">
        <x:f>'两日价格与决策'!T44</x:f>
        <x:v>0</x:v>
      </x:c>
      <x:c r="U44" s="25" t="n">
        <x:f>'两日价格与决策'!U44</x:f>
        <x:v>0</x:v>
      </x:c>
      <x:c r="V44" s="25" t="n">
        <x:f>'两日价格与决策'!V44</x:f>
        <x:v>0</x:v>
      </x:c>
      <x:c r="W44" s="25" t="n">
        <x:f>'两日价格与决策'!W44</x:f>
        <x:v>0</x:v>
      </x:c>
      <x:c r="X44" s="18" t="n">
        <x:f>'两日价格与决策'!X44</x:f>
        <x:v>0</x:v>
      </x:c>
      <x:c r="Y44" s="18" t="n">
        <x:f>'两日价格与决策'!Y44</x:f>
        <x:v>0</x:v>
      </x:c>
      <x:c r="Z44" s="18" t="str">
        <x:f>'两日价格与决策'!Z44</x:f>
        <x:v>1月1日执行｜初始化零订单</x:v>
      </x:c>
      <x:c r="AA44" s="19" t="n">
        <x:f>'两日价格与决策'!AA44</x:f>
        <x:v>0</x:v>
      </x:c>
      <x:c r="AB44" s="19" t="n">
        <x:f>'两日价格与决策'!AB44</x:f>
        <x:v>0</x:v>
      </x:c>
      <x:c r="AC44" s="18" t="n">
        <x:f>'两日价格与决策'!AC44</x:f>
        <x:v>0.25</x:v>
      </x:c>
      <x:c r="AD44" s="20" t="n">
        <x:f>'两日价格与决策'!AD44</x:f>
        <x:v>1</x:v>
      </x:c>
      <x:c r="AE44" s="20" t="n">
        <x:f>'两日价格与决策'!AE44</x:f>
        <x:v>0</x:v>
      </x:c>
      <x:c r="AF44" s="20" t="n">
        <x:f>'两日价格与决策'!AF44</x:f>
        <x:v>0</x:v>
      </x:c>
      <x:c r="AG44" s="18" t="n">
        <x:f>'两日价格与决策'!AG44</x:f>
        <x:v>200</x:v>
      </x:c>
      <x:c r="AH44" s="18" t="n">
        <x:f>'两日价格与决策'!AH44</x:f>
        <x:v>200</x:v>
      </x:c>
      <x:c r="AI44" s="18" t="n">
        <x:f>'两日价格与决策'!AI44</x:f>
        <x:v>0</x:v>
      </x:c>
      <x:c r="AJ44" s="18" t="n">
        <x:f>'两日价格与决策'!AJ44</x:f>
        <x:v>16.352</x:v>
      </x:c>
      <x:c r="AK44" s="18" t="str">
        <x:f>'两日价格与决策'!AK44</x:f>
        <x:v>缺失</x:v>
      </x:c>
      <x:c r="AL44" s="18" t="n">
        <x:f>'两日价格与决策'!AL44</x:f>
        <x:v>0</x:v>
      </x:c>
      <x:c r="AM44" s="18" t="n">
        <x:f>'两日价格与决策'!AM44</x:f>
        <x:v>0</x:v>
      </x:c>
      <x:c r="AN44" s="18" t="n">
        <x:f>'两日价格与决策'!AN44</x:f>
        <x:v>0</x:v>
      </x:c>
      <x:c r="AO44" s="18" t="n">
        <x:f>'两日价格与决策'!AO44</x:f>
        <x:v>10</x:v>
      </x:c>
      <x:c r="AP44" s="18" t="n">
        <x:f>'两日价格与决策'!AP44</x:f>
        <x:v>0</x:v>
      </x:c>
      <x:c r="AQ44" s="18" t="n">
        <x:f>'两日价格与决策'!AQ44</x:f>
        <x:v>4.9741</x:v>
      </x:c>
      <x:c r="AR44" s="21" t="n">
        <x:f>'两日价格与决策'!AR44</x:f>
        <x:v>45657</x:v>
      </x:c>
      <x:c r="AS44" s="17" t="n">
        <x:f>'两日价格与决策'!AS44</x:f>
        <x:v>45658.302083333336</x:v>
      </x:c>
      <x:c r="AT44" s="18" t="str">
        <x:f>'两日价格与决策'!AT44</x:f>
        <x:v>2025-01-01_9</x:v>
      </x:c>
      <x:c r="AU44" s="19" t="n">
        <x:f>'两日价格与决策'!AU44</x:f>
        <x:v>60</x:v>
      </x:c>
      <x:c r="AV44" s="18" t="str">
        <x:f>'两日价格与决策'!AV44</x:f>
        <x:v>OTHER_QH_IN_SAME_HOUR_INVALID</x:v>
      </x:c>
    </x:row>
    <x:row r="45" ht="21" customHeight="1">
      <x:c r="A45" s="17" t="n">
        <x:f>'两日价格与决策'!A45</x:f>
        <x:v>45658.395833333336</x:v>
      </x:c>
      <x:c r="B45" s="23" t="n">
        <x:f>'两日价格与决策'!B45</x:f>
        <x:v>29.22</x:v>
      </x:c>
      <x:c r="C45" s="23" t="str">
        <x:f>'两日价格与决策'!C45</x:f>
        <x:v>缺失</x:v>
      </x:c>
      <x:c r="D45" s="23" t="n">
        <x:f>'两日价格与决策'!D45</x:f>
        <x:v>13.831647936310086</x:v>
      </x:c>
      <x:c r="E45" s="23" t="n">
        <x:f>'两日价格与决策'!E45</x:f>
        <x:v>14.676021792887155</x:v>
      </x:c>
      <x:c r="F45" s="23" t="n">
        <x:f>'两日价格与决策'!F45</x:f>
        <x:v>0</x:v>
      </x:c>
      <x:c r="G45" s="23" t="n">
        <x:f>'两日价格与决策'!G45</x:f>
        <x:v>-459.588066182827</x:v>
      </x:c>
      <x:c r="H45" s="23" t="str">
        <x:f>'两日价格与决策'!H45</x:f>
        <x:v>未模拟</x:v>
      </x:c>
      <x:c r="I45" s="24" t="n">
        <x:f>'两日价格与决策'!I45</x:f>
        <x:v>10</x:v>
      </x:c>
      <x:c r="J45" s="24" t="n">
        <x:f>'两日价格与决策'!J45</x:f>
        <x:v>10</x:v>
      </x:c>
      <x:c r="K45" s="24" t="n">
        <x:f>'两日价格与决策'!K45</x:f>
        <x:v>0</x:v>
      </x:c>
      <x:c r="L45" s="24" t="n">
        <x:f>'两日价格与决策'!L45</x:f>
        <x:v>0</x:v>
      </x:c>
      <x:c r="M45" s="24" t="n">
        <x:f>'两日价格与决策'!M45</x:f>
        <x:v>0</x:v>
      </x:c>
      <x:c r="N45" s="24" t="n">
        <x:f>'两日价格与决策'!N45</x:f>
        <x:v>0</x:v>
      </x:c>
      <x:c r="O45" s="24" t="n">
        <x:f>'两日价格与决策'!O45</x:f>
        <x:v>0</x:v>
      </x:c>
      <x:c r="P45" s="24" t="n">
        <x:f>'两日价格与决策'!P45</x:f>
        <x:v>0</x:v>
      </x:c>
      <x:c r="Q45" s="25" t="n">
        <x:f>'两日价格与决策'!Q45</x:f>
        <x:v>0</x:v>
      </x:c>
      <x:c r="R45" s="25" t="n">
        <x:f>'两日价格与决策'!R45</x:f>
        <x:v>0</x:v>
      </x:c>
      <x:c r="S45" s="25" t="n">
        <x:f>'两日价格与决策'!S45</x:f>
        <x:v>0</x:v>
      </x:c>
      <x:c r="T45" s="25" t="n">
        <x:f>'两日价格与决策'!T45</x:f>
        <x:v>0</x:v>
      </x:c>
      <x:c r="U45" s="25" t="n">
        <x:f>'两日价格与决策'!U45</x:f>
        <x:v>0</x:v>
      </x:c>
      <x:c r="V45" s="25" t="n">
        <x:f>'两日价格与决策'!V45</x:f>
        <x:v>0</x:v>
      </x:c>
      <x:c r="W45" s="25" t="n">
        <x:f>'两日价格与决策'!W45</x:f>
        <x:v>0</x:v>
      </x:c>
      <x:c r="X45" s="18" t="n">
        <x:f>'两日价格与决策'!X45</x:f>
        <x:v>0</x:v>
      </x:c>
      <x:c r="Y45" s="18" t="n">
        <x:f>'两日价格与决策'!Y45</x:f>
        <x:v>0</x:v>
      </x:c>
      <x:c r="Z45" s="18" t="str">
        <x:f>'两日价格与决策'!Z45</x:f>
        <x:v>1月1日执行｜初始化零订单</x:v>
      </x:c>
      <x:c r="AA45" s="19" t="n">
        <x:f>'两日价格与决策'!AA45</x:f>
        <x:v>0</x:v>
      </x:c>
      <x:c r="AB45" s="19" t="n">
        <x:f>'两日价格与决策'!AB45</x:f>
        <x:v>0</x:v>
      </x:c>
      <x:c r="AC45" s="18" t="n">
        <x:f>'两日价格与决策'!AC45</x:f>
        <x:v>0.25</x:v>
      </x:c>
      <x:c r="AD45" s="20" t="n">
        <x:f>'两日价格与决策'!AD45</x:f>
        <x:v>1</x:v>
      </x:c>
      <x:c r="AE45" s="20" t="n">
        <x:f>'两日价格与决策'!AE45</x:f>
        <x:v>0</x:v>
      </x:c>
      <x:c r="AF45" s="20" t="n">
        <x:f>'两日价格与决策'!AF45</x:f>
        <x:v>0</x:v>
      </x:c>
      <x:c r="AG45" s="18" t="n">
        <x:f>'两日价格与决策'!AG45</x:f>
        <x:v>200</x:v>
      </x:c>
      <x:c r="AH45" s="18" t="n">
        <x:f>'两日价格与决策'!AH45</x:f>
        <x:v>200</x:v>
      </x:c>
      <x:c r="AI45" s="18" t="n">
        <x:f>'两日价格与决策'!AI45</x:f>
        <x:v>0</x:v>
      </x:c>
      <x:c r="AJ45" s="18" t="n">
        <x:f>'两日价格与决策'!AJ45</x:f>
        <x:v>38.258</x:v>
      </x:c>
      <x:c r="AK45" s="18" t="str">
        <x:f>'两日价格与决策'!AK45</x:f>
        <x:v>缺失</x:v>
      </x:c>
      <x:c r="AL45" s="18" t="n">
        <x:f>'两日价格与决策'!AL45</x:f>
        <x:v>0</x:v>
      </x:c>
      <x:c r="AM45" s="18" t="n">
        <x:f>'两日价格与决策'!AM45</x:f>
        <x:v>0</x:v>
      </x:c>
      <x:c r="AN45" s="18" t="n">
        <x:f>'两日价格与决策'!AN45</x:f>
        <x:v>0</x:v>
      </x:c>
      <x:c r="AO45" s="18" t="n">
        <x:f>'两日价格与决策'!AO45</x:f>
        <x:v>10</x:v>
      </x:c>
      <x:c r="AP45" s="18" t="n">
        <x:f>'两日价格与决策'!AP45</x:f>
        <x:v>0</x:v>
      </x:c>
      <x:c r="AQ45" s="18" t="n">
        <x:f>'两日价格与决策'!AQ45</x:f>
        <x:v>4.9741</x:v>
      </x:c>
      <x:c r="AR45" s="21" t="n">
        <x:f>'两日价格与决策'!AR45</x:f>
        <x:v>45657</x:v>
      </x:c>
      <x:c r="AS45" s="17" t="n">
        <x:f>'两日价格与决策'!AS45</x:f>
        <x:v>45658.3125</x:v>
      </x:c>
      <x:c r="AT45" s="18" t="str">
        <x:f>'两日价格与决策'!AT45</x:f>
        <x:v>2025-01-01_9</x:v>
      </x:c>
      <x:c r="AU45" s="19" t="n">
        <x:f>'两日价格与决策'!AU45</x:f>
        <x:v>60</x:v>
      </x:c>
      <x:c r="AV45" s="18" t="str">
        <x:f>'两日价格与决策'!AV45</x:f>
        <x:v>OTHER_QH_IN_SAME_HOUR_INVALID</x:v>
      </x:c>
    </x:row>
    <x:row r="46" ht="21" customHeight="1">
      <x:c r="A46" s="17" t="n">
        <x:f>'两日价格与决策'!A46</x:f>
        <x:v>45658.40625</x:v>
      </x:c>
      <x:c r="B46" s="23" t="n">
        <x:f>'两日价格与决策'!B46</x:f>
        <x:v>29.22</x:v>
      </x:c>
      <x:c r="C46" s="23" t="str">
        <x:f>'两日价格与决策'!C46</x:f>
        <x:v>缺失</x:v>
      </x:c>
      <x:c r="D46" s="23" t="n">
        <x:f>'两日价格与决策'!D46</x:f>
        <x:v>13.831647936310086</x:v>
      </x:c>
      <x:c r="E46" s="23" t="n">
        <x:f>'两日价格与决策'!E46</x:f>
        <x:v>14.676021792887155</x:v>
      </x:c>
      <x:c r="F46" s="23" t="n">
        <x:f>'两日价格与决策'!F46</x:f>
        <x:v>0</x:v>
      </x:c>
      <x:c r="G46" s="23" t="n">
        <x:f>'两日价格与决策'!G46</x:f>
        <x:v>-1005.4080135099817</x:v>
      </x:c>
      <x:c r="H46" s="23" t="str">
        <x:f>'两日价格与决策'!H46</x:f>
        <x:v>未模拟</x:v>
      </x:c>
      <x:c r="I46" s="24" t="n">
        <x:f>'两日价格与决策'!I46</x:f>
        <x:v>10</x:v>
      </x:c>
      <x:c r="J46" s="24" t="n">
        <x:f>'两日价格与决策'!J46</x:f>
        <x:v>10</x:v>
      </x:c>
      <x:c r="K46" s="24" t="n">
        <x:f>'两日价格与决策'!K46</x:f>
        <x:v>0</x:v>
      </x:c>
      <x:c r="L46" s="24" t="n">
        <x:f>'两日价格与决策'!L46</x:f>
        <x:v>0</x:v>
      </x:c>
      <x:c r="M46" s="24" t="n">
        <x:f>'两日价格与决策'!M46</x:f>
        <x:v>0</x:v>
      </x:c>
      <x:c r="N46" s="24" t="n">
        <x:f>'两日价格与决策'!N46</x:f>
        <x:v>0</x:v>
      </x:c>
      <x:c r="O46" s="24" t="n">
        <x:f>'两日价格与决策'!O46</x:f>
        <x:v>0</x:v>
      </x:c>
      <x:c r="P46" s="24" t="n">
        <x:f>'两日价格与决策'!P46</x:f>
        <x:v>0</x:v>
      </x:c>
      <x:c r="Q46" s="25" t="n">
        <x:f>'两日价格与决策'!Q46</x:f>
        <x:v>0</x:v>
      </x:c>
      <x:c r="R46" s="25" t="n">
        <x:f>'两日价格与决策'!R46</x:f>
        <x:v>0</x:v>
      </x:c>
      <x:c r="S46" s="25" t="n">
        <x:f>'两日价格与决策'!S46</x:f>
        <x:v>0</x:v>
      </x:c>
      <x:c r="T46" s="25" t="n">
        <x:f>'两日价格与决策'!T46</x:f>
        <x:v>0</x:v>
      </x:c>
      <x:c r="U46" s="25" t="n">
        <x:f>'两日价格与决策'!U46</x:f>
        <x:v>0</x:v>
      </x:c>
      <x:c r="V46" s="25" t="n">
        <x:f>'两日价格与决策'!V46</x:f>
        <x:v>0</x:v>
      </x:c>
      <x:c r="W46" s="25" t="n">
        <x:f>'两日价格与决策'!W46</x:f>
        <x:v>0</x:v>
      </x:c>
      <x:c r="X46" s="18" t="n">
        <x:f>'两日价格与决策'!X46</x:f>
        <x:v>0</x:v>
      </x:c>
      <x:c r="Y46" s="18" t="n">
        <x:f>'两日价格与决策'!Y46</x:f>
        <x:v>0</x:v>
      </x:c>
      <x:c r="Z46" s="18" t="str">
        <x:f>'两日价格与决策'!Z46</x:f>
        <x:v>1月1日执行｜初始化零订单</x:v>
      </x:c>
      <x:c r="AA46" s="19" t="n">
        <x:f>'两日价格与决策'!AA46</x:f>
        <x:v>0</x:v>
      </x:c>
      <x:c r="AB46" s="19" t="n">
        <x:f>'两日价格与决策'!AB46</x:f>
        <x:v>0</x:v>
      </x:c>
      <x:c r="AC46" s="18" t="n">
        <x:f>'两日价格与决策'!AC46</x:f>
        <x:v>0.25</x:v>
      </x:c>
      <x:c r="AD46" s="20" t="n">
        <x:f>'两日价格与决策'!AD46</x:f>
        <x:v>1</x:v>
      </x:c>
      <x:c r="AE46" s="20" t="n">
        <x:f>'两日价格与决策'!AE46</x:f>
        <x:v>0</x:v>
      </x:c>
      <x:c r="AF46" s="20" t="n">
        <x:f>'两日价格与决策'!AF46</x:f>
        <x:v>0</x:v>
      </x:c>
      <x:c r="AG46" s="18" t="n">
        <x:f>'两日价格与决策'!AG46</x:f>
        <x:v>200</x:v>
      </x:c>
      <x:c r="AH46" s="18" t="n">
        <x:f>'两日价格与决策'!AH46</x:f>
        <x:v>200</x:v>
      </x:c>
      <x:c r="AI46" s="18" t="n">
        <x:f>'两日价格与决策'!AI46</x:f>
        <x:v>0</x:v>
      </x:c>
      <x:c r="AJ46" s="18" t="n">
        <x:f>'两日价格与决策'!AJ46</x:f>
        <x:v>51.525</x:v>
      </x:c>
      <x:c r="AK46" s="18" t="str">
        <x:f>'两日价格与决策'!AK46</x:f>
        <x:v>缺失</x:v>
      </x:c>
      <x:c r="AL46" s="18" t="n">
        <x:f>'两日价格与决策'!AL46</x:f>
        <x:v>0</x:v>
      </x:c>
      <x:c r="AM46" s="18" t="n">
        <x:f>'两日价格与决策'!AM46</x:f>
        <x:v>0</x:v>
      </x:c>
      <x:c r="AN46" s="18" t="n">
        <x:f>'两日价格与决策'!AN46</x:f>
        <x:v>0</x:v>
      </x:c>
      <x:c r="AO46" s="18" t="n">
        <x:f>'两日价格与决策'!AO46</x:f>
        <x:v>10</x:v>
      </x:c>
      <x:c r="AP46" s="18" t="n">
        <x:f>'两日价格与决策'!AP46</x:f>
        <x:v>0</x:v>
      </x:c>
      <x:c r="AQ46" s="18" t="n">
        <x:f>'两日价格与决策'!AQ46</x:f>
        <x:v>4.9741</x:v>
      </x:c>
      <x:c r="AR46" s="21" t="n">
        <x:f>'两日价格与决策'!AR46</x:f>
        <x:v>45657</x:v>
      </x:c>
      <x:c r="AS46" s="17" t="n">
        <x:f>'两日价格与决策'!AS46</x:f>
        <x:v>45658.322916666664</x:v>
      </x:c>
      <x:c r="AT46" s="18" t="str">
        <x:f>'两日价格与决策'!AT46</x:f>
        <x:v>2025-01-01_9</x:v>
      </x:c>
      <x:c r="AU46" s="19" t="n">
        <x:f>'两日价格与决策'!AU46</x:f>
        <x:v>60</x:v>
      </x:c>
      <x:c r="AV46" s="18" t="str">
        <x:f>'两日价格与决策'!AV46</x:f>
        <x:v>ALPHA_OUTSIDE_SIMPLEX</x:v>
      </x:c>
    </x:row>
    <x:row r="47" ht="21" customHeight="1">
      <x:c r="A47" s="17" t="n">
        <x:f>'两日价格与决策'!A47</x:f>
        <x:v>45658.416666666664</x:v>
      </x:c>
      <x:c r="B47" s="23" t="n">
        <x:f>'两日价格与决策'!B47</x:f>
        <x:v>41.43</x:v>
      </x:c>
      <x:c r="C47" s="23" t="str">
        <x:f>'两日价格与决策'!C47</x:f>
        <x:v>缺失</x:v>
      </x:c>
      <x:c r="D47" s="23" t="n">
        <x:f>'两日价格与决策'!D47</x:f>
        <x:v>13.831647936310086</x:v>
      </x:c>
      <x:c r="E47" s="23" t="n">
        <x:f>'两日价格与决策'!E47</x:f>
        <x:v>14.710198829939085</x:v>
      </x:c>
      <x:c r="F47" s="23" t="n">
        <x:f>'两日价格与决策'!F47</x:f>
        <x:v>0</x:v>
      </x:c>
      <x:c r="G47" s="23" t="n">
        <x:f>'两日价格与决策'!G47</x:f>
        <x:v>-118.41639693612915</x:v>
      </x:c>
      <x:c r="H47" s="23" t="str">
        <x:f>'两日价格与决策'!H47</x:f>
        <x:v>未模拟</x:v>
      </x:c>
      <x:c r="I47" s="24" t="n">
        <x:f>'两日价格与决策'!I47</x:f>
        <x:v>10</x:v>
      </x:c>
      <x:c r="J47" s="24" t="n">
        <x:f>'两日价格与决策'!J47</x:f>
        <x:v>10</x:v>
      </x:c>
      <x:c r="K47" s="24" t="n">
        <x:f>'两日价格与决策'!K47</x:f>
        <x:v>0</x:v>
      </x:c>
      <x:c r="L47" s="24" t="n">
        <x:f>'两日价格与决策'!L47</x:f>
        <x:v>0</x:v>
      </x:c>
      <x:c r="M47" s="24" t="n">
        <x:f>'两日价格与决策'!M47</x:f>
        <x:v>0</x:v>
      </x:c>
      <x:c r="N47" s="24" t="n">
        <x:f>'两日价格与决策'!N47</x:f>
        <x:v>0</x:v>
      </x:c>
      <x:c r="O47" s="24" t="n">
        <x:f>'两日价格与决策'!O47</x:f>
        <x:v>0</x:v>
      </x:c>
      <x:c r="P47" s="24" t="n">
        <x:f>'两日价格与决策'!P47</x:f>
        <x:v>0</x:v>
      </x:c>
      <x:c r="Q47" s="25" t="n">
        <x:f>'两日价格与决策'!Q47</x:f>
        <x:v>0</x:v>
      </x:c>
      <x:c r="R47" s="25" t="n">
        <x:f>'两日价格与决策'!R47</x:f>
        <x:v>0</x:v>
      </x:c>
      <x:c r="S47" s="25" t="n">
        <x:f>'两日价格与决策'!S47</x:f>
        <x:v>0</x:v>
      </x:c>
      <x:c r="T47" s="25" t="n">
        <x:f>'两日价格与决策'!T47</x:f>
        <x:v>0</x:v>
      </x:c>
      <x:c r="U47" s="25" t="n">
        <x:f>'两日价格与决策'!U47</x:f>
        <x:v>0</x:v>
      </x:c>
      <x:c r="V47" s="25" t="n">
        <x:f>'两日价格与决策'!V47</x:f>
        <x:v>0</x:v>
      </x:c>
      <x:c r="W47" s="25" t="n">
        <x:f>'两日价格与决策'!W47</x:f>
        <x:v>0</x:v>
      </x:c>
      <x:c r="X47" s="18" t="n">
        <x:f>'两日价格与决策'!X47</x:f>
        <x:v>0</x:v>
      </x:c>
      <x:c r="Y47" s="18" t="n">
        <x:f>'两日价格与决策'!Y47</x:f>
        <x:v>0</x:v>
      </x:c>
      <x:c r="Z47" s="18" t="str">
        <x:f>'两日价格与决策'!Z47</x:f>
        <x:v>1月1日执行｜初始化零订单</x:v>
      </x:c>
      <x:c r="AA47" s="19" t="n">
        <x:f>'两日价格与决策'!AA47</x:f>
        <x:v>1</x:v>
      </x:c>
      <x:c r="AB47" s="19" t="n">
        <x:f>'两日价格与决策'!AB47</x:f>
        <x:v>0</x:v>
      </x:c>
      <x:c r="AC47" s="18" t="n">
        <x:f>'两日价格与决策'!AC47</x:f>
        <x:v>0.25</x:v>
      </x:c>
      <x:c r="AD47" s="20" t="n">
        <x:f>'两日价格与决策'!AD47</x:f>
        <x:v>1</x:v>
      </x:c>
      <x:c r="AE47" s="20" t="n">
        <x:f>'两日价格与决策'!AE47</x:f>
        <x:v>0</x:v>
      </x:c>
      <x:c r="AF47" s="20" t="n">
        <x:f>'两日价格与决策'!AF47</x:f>
        <x:v>0.57706</x:v>
      </x:c>
      <x:c r="AG47" s="18" t="n">
        <x:f>'两日价格与决策'!AG47</x:f>
        <x:v>200</x:v>
      </x:c>
      <x:c r="AH47" s="18" t="n">
        <x:f>'两日价格与决策'!AH47</x:f>
        <x:v>200</x:v>
      </x:c>
      <x:c r="AI47" s="18" t="n">
        <x:f>'两日价格与决策'!AI47</x:f>
        <x:v>0</x:v>
      </x:c>
      <x:c r="AJ47" s="18" t="n">
        <x:f>'两日价格与决策'!AJ47</x:f>
        <x:v>28.853</x:v>
      </x:c>
      <x:c r="AK47" s="18" t="str">
        <x:f>'两日价格与决策'!AK47</x:f>
        <x:v>缺失</x:v>
      </x:c>
      <x:c r="AL47" s="18" t="n">
        <x:f>'两日价格与决策'!AL47</x:f>
        <x:v>0</x:v>
      </x:c>
      <x:c r="AM47" s="18" t="n">
        <x:f>'两日价格与决策'!AM47</x:f>
        <x:v>0</x:v>
      </x:c>
      <x:c r="AN47" s="18" t="n">
        <x:f>'两日价格与决策'!AN47</x:f>
        <x:v>0</x:v>
      </x:c>
      <x:c r="AO47" s="18" t="n">
        <x:f>'两日价格与决策'!AO47</x:f>
        <x:v>10</x:v>
      </x:c>
      <x:c r="AP47" s="18" t="n">
        <x:f>'两日价格与决策'!AP47</x:f>
        <x:v>0</x:v>
      </x:c>
      <x:c r="AQ47" s="18" t="n">
        <x:f>'两日价格与决策'!AQ47</x:f>
        <x:v>4.9741</x:v>
      </x:c>
      <x:c r="AR47" s="21" t="n">
        <x:f>'两日价格与决策'!AR47</x:f>
        <x:v>45657</x:v>
      </x:c>
      <x:c r="AS47" s="17" t="n">
        <x:f>'两日价格与决策'!AS47</x:f>
        <x:v>45658.333333333336</x:v>
      </x:c>
      <x:c r="AT47" s="18" t="str">
        <x:f>'两日价格与决策'!AT47</x:f>
        <x:v>2025-01-01_10</x:v>
      </x:c>
      <x:c r="AU47" s="19" t="n">
        <x:f>'两日价格与决策'!AU47</x:f>
        <x:v>60</x:v>
      </x:c>
      <x:c r="AV47" s="18" t="str">
        <x:f>'两日价格与决策'!AV47</x:f>
        <x:v>OK</x:v>
      </x:c>
    </x:row>
    <x:row r="48" ht="21" customHeight="1">
      <x:c r="A48" s="17" t="n">
        <x:f>'两日价格与决策'!A48</x:f>
        <x:v>45658.427083333336</x:v>
      </x:c>
      <x:c r="B48" s="23" t="n">
        <x:f>'两日价格与决策'!B48</x:f>
        <x:v>41.43</x:v>
      </x:c>
      <x:c r="C48" s="23" t="str">
        <x:f>'两日价格与决策'!C48</x:f>
        <x:v>缺失</x:v>
      </x:c>
      <x:c r="D48" s="23" t="n">
        <x:f>'两日价格与决策'!D48</x:f>
        <x:v>13.831647936310086</x:v>
      </x:c>
      <x:c r="E48" s="23" t="n">
        <x:f>'两日价格与决策'!E48</x:f>
        <x:v>14.710198829939085</x:v>
      </x:c>
      <x:c r="F48" s="23" t="n">
        <x:f>'两日价格与决策'!F48</x:f>
        <x:v>0</x:v>
      </x:c>
      <x:c r="G48" s="23" t="n">
        <x:f>'两日价格与决策'!G48</x:f>
        <x:v>-161.84556000080414</x:v>
      </x:c>
      <x:c r="H48" s="23" t="str">
        <x:f>'两日价格与决策'!H48</x:f>
        <x:v>未模拟</x:v>
      </x:c>
      <x:c r="I48" s="24" t="n">
        <x:f>'两日价格与决策'!I48</x:f>
        <x:v>10</x:v>
      </x:c>
      <x:c r="J48" s="24" t="n">
        <x:f>'两日价格与决策'!J48</x:f>
        <x:v>10</x:v>
      </x:c>
      <x:c r="K48" s="24" t="n">
        <x:f>'两日价格与决策'!K48</x:f>
        <x:v>0</x:v>
      </x:c>
      <x:c r="L48" s="24" t="n">
        <x:f>'两日价格与决策'!L48</x:f>
        <x:v>0</x:v>
      </x:c>
      <x:c r="M48" s="24" t="n">
        <x:f>'两日价格与决策'!M48</x:f>
        <x:v>0</x:v>
      </x:c>
      <x:c r="N48" s="24" t="n">
        <x:f>'两日价格与决策'!N48</x:f>
        <x:v>0</x:v>
      </x:c>
      <x:c r="O48" s="24" t="n">
        <x:f>'两日价格与决策'!O48</x:f>
        <x:v>0</x:v>
      </x:c>
      <x:c r="P48" s="24" t="n">
        <x:f>'两日价格与决策'!P48</x:f>
        <x:v>0</x:v>
      </x:c>
      <x:c r="Q48" s="25" t="n">
        <x:f>'两日价格与决策'!Q48</x:f>
        <x:v>0</x:v>
      </x:c>
      <x:c r="R48" s="25" t="n">
        <x:f>'两日价格与决策'!R48</x:f>
        <x:v>0</x:v>
      </x:c>
      <x:c r="S48" s="25" t="n">
        <x:f>'两日价格与决策'!S48</x:f>
        <x:v>0</x:v>
      </x:c>
      <x:c r="T48" s="25" t="n">
        <x:f>'两日价格与决策'!T48</x:f>
        <x:v>0</x:v>
      </x:c>
      <x:c r="U48" s="25" t="n">
        <x:f>'两日价格与决策'!U48</x:f>
        <x:v>0</x:v>
      </x:c>
      <x:c r="V48" s="25" t="n">
        <x:f>'两日价格与决策'!V48</x:f>
        <x:v>0</x:v>
      </x:c>
      <x:c r="W48" s="25" t="n">
        <x:f>'两日价格与决策'!W48</x:f>
        <x:v>0</x:v>
      </x:c>
      <x:c r="X48" s="18" t="n">
        <x:f>'两日价格与决策'!X48</x:f>
        <x:v>0</x:v>
      </x:c>
      <x:c r="Y48" s="18" t="n">
        <x:f>'两日价格与决策'!Y48</x:f>
        <x:v>0</x:v>
      </x:c>
      <x:c r="Z48" s="18" t="str">
        <x:f>'两日价格与决策'!Z48</x:f>
        <x:v>1月1日执行｜初始化零订单</x:v>
      </x:c>
      <x:c r="AA48" s="19" t="n">
        <x:f>'两日价格与决策'!AA48</x:f>
        <x:v>1</x:v>
      </x:c>
      <x:c r="AB48" s="19" t="n">
        <x:f>'两日价格与决策'!AB48</x:f>
        <x:v>0</x:v>
      </x:c>
      <x:c r="AC48" s="18" t="n">
        <x:f>'两日价格与决策'!AC48</x:f>
        <x:v>0.25</x:v>
      </x:c>
      <x:c r="AD48" s="20" t="n">
        <x:f>'两日价格与决策'!AD48</x:f>
        <x:v>1</x:v>
      </x:c>
      <x:c r="AE48" s="20" t="n">
        <x:f>'两日价格与决策'!AE48</x:f>
        <x:v>0</x:v>
      </x:c>
      <x:c r="AF48" s="20" t="n">
        <x:f>'两日价格与决策'!AF48</x:f>
        <x:v>0.58506</x:v>
      </x:c>
      <x:c r="AG48" s="18" t="n">
        <x:f>'两日价格与决策'!AG48</x:f>
        <x:v>200</x:v>
      </x:c>
      <x:c r="AH48" s="18" t="n">
        <x:f>'两日价格与决策'!AH48</x:f>
        <x:v>200</x:v>
      </x:c>
      <x:c r="AI48" s="18" t="n">
        <x:f>'两日价格与决策'!AI48</x:f>
        <x:v>0</x:v>
      </x:c>
      <x:c r="AJ48" s="18" t="n">
        <x:f>'两日价格与决策'!AJ48</x:f>
        <x:v>29.253</x:v>
      </x:c>
      <x:c r="AK48" s="18" t="str">
        <x:f>'两日价格与决策'!AK48</x:f>
        <x:v>缺失</x:v>
      </x:c>
      <x:c r="AL48" s="18" t="n">
        <x:f>'两日价格与决策'!AL48</x:f>
        <x:v>0</x:v>
      </x:c>
      <x:c r="AM48" s="18" t="n">
        <x:f>'两日价格与决策'!AM48</x:f>
        <x:v>0</x:v>
      </x:c>
      <x:c r="AN48" s="18" t="n">
        <x:f>'两日价格与决策'!AN48</x:f>
        <x:v>0</x:v>
      </x:c>
      <x:c r="AO48" s="18" t="n">
        <x:f>'两日价格与决策'!AO48</x:f>
        <x:v>10</x:v>
      </x:c>
      <x:c r="AP48" s="18" t="n">
        <x:f>'两日价格与决策'!AP48</x:f>
        <x:v>0</x:v>
      </x:c>
      <x:c r="AQ48" s="18" t="n">
        <x:f>'两日价格与决策'!AQ48</x:f>
        <x:v>4.9741</x:v>
      </x:c>
      <x:c r="AR48" s="21" t="n">
        <x:f>'两日价格与决策'!AR48</x:f>
        <x:v>45657</x:v>
      </x:c>
      <x:c r="AS48" s="17" t="n">
        <x:f>'两日价格与决策'!AS48</x:f>
        <x:v>45658.34375</x:v>
      </x:c>
      <x:c r="AT48" s="18" t="str">
        <x:f>'两日价格与决策'!AT48</x:f>
        <x:v>2025-01-01_10</x:v>
      </x:c>
      <x:c r="AU48" s="19" t="n">
        <x:f>'两日价格与决策'!AU48</x:f>
        <x:v>60</x:v>
      </x:c>
      <x:c r="AV48" s="18" t="str">
        <x:f>'两日价格与决策'!AV48</x:f>
        <x:v>OK</x:v>
      </x:c>
    </x:row>
    <x:row r="49" ht="21" customHeight="1">
      <x:c r="A49" s="17" t="n">
        <x:f>'两日价格与决策'!A49</x:f>
        <x:v>45658.4375</x:v>
      </x:c>
      <x:c r="B49" s="23" t="n">
        <x:f>'两日价格与决策'!B49</x:f>
        <x:v>41.43</x:v>
      </x:c>
      <x:c r="C49" s="23" t="str">
        <x:f>'两日价格与决策'!C49</x:f>
        <x:v>缺失</x:v>
      </x:c>
      <x:c r="D49" s="23" t="n">
        <x:f>'两日价格与决策'!D49</x:f>
        <x:v>13.831647936310086</x:v>
      </x:c>
      <x:c r="E49" s="23" t="n">
        <x:f>'两日价格与决策'!E49</x:f>
        <x:v>14.710198829939085</x:v>
      </x:c>
      <x:c r="F49" s="23" t="n">
        <x:f>'两日价格与决策'!F49</x:f>
        <x:v>0</x:v>
      </x:c>
      <x:c r="G49" s="23" t="n">
        <x:f>'两日价格与决策'!G49</x:f>
        <x:v>-55.336442773567086</x:v>
      </x:c>
      <x:c r="H49" s="23" t="str">
        <x:f>'两日价格与决策'!H49</x:f>
        <x:v>未模拟</x:v>
      </x:c>
      <x:c r="I49" s="24" t="n">
        <x:f>'两日价格与决策'!I49</x:f>
        <x:v>10</x:v>
      </x:c>
      <x:c r="J49" s="24" t="n">
        <x:f>'两日价格与决策'!J49</x:f>
        <x:v>10</x:v>
      </x:c>
      <x:c r="K49" s="24" t="n">
        <x:f>'两日价格与决策'!K49</x:f>
        <x:v>0</x:v>
      </x:c>
      <x:c r="L49" s="24" t="n">
        <x:f>'两日价格与决策'!L49</x:f>
        <x:v>0</x:v>
      </x:c>
      <x:c r="M49" s="24" t="n">
        <x:f>'两日价格与决策'!M49</x:f>
        <x:v>0</x:v>
      </x:c>
      <x:c r="N49" s="24" t="n">
        <x:f>'两日价格与决策'!N49</x:f>
        <x:v>0</x:v>
      </x:c>
      <x:c r="O49" s="24" t="n">
        <x:f>'两日价格与决策'!O49</x:f>
        <x:v>0</x:v>
      </x:c>
      <x:c r="P49" s="24" t="n">
        <x:f>'两日价格与决策'!P49</x:f>
        <x:v>0</x:v>
      </x:c>
      <x:c r="Q49" s="25" t="n">
        <x:f>'两日价格与决策'!Q49</x:f>
        <x:v>0</x:v>
      </x:c>
      <x:c r="R49" s="25" t="n">
        <x:f>'两日价格与决策'!R49</x:f>
        <x:v>0</x:v>
      </x:c>
      <x:c r="S49" s="25" t="n">
        <x:f>'两日价格与决策'!S49</x:f>
        <x:v>0</x:v>
      </x:c>
      <x:c r="T49" s="25" t="n">
        <x:f>'两日价格与决策'!T49</x:f>
        <x:v>0</x:v>
      </x:c>
      <x:c r="U49" s="25" t="n">
        <x:f>'两日价格与决策'!U49</x:f>
        <x:v>0</x:v>
      </x:c>
      <x:c r="V49" s="25" t="n">
        <x:f>'两日价格与决策'!V49</x:f>
        <x:v>0</x:v>
      </x:c>
      <x:c r="W49" s="25" t="n">
        <x:f>'两日价格与决策'!W49</x:f>
        <x:v>0</x:v>
      </x:c>
      <x:c r="X49" s="18" t="n">
        <x:f>'两日价格与决策'!X49</x:f>
        <x:v>0</x:v>
      </x:c>
      <x:c r="Y49" s="18" t="n">
        <x:f>'两日价格与决策'!Y49</x:f>
        <x:v>0</x:v>
      </x:c>
      <x:c r="Z49" s="18" t="str">
        <x:f>'两日价格与决策'!Z49</x:f>
        <x:v>1月1日执行｜初始化零订单</x:v>
      </x:c>
      <x:c r="AA49" s="19" t="n">
        <x:f>'两日价格与决策'!AA49</x:f>
        <x:v>1</x:v>
      </x:c>
      <x:c r="AB49" s="19" t="n">
        <x:f>'两日价格与决策'!AB49</x:f>
        <x:v>0</x:v>
      </x:c>
      <x:c r="AC49" s="18" t="n">
        <x:f>'两日价格与决策'!AC49</x:f>
        <x:v>0.25</x:v>
      </x:c>
      <x:c r="AD49" s="20" t="n">
        <x:f>'两日价格与决策'!AD49</x:f>
        <x:v>1</x:v>
      </x:c>
      <x:c r="AE49" s="20" t="n">
        <x:f>'两日价格与决策'!AE49</x:f>
        <x:v>0</x:v>
      </x:c>
      <x:c r="AF49" s="20" t="n">
        <x:f>'两日价格与决策'!AF49</x:f>
        <x:v>0.63854</x:v>
      </x:c>
      <x:c r="AG49" s="18" t="n">
        <x:f>'两日价格与决策'!AG49</x:f>
        <x:v>200</x:v>
      </x:c>
      <x:c r="AH49" s="18" t="n">
        <x:f>'两日价格与决策'!AH49</x:f>
        <x:v>200</x:v>
      </x:c>
      <x:c r="AI49" s="18" t="n">
        <x:f>'两日价格与决策'!AI49</x:f>
        <x:v>0</x:v>
      </x:c>
      <x:c r="AJ49" s="18" t="n">
        <x:f>'两日价格与决策'!AJ49</x:f>
        <x:v>31.927</x:v>
      </x:c>
      <x:c r="AK49" s="18" t="str">
        <x:f>'两日价格与决策'!AK49</x:f>
        <x:v>缺失</x:v>
      </x:c>
      <x:c r="AL49" s="18" t="n">
        <x:f>'两日价格与决策'!AL49</x:f>
        <x:v>0</x:v>
      </x:c>
      <x:c r="AM49" s="18" t="n">
        <x:f>'两日价格与决策'!AM49</x:f>
        <x:v>0</x:v>
      </x:c>
      <x:c r="AN49" s="18" t="n">
        <x:f>'两日价格与决策'!AN49</x:f>
        <x:v>0</x:v>
      </x:c>
      <x:c r="AO49" s="18" t="n">
        <x:f>'两日价格与决策'!AO49</x:f>
        <x:v>10</x:v>
      </x:c>
      <x:c r="AP49" s="18" t="n">
        <x:f>'两日价格与决策'!AP49</x:f>
        <x:v>0</x:v>
      </x:c>
      <x:c r="AQ49" s="18" t="n">
        <x:f>'两日价格与决策'!AQ49</x:f>
        <x:v>4.9741</x:v>
      </x:c>
      <x:c r="AR49" s="21" t="n">
        <x:f>'两日价格与决策'!AR49</x:f>
        <x:v>45657</x:v>
      </x:c>
      <x:c r="AS49" s="17" t="n">
        <x:f>'两日价格与决策'!AS49</x:f>
        <x:v>45658.354166666664</x:v>
      </x:c>
      <x:c r="AT49" s="18" t="str">
        <x:f>'两日价格与决策'!AT49</x:f>
        <x:v>2025-01-01_10</x:v>
      </x:c>
      <x:c r="AU49" s="19" t="n">
        <x:f>'两日价格与决策'!AU49</x:f>
        <x:v>60</x:v>
      </x:c>
      <x:c r="AV49" s="18" t="str">
        <x:f>'两日价格与决策'!AV49</x:f>
        <x:v>OK</x:v>
      </x:c>
    </x:row>
    <x:row r="50" ht="21" customHeight="1">
      <x:c r="A50" s="17" t="n">
        <x:f>'两日价格与决策'!A50</x:f>
        <x:v>45658.447916666664</x:v>
      </x:c>
      <x:c r="B50" s="23" t="n">
        <x:f>'两日价格与决策'!B50</x:f>
        <x:v>41.43</x:v>
      </x:c>
      <x:c r="C50" s="23" t="str">
        <x:f>'两日价格与决策'!C50</x:f>
        <x:v>缺失</x:v>
      </x:c>
      <x:c r="D50" s="23" t="n">
        <x:f>'两日价格与决策'!D50</x:f>
        <x:v>13.831647936310086</x:v>
      </x:c>
      <x:c r="E50" s="23" t="n">
        <x:f>'两日价格与决策'!E50</x:f>
        <x:v>14.710198829939085</x:v>
      </x:c>
      <x:c r="F50" s="23" t="n">
        <x:f>'两日价格与决策'!F50</x:f>
        <x:v>0</x:v>
      </x:c>
      <x:c r="G50" s="23" t="n">
        <x:f>'两日价格与决策'!G50</x:f>
        <x:v>-38.434892744416075</x:v>
      </x:c>
      <x:c r="H50" s="23" t="str">
        <x:f>'两日价格与决策'!H50</x:f>
        <x:v>未模拟</x:v>
      </x:c>
      <x:c r="I50" s="24" t="n">
        <x:f>'两日价格与决策'!I50</x:f>
        <x:v>10</x:v>
      </x:c>
      <x:c r="J50" s="24" t="n">
        <x:f>'两日价格与决策'!J50</x:f>
        <x:v>10</x:v>
      </x:c>
      <x:c r="K50" s="24" t="n">
        <x:f>'两日价格与决策'!K50</x:f>
        <x:v>0</x:v>
      </x:c>
      <x:c r="L50" s="24" t="n">
        <x:f>'两日价格与决策'!L50</x:f>
        <x:v>0</x:v>
      </x:c>
      <x:c r="M50" s="24" t="n">
        <x:f>'两日价格与决策'!M50</x:f>
        <x:v>0</x:v>
      </x:c>
      <x:c r="N50" s="24" t="n">
        <x:f>'两日价格与决策'!N50</x:f>
        <x:v>0</x:v>
      </x:c>
      <x:c r="O50" s="24" t="n">
        <x:f>'两日价格与决策'!O50</x:f>
        <x:v>0</x:v>
      </x:c>
      <x:c r="P50" s="24" t="n">
        <x:f>'两日价格与决策'!P50</x:f>
        <x:v>0</x:v>
      </x:c>
      <x:c r="Q50" s="25" t="n">
        <x:f>'两日价格与决策'!Q50</x:f>
        <x:v>0</x:v>
      </x:c>
      <x:c r="R50" s="25" t="n">
        <x:f>'两日价格与决策'!R50</x:f>
        <x:v>0</x:v>
      </x:c>
      <x:c r="S50" s="25" t="n">
        <x:f>'两日价格与决策'!S50</x:f>
        <x:v>0</x:v>
      </x:c>
      <x:c r="T50" s="25" t="n">
        <x:f>'两日价格与决策'!T50</x:f>
        <x:v>0</x:v>
      </x:c>
      <x:c r="U50" s="25" t="n">
        <x:f>'两日价格与决策'!U50</x:f>
        <x:v>0</x:v>
      </x:c>
      <x:c r="V50" s="25" t="n">
        <x:f>'两日价格与决策'!V50</x:f>
        <x:v>0</x:v>
      </x:c>
      <x:c r="W50" s="25" t="n">
        <x:f>'两日价格与决策'!W50</x:f>
        <x:v>0</x:v>
      </x:c>
      <x:c r="X50" s="18" t="n">
        <x:f>'两日价格与决策'!X50</x:f>
        <x:v>0</x:v>
      </x:c>
      <x:c r="Y50" s="18" t="n">
        <x:f>'两日价格与决策'!Y50</x:f>
        <x:v>0</x:v>
      </x:c>
      <x:c r="Z50" s="18" t="str">
        <x:f>'两日价格与决策'!Z50</x:f>
        <x:v>1月1日执行｜初始化零订单</x:v>
      </x:c>
      <x:c r="AA50" s="19" t="n">
        <x:f>'两日价格与决策'!AA50</x:f>
        <x:v>1</x:v>
      </x:c>
      <x:c r="AB50" s="19" t="n">
        <x:f>'两日价格与决策'!AB50</x:f>
        <x:v>0</x:v>
      </x:c>
      <x:c r="AC50" s="18" t="n">
        <x:f>'两日价格与决策'!AC50</x:f>
        <x:v>0.25</x:v>
      </x:c>
      <x:c r="AD50" s="20" t="n">
        <x:f>'两日价格与决策'!AD50</x:f>
        <x:v>1</x:v>
      </x:c>
      <x:c r="AE50" s="20" t="n">
        <x:f>'两日价格与决策'!AE50</x:f>
        <x:v>0</x:v>
      </x:c>
      <x:c r="AF50" s="20" t="n">
        <x:f>'两日价格与决策'!AF50</x:f>
        <x:v>0.6648999999999999</x:v>
      </x:c>
      <x:c r="AG50" s="18" t="n">
        <x:f>'两日价格与决策'!AG50</x:f>
        <x:v>200</x:v>
      </x:c>
      <x:c r="AH50" s="18" t="n">
        <x:f>'两日价格与决策'!AH50</x:f>
        <x:v>200</x:v>
      </x:c>
      <x:c r="AI50" s="18" t="n">
        <x:f>'两日价格与决策'!AI50</x:f>
        <x:v>0</x:v>
      </x:c>
      <x:c r="AJ50" s="18" t="n">
        <x:f>'两日价格与决策'!AJ50</x:f>
        <x:v>33.245</x:v>
      </x:c>
      <x:c r="AK50" s="18" t="str">
        <x:f>'两日价格与决策'!AK50</x:f>
        <x:v>缺失</x:v>
      </x:c>
      <x:c r="AL50" s="18" t="n">
        <x:f>'两日价格与决策'!AL50</x:f>
        <x:v>0</x:v>
      </x:c>
      <x:c r="AM50" s="18" t="n">
        <x:f>'两日价格与决策'!AM50</x:f>
        <x:v>0</x:v>
      </x:c>
      <x:c r="AN50" s="18" t="n">
        <x:f>'两日价格与决策'!AN50</x:f>
        <x:v>0</x:v>
      </x:c>
      <x:c r="AO50" s="18" t="n">
        <x:f>'两日价格与决策'!AO50</x:f>
        <x:v>10</x:v>
      </x:c>
      <x:c r="AP50" s="18" t="n">
        <x:f>'两日价格与决策'!AP50</x:f>
        <x:v>0</x:v>
      </x:c>
      <x:c r="AQ50" s="18" t="n">
        <x:f>'两日价格与决策'!AQ50</x:f>
        <x:v>4.9741</x:v>
      </x:c>
      <x:c r="AR50" s="21" t="n">
        <x:f>'两日价格与决策'!AR50</x:f>
        <x:v>45657</x:v>
      </x:c>
      <x:c r="AS50" s="17" t="n">
        <x:f>'两日价格与决策'!AS50</x:f>
        <x:v>45658.364583333336</x:v>
      </x:c>
      <x:c r="AT50" s="18" t="str">
        <x:f>'两日价格与决策'!AT50</x:f>
        <x:v>2025-01-01_10</x:v>
      </x:c>
      <x:c r="AU50" s="19" t="n">
        <x:f>'两日价格与决策'!AU50</x:f>
        <x:v>60</x:v>
      </x:c>
      <x:c r="AV50" s="18" t="str">
        <x:f>'两日价格与决策'!AV50</x:f>
        <x:v>OK</x:v>
      </x:c>
    </x:row>
    <x:row r="51" ht="21" customHeight="1">
      <x:c r="A51" s="17" t="n">
        <x:f>'两日价格与决策'!A51</x:f>
        <x:v>45658.458333333336</x:v>
      </x:c>
      <x:c r="B51" s="23" t="n">
        <x:f>'两日价格与决策'!B51</x:f>
        <x:v>28.98</x:v>
      </x:c>
      <x:c r="C51" s="23" t="str">
        <x:f>'两日价格与决策'!C51</x:f>
        <x:v>缺失</x:v>
      </x:c>
      <x:c r="D51" s="23" t="n">
        <x:f>'两日价格与决策'!D51</x:f>
        <x:v>13.71102309965622</x:v>
      </x:c>
      <x:c r="E51" s="23" t="n">
        <x:f>'两日价格与决策'!E51</x:f>
        <x:v>14.710198829939085</x:v>
      </x:c>
      <x:c r="F51" s="23" t="n">
        <x:f>'两日价格与决策'!F51</x:f>
        <x:v>0</x:v>
      </x:c>
      <x:c r="G51" s="23" t="n">
        <x:f>'两日价格与决策'!G51</x:f>
        <x:v>-0.6421262137874189</x:v>
      </x:c>
      <x:c r="H51" s="23" t="str">
        <x:f>'两日价格与决策'!H51</x:f>
        <x:v>未模拟</x:v>
      </x:c>
      <x:c r="I51" s="24" t="n">
        <x:f>'两日价格与决策'!I51</x:f>
        <x:v>10</x:v>
      </x:c>
      <x:c r="J51" s="24" t="n">
        <x:f>'两日价格与决策'!J51</x:f>
        <x:v>10</x:v>
      </x:c>
      <x:c r="K51" s="24" t="n">
        <x:f>'两日价格与决策'!K51</x:f>
        <x:v>0</x:v>
      </x:c>
      <x:c r="L51" s="24" t="n">
        <x:f>'两日价格与决策'!L51</x:f>
        <x:v>0</x:v>
      </x:c>
      <x:c r="M51" s="24" t="n">
        <x:f>'两日价格与决策'!M51</x:f>
        <x:v>0</x:v>
      </x:c>
      <x:c r="N51" s="24" t="n">
        <x:f>'两日价格与决策'!N51</x:f>
        <x:v>0</x:v>
      </x:c>
      <x:c r="O51" s="24" t="n">
        <x:f>'两日价格与决策'!O51</x:f>
        <x:v>0</x:v>
      </x:c>
      <x:c r="P51" s="24" t="n">
        <x:f>'两日价格与决策'!P51</x:f>
        <x:v>0</x:v>
      </x:c>
      <x:c r="Q51" s="25" t="n">
        <x:f>'两日价格与决策'!Q51</x:f>
        <x:v>0</x:v>
      </x:c>
      <x:c r="R51" s="25" t="n">
        <x:f>'两日价格与决策'!R51</x:f>
        <x:v>0</x:v>
      </x:c>
      <x:c r="S51" s="25" t="n">
        <x:f>'两日价格与决策'!S51</x:f>
        <x:v>0</x:v>
      </x:c>
      <x:c r="T51" s="25" t="n">
        <x:f>'两日价格与决策'!T51</x:f>
        <x:v>0</x:v>
      </x:c>
      <x:c r="U51" s="25" t="n">
        <x:f>'两日价格与决策'!U51</x:f>
        <x:v>0</x:v>
      </x:c>
      <x:c r="V51" s="25" t="n">
        <x:f>'两日价格与决策'!V51</x:f>
        <x:v>0</x:v>
      </x:c>
      <x:c r="W51" s="25" t="n">
        <x:f>'两日价格与决策'!W51</x:f>
        <x:v>0</x:v>
      </x:c>
      <x:c r="X51" s="18" t="n">
        <x:f>'两日价格与决策'!X51</x:f>
        <x:v>0</x:v>
      </x:c>
      <x:c r="Y51" s="18" t="n">
        <x:f>'两日价格与决策'!Y51</x:f>
        <x:v>0</x:v>
      </x:c>
      <x:c r="Z51" s="18" t="str">
        <x:f>'两日价格与决策'!Z51</x:f>
        <x:v>1月1日执行｜初始化零订单</x:v>
      </x:c>
      <x:c r="AA51" s="19" t="n">
        <x:f>'两日价格与决策'!AA51</x:f>
        <x:v>1</x:v>
      </x:c>
      <x:c r="AB51" s="19" t="n">
        <x:f>'两日价格与决策'!AB51</x:f>
        <x:v>0</x:v>
      </x:c>
      <x:c r="AC51" s="18" t="n">
        <x:f>'两日价格与决策'!AC51</x:f>
        <x:v>0.25</x:v>
      </x:c>
      <x:c r="AD51" s="20" t="n">
        <x:f>'两日价格与决策'!AD51</x:f>
        <x:v>1</x:v>
      </x:c>
      <x:c r="AE51" s="20" t="n">
        <x:f>'两日价格与决策'!AE51</x:f>
        <x:v>0</x:v>
      </x:c>
      <x:c r="AF51" s="20" t="n">
        <x:f>'两日价格与决策'!AF51</x:f>
        <x:v>0.47892</x:v>
      </x:c>
      <x:c r="AG51" s="18" t="n">
        <x:f>'两日价格与决策'!AG51</x:f>
        <x:v>200</x:v>
      </x:c>
      <x:c r="AH51" s="18" t="n">
        <x:f>'两日价格与决策'!AH51</x:f>
        <x:v>200</x:v>
      </x:c>
      <x:c r="AI51" s="18" t="n">
        <x:f>'两日价格与决策'!AI51</x:f>
        <x:v>0</x:v>
      </x:c>
      <x:c r="AJ51" s="18" t="n">
        <x:f>'两日价格与决策'!AJ51</x:f>
        <x:v>23.946</x:v>
      </x:c>
      <x:c r="AK51" s="18" t="str">
        <x:f>'两日价格与决策'!AK51</x:f>
        <x:v>缺失</x:v>
      </x:c>
      <x:c r="AL51" s="18" t="n">
        <x:f>'两日价格与决策'!AL51</x:f>
        <x:v>0</x:v>
      </x:c>
      <x:c r="AM51" s="18" t="n">
        <x:f>'两日价格与决策'!AM51</x:f>
        <x:v>0</x:v>
      </x:c>
      <x:c r="AN51" s="18" t="n">
        <x:f>'两日价格与决策'!AN51</x:f>
        <x:v>0</x:v>
      </x:c>
      <x:c r="AO51" s="18" t="n">
        <x:f>'两日价格与决策'!AO51</x:f>
        <x:v>10</x:v>
      </x:c>
      <x:c r="AP51" s="18" t="n">
        <x:f>'两日价格与决策'!AP51</x:f>
        <x:v>0</x:v>
      </x:c>
      <x:c r="AQ51" s="18" t="n">
        <x:f>'两日价格与决策'!AQ51</x:f>
        <x:v>4.9741</x:v>
      </x:c>
      <x:c r="AR51" s="21" t="n">
        <x:f>'两日价格与决策'!AR51</x:f>
        <x:v>45657</x:v>
      </x:c>
      <x:c r="AS51" s="17" t="n">
        <x:f>'两日价格与决策'!AS51</x:f>
        <x:v>45658.375</x:v>
      </x:c>
      <x:c r="AT51" s="18" t="str">
        <x:f>'两日价格与决策'!AT51</x:f>
        <x:v>2025-01-01_11</x:v>
      </x:c>
      <x:c r="AU51" s="19" t="n">
        <x:f>'两日价格与决策'!AU51</x:f>
        <x:v>60</x:v>
      </x:c>
      <x:c r="AV51" s="18" t="str">
        <x:f>'两日价格与决策'!AV51</x:f>
        <x:v>OK</x:v>
      </x:c>
    </x:row>
    <x:row r="52" ht="21" customHeight="1">
      <x:c r="A52" s="17" t="n">
        <x:f>'两日价格与决策'!A52</x:f>
        <x:v>45658.46875</x:v>
      </x:c>
      <x:c r="B52" s="23" t="n">
        <x:f>'两日价格与决策'!B52</x:f>
        <x:v>28.98</x:v>
      </x:c>
      <x:c r="C52" s="23" t="str">
        <x:f>'两日价格与决策'!C52</x:f>
        <x:v>缺失</x:v>
      </x:c>
      <x:c r="D52" s="23" t="n">
        <x:f>'两日价格与决策'!D52</x:f>
        <x:v>13.71102309965622</x:v>
      </x:c>
      <x:c r="E52" s="23" t="n">
        <x:f>'两日价格与决策'!E52</x:f>
        <x:v>14.710198829939085</x:v>
      </x:c>
      <x:c r="F52" s="23" t="n">
        <x:f>'两日价格与决策'!F52</x:f>
        <x:v>0</x:v>
      </x:c>
      <x:c r="G52" s="23" t="n">
        <x:f>'两日价格与决策'!G52</x:f>
        <x:v>5.266681409702257</x:v>
      </x:c>
      <x:c r="H52" s="23" t="str">
        <x:f>'两日价格与决策'!H52</x:f>
        <x:v>未模拟</x:v>
      </x:c>
      <x:c r="I52" s="24" t="n">
        <x:f>'两日价格与决策'!I52</x:f>
        <x:v>10</x:v>
      </x:c>
      <x:c r="J52" s="24" t="n">
        <x:f>'两日价格与决策'!J52</x:f>
        <x:v>10</x:v>
      </x:c>
      <x:c r="K52" s="24" t="n">
        <x:f>'两日价格与决策'!K52</x:f>
        <x:v>0</x:v>
      </x:c>
      <x:c r="L52" s="24" t="n">
        <x:f>'两日价格与决策'!L52</x:f>
        <x:v>0</x:v>
      </x:c>
      <x:c r="M52" s="24" t="n">
        <x:f>'两日价格与决策'!M52</x:f>
        <x:v>0</x:v>
      </x:c>
      <x:c r="N52" s="24" t="n">
        <x:f>'两日价格与决策'!N52</x:f>
        <x:v>0</x:v>
      </x:c>
      <x:c r="O52" s="24" t="n">
        <x:f>'两日价格与决策'!O52</x:f>
        <x:v>0</x:v>
      </x:c>
      <x:c r="P52" s="24" t="n">
        <x:f>'两日价格与决策'!P52</x:f>
        <x:v>0</x:v>
      </x:c>
      <x:c r="Q52" s="25" t="n">
        <x:f>'两日价格与决策'!Q52</x:f>
        <x:v>0</x:v>
      </x:c>
      <x:c r="R52" s="25" t="n">
        <x:f>'两日价格与决策'!R52</x:f>
        <x:v>0</x:v>
      </x:c>
      <x:c r="S52" s="25" t="n">
        <x:f>'两日价格与决策'!S52</x:f>
        <x:v>0</x:v>
      </x:c>
      <x:c r="T52" s="25" t="n">
        <x:f>'两日价格与决策'!T52</x:f>
        <x:v>0</x:v>
      </x:c>
      <x:c r="U52" s="25" t="n">
        <x:f>'两日价格与决策'!U52</x:f>
        <x:v>0</x:v>
      </x:c>
      <x:c r="V52" s="25" t="n">
        <x:f>'两日价格与决策'!V52</x:f>
        <x:v>0</x:v>
      </x:c>
      <x:c r="W52" s="25" t="n">
        <x:f>'两日价格与决策'!W52</x:f>
        <x:v>0</x:v>
      </x:c>
      <x:c r="X52" s="18" t="n">
        <x:f>'两日价格与决策'!X52</x:f>
        <x:v>0</x:v>
      </x:c>
      <x:c r="Y52" s="18" t="n">
        <x:f>'两日价格与决策'!Y52</x:f>
        <x:v>0</x:v>
      </x:c>
      <x:c r="Z52" s="18" t="str">
        <x:f>'两日价格与决策'!Z52</x:f>
        <x:v>1月1日执行｜初始化零订单</x:v>
      </x:c>
      <x:c r="AA52" s="19" t="n">
        <x:f>'两日价格与决策'!AA52</x:f>
        <x:v>1</x:v>
      </x:c>
      <x:c r="AB52" s="19" t="n">
        <x:f>'两日价格与决策'!AB52</x:f>
        <x:v>0</x:v>
      </x:c>
      <x:c r="AC52" s="18" t="n">
        <x:f>'两日价格与决策'!AC52</x:f>
        <x:v>0.25</x:v>
      </x:c>
      <x:c r="AD52" s="20" t="n">
        <x:f>'两日价格与决策'!AD52</x:f>
        <x:v>1</x:v>
      </x:c>
      <x:c r="AE52" s="20" t="n">
        <x:f>'两日价格与决策'!AE52</x:f>
        <x:v>0</x:v>
      </x:c>
      <x:c r="AF52" s="20" t="n">
        <x:f>'两日价格与决策'!AF52</x:f>
        <x:v>0.33537999999999996</x:v>
      </x:c>
      <x:c r="AG52" s="18" t="n">
        <x:f>'两日价格与决策'!AG52</x:f>
        <x:v>200</x:v>
      </x:c>
      <x:c r="AH52" s="18" t="n">
        <x:f>'两日价格与决策'!AH52</x:f>
        <x:v>200</x:v>
      </x:c>
      <x:c r="AI52" s="18" t="n">
        <x:f>'两日价格与决策'!AI52</x:f>
        <x:v>0</x:v>
      </x:c>
      <x:c r="AJ52" s="18" t="n">
        <x:f>'两日价格与决策'!AJ52</x:f>
        <x:v>16.769</x:v>
      </x:c>
      <x:c r="AK52" s="18" t="str">
        <x:f>'两日价格与决策'!AK52</x:f>
        <x:v>缺失</x:v>
      </x:c>
      <x:c r="AL52" s="18" t="n">
        <x:f>'两日价格与决策'!AL52</x:f>
        <x:v>0</x:v>
      </x:c>
      <x:c r="AM52" s="18" t="n">
        <x:f>'两日价格与决策'!AM52</x:f>
        <x:v>0</x:v>
      </x:c>
      <x:c r="AN52" s="18" t="n">
        <x:f>'两日价格与决策'!AN52</x:f>
        <x:v>0</x:v>
      </x:c>
      <x:c r="AO52" s="18" t="n">
        <x:f>'两日价格与决策'!AO52</x:f>
        <x:v>10</x:v>
      </x:c>
      <x:c r="AP52" s="18" t="n">
        <x:f>'两日价格与决策'!AP52</x:f>
        <x:v>0</x:v>
      </x:c>
      <x:c r="AQ52" s="18" t="n">
        <x:f>'两日价格与决策'!AQ52</x:f>
        <x:v>4.9741</x:v>
      </x:c>
      <x:c r="AR52" s="21" t="n">
        <x:f>'两日价格与决策'!AR52</x:f>
        <x:v>45657</x:v>
      </x:c>
      <x:c r="AS52" s="17" t="n">
        <x:f>'两日价格与决策'!AS52</x:f>
        <x:v>45658.385416666664</x:v>
      </x:c>
      <x:c r="AT52" s="18" t="str">
        <x:f>'两日价格与决策'!AT52</x:f>
        <x:v>2025-01-01_11</x:v>
      </x:c>
      <x:c r="AU52" s="19" t="n">
        <x:f>'两日价格与决策'!AU52</x:f>
        <x:v>60</x:v>
      </x:c>
      <x:c r="AV52" s="18" t="str">
        <x:f>'两日价格与决策'!AV52</x:f>
        <x:v>OK</x:v>
      </x:c>
    </x:row>
    <x:row r="53" ht="21" customHeight="1">
      <x:c r="A53" s="17" t="n">
        <x:f>'两日价格与决策'!A53</x:f>
        <x:v>45658.479166666664</x:v>
      </x:c>
      <x:c r="B53" s="23" t="n">
        <x:f>'两日价格与决策'!B53</x:f>
        <x:v>28.98</x:v>
      </x:c>
      <x:c r="C53" s="23" t="str">
        <x:f>'两日价格与决策'!C53</x:f>
        <x:v>缺失</x:v>
      </x:c>
      <x:c r="D53" s="23" t="n">
        <x:f>'两日价格与决策'!D53</x:f>
        <x:v>13.71102309965622</x:v>
      </x:c>
      <x:c r="E53" s="23" t="n">
        <x:f>'两日价格与决策'!E53</x:f>
        <x:v>14.710198829939085</x:v>
      </x:c>
      <x:c r="F53" s="23" t="n">
        <x:f>'两日价格与决策'!F53</x:f>
        <x:v>0</x:v>
      </x:c>
      <x:c r="G53" s="23" t="n">
        <x:f>'两日价格与决策'!G53</x:f>
        <x:v>19.65762650529744</x:v>
      </x:c>
      <x:c r="H53" s="23" t="str">
        <x:f>'两日价格与决策'!H53</x:f>
        <x:v>未模拟</x:v>
      </x:c>
      <x:c r="I53" s="24" t="n">
        <x:f>'两日价格与决策'!I53</x:f>
        <x:v>10</x:v>
      </x:c>
      <x:c r="J53" s="24" t="n">
        <x:f>'两日价格与决策'!J53</x:f>
        <x:v>10</x:v>
      </x:c>
      <x:c r="K53" s="24" t="n">
        <x:f>'两日价格与决策'!K53</x:f>
        <x:v>0</x:v>
      </x:c>
      <x:c r="L53" s="24" t="n">
        <x:f>'两日价格与决策'!L53</x:f>
        <x:v>0</x:v>
      </x:c>
      <x:c r="M53" s="24" t="n">
        <x:f>'两日价格与决策'!M53</x:f>
        <x:v>0</x:v>
      </x:c>
      <x:c r="N53" s="24" t="n">
        <x:f>'两日价格与决策'!N53</x:f>
        <x:v>0</x:v>
      </x:c>
      <x:c r="O53" s="24" t="n">
        <x:f>'两日价格与决策'!O53</x:f>
        <x:v>0</x:v>
      </x:c>
      <x:c r="P53" s="24" t="n">
        <x:f>'两日价格与决策'!P53</x:f>
        <x:v>0</x:v>
      </x:c>
      <x:c r="Q53" s="25" t="n">
        <x:f>'两日价格与决策'!Q53</x:f>
        <x:v>0</x:v>
      </x:c>
      <x:c r="R53" s="25" t="n">
        <x:f>'两日价格与决策'!R53</x:f>
        <x:v>0</x:v>
      </x:c>
      <x:c r="S53" s="25" t="n">
        <x:f>'两日价格与决策'!S53</x:f>
        <x:v>0</x:v>
      </x:c>
      <x:c r="T53" s="25" t="n">
        <x:f>'两日价格与决策'!T53</x:f>
        <x:v>0</x:v>
      </x:c>
      <x:c r="U53" s="25" t="n">
        <x:f>'两日价格与决策'!U53</x:f>
        <x:v>0</x:v>
      </x:c>
      <x:c r="V53" s="25" t="n">
        <x:f>'两日价格与决策'!V53</x:f>
        <x:v>0</x:v>
      </x:c>
      <x:c r="W53" s="25" t="n">
        <x:f>'两日价格与决策'!W53</x:f>
        <x:v>0</x:v>
      </x:c>
      <x:c r="X53" s="18" t="n">
        <x:f>'两日价格与决策'!X53</x:f>
        <x:v>0</x:v>
      </x:c>
      <x:c r="Y53" s="18" t="n">
        <x:f>'两日价格与决策'!Y53</x:f>
        <x:v>0</x:v>
      </x:c>
      <x:c r="Z53" s="18" t="str">
        <x:f>'两日价格与决策'!Z53</x:f>
        <x:v>1月1日执行｜初始化零订单</x:v>
      </x:c>
      <x:c r="AA53" s="19" t="n">
        <x:f>'两日价格与决策'!AA53</x:f>
        <x:v>1</x:v>
      </x:c>
      <x:c r="AB53" s="19" t="n">
        <x:f>'两日价格与决策'!AB53</x:f>
        <x:v>0</x:v>
      </x:c>
      <x:c r="AC53" s="18" t="n">
        <x:f>'两日价格与决策'!AC53</x:f>
        <x:v>0.25</x:v>
      </x:c>
      <x:c r="AD53" s="20" t="n">
        <x:f>'两日价格与决策'!AD53</x:f>
        <x:v>1</x:v>
      </x:c>
      <x:c r="AE53" s="20" t="n">
        <x:f>'两日价格与决策'!AE53</x:f>
        <x:v>0</x:v>
      </x:c>
      <x:c r="AF53" s="20" t="n">
        <x:f>'两日价格与决策'!AF53</x:f>
        <x:v>0.13448000000000002</x:v>
      </x:c>
      <x:c r="AG53" s="18" t="n">
        <x:f>'两日价格与决策'!AG53</x:f>
        <x:v>200</x:v>
      </x:c>
      <x:c r="AH53" s="18" t="n">
        <x:f>'两日价格与决策'!AH53</x:f>
        <x:v>200</x:v>
      </x:c>
      <x:c r="AI53" s="18" t="n">
        <x:f>'两日价格与决策'!AI53</x:f>
        <x:v>0</x:v>
      </x:c>
      <x:c r="AJ53" s="18" t="n">
        <x:f>'两日价格与决策'!AJ53</x:f>
        <x:v>6.724</x:v>
      </x:c>
      <x:c r="AK53" s="18" t="str">
        <x:f>'两日价格与决策'!AK53</x:f>
        <x:v>缺失</x:v>
      </x:c>
      <x:c r="AL53" s="18" t="n">
        <x:f>'两日价格与决策'!AL53</x:f>
        <x:v>0</x:v>
      </x:c>
      <x:c r="AM53" s="18" t="n">
        <x:f>'两日价格与决策'!AM53</x:f>
        <x:v>0</x:v>
      </x:c>
      <x:c r="AN53" s="18" t="n">
        <x:f>'两日价格与决策'!AN53</x:f>
        <x:v>0</x:v>
      </x:c>
      <x:c r="AO53" s="18" t="n">
        <x:f>'两日价格与决策'!AO53</x:f>
        <x:v>10</x:v>
      </x:c>
      <x:c r="AP53" s="18" t="n">
        <x:f>'两日价格与决策'!AP53</x:f>
        <x:v>0</x:v>
      </x:c>
      <x:c r="AQ53" s="18" t="n">
        <x:f>'两日价格与决策'!AQ53</x:f>
        <x:v>4.9741</x:v>
      </x:c>
      <x:c r="AR53" s="21" t="n">
        <x:f>'两日价格与决策'!AR53</x:f>
        <x:v>45657</x:v>
      </x:c>
      <x:c r="AS53" s="17" t="n">
        <x:f>'两日价格与决策'!AS53</x:f>
        <x:v>45658.395833333336</x:v>
      </x:c>
      <x:c r="AT53" s="18" t="str">
        <x:f>'两日价格与决策'!AT53</x:f>
        <x:v>2025-01-01_11</x:v>
      </x:c>
      <x:c r="AU53" s="19" t="n">
        <x:f>'两日价格与决策'!AU53</x:f>
        <x:v>60</x:v>
      </x:c>
      <x:c r="AV53" s="18" t="str">
        <x:f>'两日价格与决策'!AV53</x:f>
        <x:v>OK</x:v>
      </x:c>
    </x:row>
    <x:row r="54" ht="21" customHeight="1">
      <x:c r="A54" s="17" t="n">
        <x:f>'两日价格与决策'!A54</x:f>
        <x:v>45658.489583333336</x:v>
      </x:c>
      <x:c r="B54" s="23" t="n">
        <x:f>'两日价格与决策'!B54</x:f>
        <x:v>28.98</x:v>
      </x:c>
      <x:c r="C54" s="23" t="str">
        <x:f>'两日价格与决策'!C54</x:f>
        <x:v>缺失</x:v>
      </x:c>
      <x:c r="D54" s="23" t="n">
        <x:f>'两日价格与决策'!D54</x:f>
        <x:v>13.71102309965622</x:v>
      </x:c>
      <x:c r="E54" s="23" t="n">
        <x:f>'两日价格与决策'!E54</x:f>
        <x:v>14.710198829939085</x:v>
      </x:c>
      <x:c r="F54" s="23" t="n">
        <x:f>'两日价格与决策'!F54</x:f>
        <x:v>0</x:v>
      </x:c>
      <x:c r="G54" s="23" t="n">
        <x:f>'两日价格与决策'!G54</x:f>
        <x:v>19.35727066202931</x:v>
      </x:c>
      <x:c r="H54" s="23" t="str">
        <x:f>'两日价格与决策'!H54</x:f>
        <x:v>未模拟</x:v>
      </x:c>
      <x:c r="I54" s="24" t="n">
        <x:f>'两日价格与决策'!I54</x:f>
        <x:v>10</x:v>
      </x:c>
      <x:c r="J54" s="24" t="n">
        <x:f>'两日价格与决策'!J54</x:f>
        <x:v>10</x:v>
      </x:c>
      <x:c r="K54" s="24" t="n">
        <x:f>'两日价格与决策'!K54</x:f>
        <x:v>0</x:v>
      </x:c>
      <x:c r="L54" s="24" t="n">
        <x:f>'两日价格与决策'!L54</x:f>
        <x:v>0</x:v>
      </x:c>
      <x:c r="M54" s="24" t="n">
        <x:f>'两日价格与决策'!M54</x:f>
        <x:v>0</x:v>
      </x:c>
      <x:c r="N54" s="24" t="n">
        <x:f>'两日价格与决策'!N54</x:f>
        <x:v>0</x:v>
      </x:c>
      <x:c r="O54" s="24" t="n">
        <x:f>'两日价格与决策'!O54</x:f>
        <x:v>0</x:v>
      </x:c>
      <x:c r="P54" s="24" t="n">
        <x:f>'两日价格与决策'!P54</x:f>
        <x:v>0</x:v>
      </x:c>
      <x:c r="Q54" s="25" t="n">
        <x:f>'两日价格与决策'!Q54</x:f>
        <x:v>0</x:v>
      </x:c>
      <x:c r="R54" s="25" t="n">
        <x:f>'两日价格与决策'!R54</x:f>
        <x:v>0</x:v>
      </x:c>
      <x:c r="S54" s="25" t="n">
        <x:f>'两日价格与决策'!S54</x:f>
        <x:v>0</x:v>
      </x:c>
      <x:c r="T54" s="25" t="n">
        <x:f>'两日价格与决策'!T54</x:f>
        <x:v>0</x:v>
      </x:c>
      <x:c r="U54" s="25" t="n">
        <x:f>'两日价格与决策'!U54</x:f>
        <x:v>0</x:v>
      </x:c>
      <x:c r="V54" s="25" t="n">
        <x:f>'两日价格与决策'!V54</x:f>
        <x:v>0</x:v>
      </x:c>
      <x:c r="W54" s="25" t="n">
        <x:f>'两日价格与决策'!W54</x:f>
        <x:v>0</x:v>
      </x:c>
      <x:c r="X54" s="18" t="n">
        <x:f>'两日价格与决策'!X54</x:f>
        <x:v>0</x:v>
      </x:c>
      <x:c r="Y54" s="18" t="n">
        <x:f>'两日价格与决策'!Y54</x:f>
        <x:v>0</x:v>
      </x:c>
      <x:c r="Z54" s="18" t="str">
        <x:f>'两日价格与决策'!Z54</x:f>
        <x:v>1月1日执行｜初始化零订单</x:v>
      </x:c>
      <x:c r="AA54" s="19" t="n">
        <x:f>'两日价格与决策'!AA54</x:f>
        <x:v>1</x:v>
      </x:c>
      <x:c r="AB54" s="19" t="n">
        <x:f>'两日价格与决策'!AB54</x:f>
        <x:v>0</x:v>
      </x:c>
      <x:c r="AC54" s="18" t="n">
        <x:f>'两日价格与决策'!AC54</x:f>
        <x:v>0.25</x:v>
      </x:c>
      <x:c r="AD54" s="20" t="n">
        <x:f>'两日价格与决策'!AD54</x:f>
        <x:v>1</x:v>
      </x:c>
      <x:c r="AE54" s="20" t="n">
        <x:f>'两日价格与决策'!AE54</x:f>
        <x:v>0</x:v>
      </x:c>
      <x:c r="AF54" s="20" t="n">
        <x:f>'两日价格与决策'!AF54</x:f>
        <x:v>0.22782</x:v>
      </x:c>
      <x:c r="AG54" s="18" t="n">
        <x:f>'两日价格与决策'!AG54</x:f>
        <x:v>200</x:v>
      </x:c>
      <x:c r="AH54" s="18" t="n">
        <x:f>'两日价格与决策'!AH54</x:f>
        <x:v>200</x:v>
      </x:c>
      <x:c r="AI54" s="18" t="n">
        <x:f>'两日价格与决策'!AI54</x:f>
        <x:v>0</x:v>
      </x:c>
      <x:c r="AJ54" s="18" t="n">
        <x:f>'两日价格与决策'!AJ54</x:f>
        <x:v>11.391</x:v>
      </x:c>
      <x:c r="AK54" s="18" t="str">
        <x:f>'两日价格与决策'!AK54</x:f>
        <x:v>缺失</x:v>
      </x:c>
      <x:c r="AL54" s="18" t="n">
        <x:f>'两日价格与决策'!AL54</x:f>
        <x:v>0</x:v>
      </x:c>
      <x:c r="AM54" s="18" t="n">
        <x:f>'两日价格与决策'!AM54</x:f>
        <x:v>0</x:v>
      </x:c>
      <x:c r="AN54" s="18" t="n">
        <x:f>'两日价格与决策'!AN54</x:f>
        <x:v>0</x:v>
      </x:c>
      <x:c r="AO54" s="18" t="n">
        <x:f>'两日价格与决策'!AO54</x:f>
        <x:v>10</x:v>
      </x:c>
      <x:c r="AP54" s="18" t="n">
        <x:f>'两日价格与决策'!AP54</x:f>
        <x:v>0</x:v>
      </x:c>
      <x:c r="AQ54" s="18" t="n">
        <x:f>'两日价格与决策'!AQ54</x:f>
        <x:v>4.9741</x:v>
      </x:c>
      <x:c r="AR54" s="21" t="n">
        <x:f>'两日价格与决策'!AR54</x:f>
        <x:v>45657</x:v>
      </x:c>
      <x:c r="AS54" s="17" t="n">
        <x:f>'两日价格与决策'!AS54</x:f>
        <x:v>45658.40625</x:v>
      </x:c>
      <x:c r="AT54" s="18" t="str">
        <x:f>'两日价格与决策'!AT54</x:f>
        <x:v>2025-01-01_11</x:v>
      </x:c>
      <x:c r="AU54" s="19" t="n">
        <x:f>'两日价格与决策'!AU54</x:f>
        <x:v>60</x:v>
      </x:c>
      <x:c r="AV54" s="18" t="str">
        <x:f>'两日价格与决策'!AV54</x:f>
        <x:v>OK</x:v>
      </x:c>
    </x:row>
    <x:row r="55" ht="21" customHeight="1">
      <x:c r="A55" s="17" t="n">
        <x:f>'两日价格与决策'!A55</x:f>
        <x:v>45658.5</x:v>
      </x:c>
      <x:c r="B55" s="23" t="n">
        <x:f>'两日价格与决策'!B55</x:f>
        <x:v>32.8</x:v>
      </x:c>
      <x:c r="C55" s="23" t="str">
        <x:f>'两日价格与决策'!C55</x:f>
        <x:v>缺失</x:v>
      </x:c>
      <x:c r="D55" s="23" t="n">
        <x:f>'两日价格与决策'!D55</x:f>
        <x:v>13.71102309965622</x:v>
      </x:c>
      <x:c r="E55" s="23" t="n">
        <x:f>'两日价格与决策'!E55</x:f>
        <x:v>14.710198829939085</x:v>
      </x:c>
      <x:c r="F55" s="23" t="n">
        <x:f>'两日价格与决策'!F55</x:f>
        <x:v>0</x:v>
      </x:c>
      <x:c r="G55" s="23" t="n">
        <x:f>'两日价格与决策'!G55</x:f>
        <x:v>22.863834663557228</x:v>
      </x:c>
      <x:c r="H55" s="23" t="str">
        <x:f>'两日价格与决策'!H55</x:f>
        <x:v>未模拟</x:v>
      </x:c>
      <x:c r="I55" s="24" t="n">
        <x:f>'两日价格与决策'!I55</x:f>
        <x:v>10</x:v>
      </x:c>
      <x:c r="J55" s="24" t="n">
        <x:f>'两日价格与决策'!J55</x:f>
        <x:v>10</x:v>
      </x:c>
      <x:c r="K55" s="24" t="n">
        <x:f>'两日价格与决策'!K55</x:f>
        <x:v>0</x:v>
      </x:c>
      <x:c r="L55" s="24" t="n">
        <x:f>'两日价格与决策'!L55</x:f>
        <x:v>0</x:v>
      </x:c>
      <x:c r="M55" s="24" t="n">
        <x:f>'两日价格与决策'!M55</x:f>
        <x:v>0</x:v>
      </x:c>
      <x:c r="N55" s="24" t="n">
        <x:f>'两日价格与决策'!N55</x:f>
        <x:v>0</x:v>
      </x:c>
      <x:c r="O55" s="24" t="n">
        <x:f>'两日价格与决策'!O55</x:f>
        <x:v>0</x:v>
      </x:c>
      <x:c r="P55" s="24" t="n">
        <x:f>'两日价格与决策'!P55</x:f>
        <x:v>0</x:v>
      </x:c>
      <x:c r="Q55" s="25" t="n">
        <x:f>'两日价格与决策'!Q55</x:f>
        <x:v>0</x:v>
      </x:c>
      <x:c r="R55" s="25" t="n">
        <x:f>'两日价格与决策'!R55</x:f>
        <x:v>0</x:v>
      </x:c>
      <x:c r="S55" s="25" t="n">
        <x:f>'两日价格与决策'!S55</x:f>
        <x:v>0</x:v>
      </x:c>
      <x:c r="T55" s="25" t="n">
        <x:f>'两日价格与决策'!T55</x:f>
        <x:v>0</x:v>
      </x:c>
      <x:c r="U55" s="25" t="n">
        <x:f>'两日价格与决策'!U55</x:f>
        <x:v>0</x:v>
      </x:c>
      <x:c r="V55" s="25" t="n">
        <x:f>'两日价格与决策'!V55</x:f>
        <x:v>0</x:v>
      </x:c>
      <x:c r="W55" s="25" t="n">
        <x:f>'两日价格与决策'!W55</x:f>
        <x:v>0</x:v>
      </x:c>
      <x:c r="X55" s="18" t="n">
        <x:f>'两日价格与决策'!X55</x:f>
        <x:v>0</x:v>
      </x:c>
      <x:c r="Y55" s="18" t="n">
        <x:f>'两日价格与决策'!Y55</x:f>
        <x:v>0</x:v>
      </x:c>
      <x:c r="Z55" s="18" t="str">
        <x:f>'两日价格与决策'!Z55</x:f>
        <x:v>1月1日执行｜初始化零订单</x:v>
      </x:c>
      <x:c r="AA55" s="19" t="n">
        <x:f>'两日价格与决策'!AA55</x:f>
        <x:v>1</x:v>
      </x:c>
      <x:c r="AB55" s="19" t="n">
        <x:f>'两日价格与决策'!AB55</x:f>
        <x:v>0</x:v>
      </x:c>
      <x:c r="AC55" s="18" t="n">
        <x:f>'两日价格与决策'!AC55</x:f>
        <x:v>0.25</x:v>
      </x:c>
      <x:c r="AD55" s="20" t="n">
        <x:f>'两日价格与决策'!AD55</x:f>
        <x:v>1</x:v>
      </x:c>
      <x:c r="AE55" s="20" t="n">
        <x:f>'两日价格与决策'!AE55</x:f>
        <x:v>0</x:v>
      </x:c>
      <x:c r="AF55" s="20" t="n">
        <x:f>'两日价格与决策'!AF55</x:f>
        <x:v>0.05408</x:v>
      </x:c>
      <x:c r="AG55" s="18" t="n">
        <x:f>'两日价格与决策'!AG55</x:f>
        <x:v>200</x:v>
      </x:c>
      <x:c r="AH55" s="18" t="n">
        <x:f>'两日价格与决策'!AH55</x:f>
        <x:v>200</x:v>
      </x:c>
      <x:c r="AI55" s="18" t="n">
        <x:f>'两日价格与决策'!AI55</x:f>
        <x:v>0</x:v>
      </x:c>
      <x:c r="AJ55" s="18" t="n">
        <x:f>'两日价格与决策'!AJ55</x:f>
        <x:v>2.704</x:v>
      </x:c>
      <x:c r="AK55" s="18" t="str">
        <x:f>'两日价格与决策'!AK55</x:f>
        <x:v>缺失</x:v>
      </x:c>
      <x:c r="AL55" s="18" t="n">
        <x:f>'两日价格与决策'!AL55</x:f>
        <x:v>0</x:v>
      </x:c>
      <x:c r="AM55" s="18" t="n">
        <x:f>'两日价格与决策'!AM55</x:f>
        <x:v>0</x:v>
      </x:c>
      <x:c r="AN55" s="18" t="n">
        <x:f>'两日价格与决策'!AN55</x:f>
        <x:v>0</x:v>
      </x:c>
      <x:c r="AO55" s="18" t="n">
        <x:f>'两日价格与决策'!AO55</x:f>
        <x:v>10</x:v>
      </x:c>
      <x:c r="AP55" s="18" t="n">
        <x:f>'两日价格与决策'!AP55</x:f>
        <x:v>0</x:v>
      </x:c>
      <x:c r="AQ55" s="18" t="n">
        <x:f>'两日价格与决策'!AQ55</x:f>
        <x:v>4.9741</x:v>
      </x:c>
      <x:c r="AR55" s="21" t="n">
        <x:f>'两日价格与决策'!AR55</x:f>
        <x:v>45657</x:v>
      </x:c>
      <x:c r="AS55" s="17" t="n">
        <x:f>'两日价格与决策'!AS55</x:f>
        <x:v>45658.416666666664</x:v>
      </x:c>
      <x:c r="AT55" s="18" t="str">
        <x:f>'两日价格与决策'!AT55</x:f>
        <x:v>2025-01-01_12</x:v>
      </x:c>
      <x:c r="AU55" s="19" t="n">
        <x:f>'两日价格与决策'!AU55</x:f>
        <x:v>60</x:v>
      </x:c>
      <x:c r="AV55" s="18" t="str">
        <x:f>'两日价格与决策'!AV55</x:f>
        <x:v>OK</x:v>
      </x:c>
    </x:row>
    <x:row r="56" ht="21" customHeight="1">
      <x:c r="A56" s="17" t="n">
        <x:f>'两日价格与决策'!A56</x:f>
        <x:v>45658.510416666664</x:v>
      </x:c>
      <x:c r="B56" s="23" t="n">
        <x:f>'两日价格与决策'!B56</x:f>
        <x:v>32.8</x:v>
      </x:c>
      <x:c r="C56" s="23" t="str">
        <x:f>'两日价格与决策'!C56</x:f>
        <x:v>缺失</x:v>
      </x:c>
      <x:c r="D56" s="23" t="n">
        <x:f>'两日价格与决策'!D56</x:f>
        <x:v>13.71102309965622</x:v>
      </x:c>
      <x:c r="E56" s="23" t="n">
        <x:f>'两日价格与决策'!E56</x:f>
        <x:v>14.710198829939085</x:v>
      </x:c>
      <x:c r="F56" s="23" t="n">
        <x:f>'两日价格与决策'!F56</x:f>
        <x:v>121.39422207032428</x:v>
      </x:c>
      <x:c r="G56" s="23" t="n">
        <x:f>'两日价格与决策'!G56</x:f>
        <x:v>58.3020043827024</x:v>
      </x:c>
      <x:c r="H56" s="23" t="str">
        <x:f>'两日价格与决策'!H56</x:f>
        <x:v>未模拟</x:v>
      </x:c>
      <x:c r="I56" s="24" t="n">
        <x:f>'两日价格与决策'!I56</x:f>
        <x:v>10</x:v>
      </x:c>
      <x:c r="J56" s="24" t="n">
        <x:f>'两日价格与决策'!J56</x:f>
        <x:v>10</x:v>
      </x:c>
      <x:c r="K56" s="24" t="n">
        <x:f>'两日价格与决策'!K56</x:f>
        <x:v>0</x:v>
      </x:c>
      <x:c r="L56" s="24" t="n">
        <x:f>'两日价格与决策'!L56</x:f>
        <x:v>0</x:v>
      </x:c>
      <x:c r="M56" s="24" t="n">
        <x:f>'两日价格与决策'!M56</x:f>
        <x:v>0</x:v>
      </x:c>
      <x:c r="N56" s="24" t="n">
        <x:f>'两日价格与决策'!N56</x:f>
        <x:v>0</x:v>
      </x:c>
      <x:c r="O56" s="24" t="n">
        <x:f>'两日价格与决策'!O56</x:f>
        <x:v>0</x:v>
      </x:c>
      <x:c r="P56" s="24" t="n">
        <x:f>'两日价格与决策'!P56</x:f>
        <x:v>0</x:v>
      </x:c>
      <x:c r="Q56" s="25" t="n">
        <x:f>'两日价格与决策'!Q56</x:f>
        <x:v>0</x:v>
      </x:c>
      <x:c r="R56" s="25" t="n">
        <x:f>'两日价格与决策'!R56</x:f>
        <x:v>0</x:v>
      </x:c>
      <x:c r="S56" s="25" t="n">
        <x:f>'两日价格与决策'!S56</x:f>
        <x:v>0</x:v>
      </x:c>
      <x:c r="T56" s="25" t="n">
        <x:f>'两日价格与决策'!T56</x:f>
        <x:v>0</x:v>
      </x:c>
      <x:c r="U56" s="25" t="n">
        <x:f>'两日价格与决策'!U56</x:f>
        <x:v>0</x:v>
      </x:c>
      <x:c r="V56" s="25" t="n">
        <x:f>'两日价格与决策'!V56</x:f>
        <x:v>0</x:v>
      </x:c>
      <x:c r="W56" s="25" t="n">
        <x:f>'两日价格与决策'!W56</x:f>
        <x:v>0</x:v>
      </x:c>
      <x:c r="X56" s="18" t="n">
        <x:f>'两日价格与决策'!X56</x:f>
        <x:v>0</x:v>
      </x:c>
      <x:c r="Y56" s="18" t="n">
        <x:f>'两日价格与决策'!Y56</x:f>
        <x:v>0</x:v>
      </x:c>
      <x:c r="Z56" s="18" t="str">
        <x:f>'两日价格与决策'!Z56</x:f>
        <x:v>1月1日执行｜初始化零订单</x:v>
      </x:c>
      <x:c r="AA56" s="19" t="n">
        <x:f>'两日价格与决策'!AA56</x:f>
        <x:v>1</x:v>
      </x:c>
      <x:c r="AB56" s="19" t="n">
        <x:f>'两日价格与决策'!AB56</x:f>
        <x:v>0</x:v>
      </x:c>
      <x:c r="AC56" s="18" t="n">
        <x:f>'两日价格与决策'!AC56</x:f>
        <x:v>0.25</x:v>
      </x:c>
      <x:c r="AD56" s="20" t="n">
        <x:f>'两日价格与决策'!AD56</x:f>
        <x:v>1</x:v>
      </x:c>
      <x:c r="AE56" s="20" t="n">
        <x:f>'两日价格与决策'!AE56</x:f>
        <x:v>0.019299999999999998</x:v>
      </x:c>
      <x:c r="AF56" s="20" t="n">
        <x:f>'两日价格与决策'!AF56</x:f>
        <x:v>0.0001</x:v>
      </x:c>
      <x:c r="AG56" s="18" t="n">
        <x:f>'两日价格与决策'!AG56</x:f>
        <x:v>200</x:v>
      </x:c>
      <x:c r="AH56" s="18" t="n">
        <x:f>'两日价格与决策'!AH56</x:f>
        <x:v>200</x:v>
      </x:c>
      <x:c r="AI56" s="18" t="n">
        <x:f>'两日价格与决策'!AI56</x:f>
        <x:v>0.965</x:v>
      </x:c>
      <x:c r="AJ56" s="18" t="n">
        <x:f>'两日价格与决策'!AJ56</x:f>
        <x:v>0.005</x:v>
      </x:c>
      <x:c r="AK56" s="18" t="str">
        <x:f>'两日价格与决策'!AK56</x:f>
        <x:v>缺失</x:v>
      </x:c>
      <x:c r="AL56" s="18" t="n">
        <x:f>'两日价格与决策'!AL56</x:f>
        <x:v>0</x:v>
      </x:c>
      <x:c r="AM56" s="18" t="n">
        <x:f>'两日价格与决策'!AM56</x:f>
        <x:v>0</x:v>
      </x:c>
      <x:c r="AN56" s="18" t="n">
        <x:f>'两日价格与决策'!AN56</x:f>
        <x:v>0</x:v>
      </x:c>
      <x:c r="AO56" s="18" t="n">
        <x:f>'两日价格与决策'!AO56</x:f>
        <x:v>10</x:v>
      </x:c>
      <x:c r="AP56" s="18" t="n">
        <x:f>'两日价格与决策'!AP56</x:f>
        <x:v>0</x:v>
      </x:c>
      <x:c r="AQ56" s="18" t="n">
        <x:f>'两日价格与决策'!AQ56</x:f>
        <x:v>4.9741</x:v>
      </x:c>
      <x:c r="AR56" s="21" t="n">
        <x:f>'两日价格与决策'!AR56</x:f>
        <x:v>45657</x:v>
      </x:c>
      <x:c r="AS56" s="17" t="n">
        <x:f>'两日价格与决策'!AS56</x:f>
        <x:v>45658.427083333336</x:v>
      </x:c>
      <x:c r="AT56" s="18" t="str">
        <x:f>'两日价格与决策'!AT56</x:f>
        <x:v>2025-01-01_12</x:v>
      </x:c>
      <x:c r="AU56" s="19" t="n">
        <x:f>'两日价格与决策'!AU56</x:f>
        <x:v>60</x:v>
      </x:c>
      <x:c r="AV56" s="18" t="str">
        <x:f>'两日价格与决策'!AV56</x:f>
        <x:v>OK</x:v>
      </x:c>
    </x:row>
    <x:row r="57" ht="21" customHeight="1">
      <x:c r="A57" s="17" t="n">
        <x:f>'两日价格与决策'!A57</x:f>
        <x:v>45658.520833333336</x:v>
      </x:c>
      <x:c r="B57" s="23" t="n">
        <x:f>'两日价格与决策'!B57</x:f>
        <x:v>32.8</x:v>
      </x:c>
      <x:c r="C57" s="23" t="str">
        <x:f>'两日价格与决策'!C57</x:f>
        <x:v>缺失</x:v>
      </x:c>
      <x:c r="D57" s="23" t="n">
        <x:f>'两日价格与决策'!D57</x:f>
        <x:v>13.71102309965622</x:v>
      </x:c>
      <x:c r="E57" s="23" t="n">
        <x:f>'两日价格与决策'!E57</x:f>
        <x:v>14.710198829939085</x:v>
      </x:c>
      <x:c r="F57" s="23" t="n">
        <x:f>'两日价格与决策'!F57</x:f>
        <x:v>123.28662471602904</x:v>
      </x:c>
      <x:c r="G57" s="23" t="n">
        <x:f>'两日价格与决策'!G57</x:f>
        <x:v>0</x:v>
      </x:c>
      <x:c r="H57" s="23" t="str">
        <x:f>'两日价格与决策'!H57</x:f>
        <x:v>未模拟</x:v>
      </x:c>
      <x:c r="I57" s="24" t="n">
        <x:f>'两日价格与决策'!I57</x:f>
        <x:v>10</x:v>
      </x:c>
      <x:c r="J57" s="24" t="n">
        <x:f>'两日价格与决策'!J57</x:f>
        <x:v>10</x:v>
      </x:c>
      <x:c r="K57" s="24" t="n">
        <x:f>'两日价格与决策'!K57</x:f>
        <x:v>0</x:v>
      </x:c>
      <x:c r="L57" s="24" t="n">
        <x:f>'两日价格与决策'!L57</x:f>
        <x:v>0</x:v>
      </x:c>
      <x:c r="M57" s="24" t="n">
        <x:f>'两日价格与决策'!M57</x:f>
        <x:v>0</x:v>
      </x:c>
      <x:c r="N57" s="24" t="n">
        <x:f>'两日价格与决策'!N57</x:f>
        <x:v>0</x:v>
      </x:c>
      <x:c r="O57" s="24" t="n">
        <x:f>'两日价格与决策'!O57</x:f>
        <x:v>0</x:v>
      </x:c>
      <x:c r="P57" s="24" t="n">
        <x:f>'两日价格与决策'!P57</x:f>
        <x:v>0</x:v>
      </x:c>
      <x:c r="Q57" s="25" t="n">
        <x:f>'两日价格与决策'!Q57</x:f>
        <x:v>0</x:v>
      </x:c>
      <x:c r="R57" s="25" t="n">
        <x:f>'两日价格与决策'!R57</x:f>
        <x:v>0</x:v>
      </x:c>
      <x:c r="S57" s="25" t="n">
        <x:f>'两日价格与决策'!S57</x:f>
        <x:v>0</x:v>
      </x:c>
      <x:c r="T57" s="25" t="n">
        <x:f>'两日价格与决策'!T57</x:f>
        <x:v>0</x:v>
      </x:c>
      <x:c r="U57" s="25" t="n">
        <x:f>'两日价格与决策'!U57</x:f>
        <x:v>0</x:v>
      </x:c>
      <x:c r="V57" s="25" t="n">
        <x:f>'两日价格与决策'!V57</x:f>
        <x:v>0</x:v>
      </x:c>
      <x:c r="W57" s="25" t="n">
        <x:f>'两日价格与决策'!W57</x:f>
        <x:v>0</x:v>
      </x:c>
      <x:c r="X57" s="18" t="n">
        <x:f>'两日价格与决策'!X57</x:f>
        <x:v>0</x:v>
      </x:c>
      <x:c r="Y57" s="18" t="n">
        <x:f>'两日价格与决策'!Y57</x:f>
        <x:v>0</x:v>
      </x:c>
      <x:c r="Z57" s="18" t="str">
        <x:f>'两日价格与决策'!Z57</x:f>
        <x:v>1月1日执行｜初始化零订单</x:v>
      </x:c>
      <x:c r="AA57" s="19" t="n">
        <x:f>'两日价格与决策'!AA57</x:f>
        <x:v>1</x:v>
      </x:c>
      <x:c r="AB57" s="19" t="n">
        <x:f>'两日价格与决策'!AB57</x:f>
        <x:v>0</x:v>
      </x:c>
      <x:c r="AC57" s="18" t="n">
        <x:f>'两日价格与决策'!AC57</x:f>
        <x:v>0.25</x:v>
      </x:c>
      <x:c r="AD57" s="20" t="n">
        <x:f>'两日价格与决策'!AD57</x:f>
        <x:v>1</x:v>
      </x:c>
      <x:c r="AE57" s="20" t="n">
        <x:f>'两日价格与决策'!AE57</x:f>
        <x:v>0.21853999999999998</x:v>
      </x:c>
      <x:c r="AF57" s="20" t="n">
        <x:f>'两日价格与决策'!AF57</x:f>
        <x:v>0</x:v>
      </x:c>
      <x:c r="AG57" s="18" t="n">
        <x:f>'两日价格与决策'!AG57</x:f>
        <x:v>200</x:v>
      </x:c>
      <x:c r="AH57" s="18" t="n">
        <x:f>'两日价格与决策'!AH57</x:f>
        <x:v>200</x:v>
      </x:c>
      <x:c r="AI57" s="18" t="n">
        <x:f>'两日价格与决策'!AI57</x:f>
        <x:v>10.927</x:v>
      </x:c>
      <x:c r="AJ57" s="18" t="n">
        <x:f>'两日价格与决策'!AJ57</x:f>
        <x:v>0</x:v>
      </x:c>
      <x:c r="AK57" s="18" t="str">
        <x:f>'两日价格与决策'!AK57</x:f>
        <x:v>缺失</x:v>
      </x:c>
      <x:c r="AL57" s="18" t="n">
        <x:f>'两日价格与决策'!AL57</x:f>
        <x:v>0</x:v>
      </x:c>
      <x:c r="AM57" s="18" t="n">
        <x:f>'两日价格与决策'!AM57</x:f>
        <x:v>0</x:v>
      </x:c>
      <x:c r="AN57" s="18" t="n">
        <x:f>'两日价格与决策'!AN57</x:f>
        <x:v>0</x:v>
      </x:c>
      <x:c r="AO57" s="18" t="n">
        <x:f>'两日价格与决策'!AO57</x:f>
        <x:v>10</x:v>
      </x:c>
      <x:c r="AP57" s="18" t="n">
        <x:f>'两日价格与决策'!AP57</x:f>
        <x:v>0</x:v>
      </x:c>
      <x:c r="AQ57" s="18" t="n">
        <x:f>'两日价格与决策'!AQ57</x:f>
        <x:v>4.9741</x:v>
      </x:c>
      <x:c r="AR57" s="21" t="n">
        <x:f>'两日价格与决策'!AR57</x:f>
        <x:v>45657</x:v>
      </x:c>
      <x:c r="AS57" s="17" t="n">
        <x:f>'两日价格与决策'!AS57</x:f>
        <x:v>45658.4375</x:v>
      </x:c>
      <x:c r="AT57" s="18" t="str">
        <x:f>'两日价格与决策'!AT57</x:f>
        <x:v>2025-01-01_12</x:v>
      </x:c>
      <x:c r="AU57" s="19" t="n">
        <x:f>'两日价格与决策'!AU57</x:f>
        <x:v>60</x:v>
      </x:c>
      <x:c r="AV57" s="18" t="str">
        <x:f>'两日价格与决策'!AV57</x:f>
        <x:v>OK</x:v>
      </x:c>
    </x:row>
    <x:row r="58" ht="21" customHeight="1">
      <x:c r="A58" s="17" t="n">
        <x:f>'两日价格与决策'!A58</x:f>
        <x:v>45658.53125</x:v>
      </x:c>
      <x:c r="B58" s="23" t="n">
        <x:f>'两日价格与决策'!B58</x:f>
        <x:v>32.8</x:v>
      </x:c>
      <x:c r="C58" s="23" t="str">
        <x:f>'两日价格与决策'!C58</x:f>
        <x:v>缺失</x:v>
      </x:c>
      <x:c r="D58" s="23" t="n">
        <x:f>'两日价格与决策'!D58</x:f>
        <x:v>13.71102309965622</x:v>
      </x:c>
      <x:c r="E58" s="23" t="n">
        <x:f>'两日价格与决策'!E58</x:f>
        <x:v>14.710198829939085</x:v>
      </x:c>
      <x:c r="F58" s="23" t="n">
        <x:f>'两日价格与决策'!F58</x:f>
        <x:v>123.28662471602904</x:v>
      </x:c>
      <x:c r="G58" s="23" t="n">
        <x:f>'两日价格与决策'!G58</x:f>
        <x:v>0</x:v>
      </x:c>
      <x:c r="H58" s="23" t="str">
        <x:f>'两日价格与决策'!H58</x:f>
        <x:v>未模拟</x:v>
      </x:c>
      <x:c r="I58" s="24" t="n">
        <x:f>'两日价格与决策'!I58</x:f>
        <x:v>10</x:v>
      </x:c>
      <x:c r="J58" s="24" t="n">
        <x:f>'两日价格与决策'!J58</x:f>
        <x:v>10</x:v>
      </x:c>
      <x:c r="K58" s="24" t="n">
        <x:f>'两日价格与决策'!K58</x:f>
        <x:v>0</x:v>
      </x:c>
      <x:c r="L58" s="24" t="n">
        <x:f>'两日价格与决策'!L58</x:f>
        <x:v>0</x:v>
      </x:c>
      <x:c r="M58" s="24" t="n">
        <x:f>'两日价格与决策'!M58</x:f>
        <x:v>0</x:v>
      </x:c>
      <x:c r="N58" s="24" t="n">
        <x:f>'两日价格与决策'!N58</x:f>
        <x:v>0</x:v>
      </x:c>
      <x:c r="O58" s="24" t="n">
        <x:f>'两日价格与决策'!O58</x:f>
        <x:v>0</x:v>
      </x:c>
      <x:c r="P58" s="24" t="n">
        <x:f>'两日价格与决策'!P58</x:f>
        <x:v>0</x:v>
      </x:c>
      <x:c r="Q58" s="25" t="n">
        <x:f>'两日价格与决策'!Q58</x:f>
        <x:v>0</x:v>
      </x:c>
      <x:c r="R58" s="25" t="n">
        <x:f>'两日价格与决策'!R58</x:f>
        <x:v>0</x:v>
      </x:c>
      <x:c r="S58" s="25" t="n">
        <x:f>'两日价格与决策'!S58</x:f>
        <x:v>0</x:v>
      </x:c>
      <x:c r="T58" s="25" t="n">
        <x:f>'两日价格与决策'!T58</x:f>
        <x:v>0</x:v>
      </x:c>
      <x:c r="U58" s="25" t="n">
        <x:f>'两日价格与决策'!U58</x:f>
        <x:v>0</x:v>
      </x:c>
      <x:c r="V58" s="25" t="n">
        <x:f>'两日价格与决策'!V58</x:f>
        <x:v>0</x:v>
      </x:c>
      <x:c r="W58" s="25" t="n">
        <x:f>'两日价格与决策'!W58</x:f>
        <x:v>0</x:v>
      </x:c>
      <x:c r="X58" s="18" t="n">
        <x:f>'两日价格与决策'!X58</x:f>
        <x:v>0</x:v>
      </x:c>
      <x:c r="Y58" s="18" t="n">
        <x:f>'两日价格与决策'!Y58</x:f>
        <x:v>0</x:v>
      </x:c>
      <x:c r="Z58" s="18" t="str">
        <x:f>'两日价格与决策'!Z58</x:f>
        <x:v>1月1日执行｜初始化零订单</x:v>
      </x:c>
      <x:c r="AA58" s="19" t="n">
        <x:f>'两日价格与决策'!AA58</x:f>
        <x:v>1</x:v>
      </x:c>
      <x:c r="AB58" s="19" t="n">
        <x:f>'两日价格与决策'!AB58</x:f>
        <x:v>0</x:v>
      </x:c>
      <x:c r="AC58" s="18" t="n">
        <x:f>'两日价格与决策'!AC58</x:f>
        <x:v>0.25</x:v>
      </x:c>
      <x:c r="AD58" s="20" t="n">
        <x:f>'两日价格与决策'!AD58</x:f>
        <x:v>1</x:v>
      </x:c>
      <x:c r="AE58" s="20" t="n">
        <x:f>'两日价格与决策'!AE58</x:f>
        <x:v>0.15088</x:v>
      </x:c>
      <x:c r="AF58" s="20" t="n">
        <x:f>'两日价格与决策'!AF58</x:f>
        <x:v>0</x:v>
      </x:c>
      <x:c r="AG58" s="18" t="n">
        <x:f>'两日价格与决策'!AG58</x:f>
        <x:v>200</x:v>
      </x:c>
      <x:c r="AH58" s="18" t="n">
        <x:f>'两日价格与决策'!AH58</x:f>
        <x:v>200</x:v>
      </x:c>
      <x:c r="AI58" s="18" t="n">
        <x:f>'两日价格与决策'!AI58</x:f>
        <x:v>7.544</x:v>
      </x:c>
      <x:c r="AJ58" s="18" t="n">
        <x:f>'两日价格与决策'!AJ58</x:f>
        <x:v>0</x:v>
      </x:c>
      <x:c r="AK58" s="18" t="str">
        <x:f>'两日价格与决策'!AK58</x:f>
        <x:v>缺失</x:v>
      </x:c>
      <x:c r="AL58" s="18" t="n">
        <x:f>'两日价格与决策'!AL58</x:f>
        <x:v>0</x:v>
      </x:c>
      <x:c r="AM58" s="18" t="n">
        <x:f>'两日价格与决策'!AM58</x:f>
        <x:v>0</x:v>
      </x:c>
      <x:c r="AN58" s="18" t="n">
        <x:f>'两日价格与决策'!AN58</x:f>
        <x:v>0</x:v>
      </x:c>
      <x:c r="AO58" s="18" t="n">
        <x:f>'两日价格与决策'!AO58</x:f>
        <x:v>10</x:v>
      </x:c>
      <x:c r="AP58" s="18" t="n">
        <x:f>'两日价格与决策'!AP58</x:f>
        <x:v>0</x:v>
      </x:c>
      <x:c r="AQ58" s="18" t="n">
        <x:f>'两日价格与决策'!AQ58</x:f>
        <x:v>4.9741</x:v>
      </x:c>
      <x:c r="AR58" s="21" t="n">
        <x:f>'两日价格与决策'!AR58</x:f>
        <x:v>45657</x:v>
      </x:c>
      <x:c r="AS58" s="17" t="n">
        <x:f>'两日价格与决策'!AS58</x:f>
        <x:v>45658.447916666664</x:v>
      </x:c>
      <x:c r="AT58" s="18" t="str">
        <x:f>'两日价格与决策'!AT58</x:f>
        <x:v>2025-01-01_12</x:v>
      </x:c>
      <x:c r="AU58" s="19" t="n">
        <x:f>'两日价格与决策'!AU58</x:f>
        <x:v>60</x:v>
      </x:c>
      <x:c r="AV58" s="18" t="str">
        <x:f>'两日价格与决策'!AV58</x:f>
        <x:v>OK</x:v>
      </x:c>
    </x:row>
    <x:row r="59" ht="21" customHeight="1">
      <x:c r="A59" s="17" t="n">
        <x:f>'两日价格与决策'!A59</x:f>
        <x:v>45658.541666666664</x:v>
      </x:c>
      <x:c r="B59" s="23" t="n">
        <x:f>'两日价格与决策'!B59</x:f>
        <x:v>36.56</x:v>
      </x:c>
      <x:c r="C59" s="23" t="str">
        <x:f>'两日价格与决策'!C59</x:f>
        <x:v>缺失</x:v>
      </x:c>
      <x:c r="D59" s="23" t="n">
        <x:f>'两日价格与决策'!D59</x:f>
        <x:v>13.71102309965622</x:v>
      </x:c>
      <x:c r="E59" s="23" t="n">
        <x:f>'两日价格与决策'!E59</x:f>
        <x:v>14.710198829939085</x:v>
      </x:c>
      <x:c r="F59" s="23" t="n">
        <x:f>'两日价格与决策'!F59</x:f>
        <x:v>127.04207796385275</x:v>
      </x:c>
      <x:c r="G59" s="23" t="n">
        <x:f>'两日价格与决策'!G59</x:f>
        <x:v>57.06318731026719</x:v>
      </x:c>
      <x:c r="H59" s="23" t="str">
        <x:f>'两日价格与决策'!H59</x:f>
        <x:v>未模拟</x:v>
      </x:c>
      <x:c r="I59" s="24" t="n">
        <x:f>'两日价格与决策'!I59</x:f>
        <x:v>10</x:v>
      </x:c>
      <x:c r="J59" s="24" t="n">
        <x:f>'两日价格与决策'!J59</x:f>
        <x:v>10</x:v>
      </x:c>
      <x:c r="K59" s="24" t="n">
        <x:f>'两日价格与决策'!K59</x:f>
        <x:v>0</x:v>
      </x:c>
      <x:c r="L59" s="24" t="n">
        <x:f>'两日价格与决策'!L59</x:f>
        <x:v>0</x:v>
      </x:c>
      <x:c r="M59" s="24" t="n">
        <x:f>'两日价格与决策'!M59</x:f>
        <x:v>0</x:v>
      </x:c>
      <x:c r="N59" s="24" t="n">
        <x:f>'两日价格与决策'!N59</x:f>
        <x:v>0</x:v>
      </x:c>
      <x:c r="O59" s="24" t="n">
        <x:f>'两日价格与决策'!O59</x:f>
        <x:v>0</x:v>
      </x:c>
      <x:c r="P59" s="24" t="n">
        <x:f>'两日价格与决策'!P59</x:f>
        <x:v>0</x:v>
      </x:c>
      <x:c r="Q59" s="25" t="n">
        <x:f>'两日价格与决策'!Q59</x:f>
        <x:v>0</x:v>
      </x:c>
      <x:c r="R59" s="25" t="n">
        <x:f>'两日价格与决策'!R59</x:f>
        <x:v>0</x:v>
      </x:c>
      <x:c r="S59" s="25" t="n">
        <x:f>'两日价格与决策'!S59</x:f>
        <x:v>0</x:v>
      </x:c>
      <x:c r="T59" s="25" t="n">
        <x:f>'两日价格与决策'!T59</x:f>
        <x:v>0</x:v>
      </x:c>
      <x:c r="U59" s="25" t="n">
        <x:f>'两日价格与决策'!U59</x:f>
        <x:v>0</x:v>
      </x:c>
      <x:c r="V59" s="25" t="n">
        <x:f>'两日价格与决策'!V59</x:f>
        <x:v>0</x:v>
      </x:c>
      <x:c r="W59" s="25" t="n">
        <x:f>'两日价格与决策'!W59</x:f>
        <x:v>0</x:v>
      </x:c>
      <x:c r="X59" s="18" t="n">
        <x:f>'两日价格与决策'!X59</x:f>
        <x:v>0</x:v>
      </x:c>
      <x:c r="Y59" s="18" t="n">
        <x:f>'两日价格与决策'!Y59</x:f>
        <x:v>0</x:v>
      </x:c>
      <x:c r="Z59" s="18" t="str">
        <x:f>'两日价格与决策'!Z59</x:f>
        <x:v>1月1日执行｜初始化零订单</x:v>
      </x:c>
      <x:c r="AA59" s="19" t="n">
        <x:f>'两日价格与决策'!AA59</x:f>
        <x:v>1</x:v>
      </x:c>
      <x:c r="AB59" s="19" t="n">
        <x:f>'两日价格与决策'!AB59</x:f>
        <x:v>0</x:v>
      </x:c>
      <x:c r="AC59" s="18" t="n">
        <x:f>'两日价格与决策'!AC59</x:f>
        <x:v>0.25</x:v>
      </x:c>
      <x:c r="AD59" s="20" t="n">
        <x:f>'两日价格与决策'!AD59</x:f>
        <x:v>1</x:v>
      </x:c>
      <x:c r="AE59" s="20" t="n">
        <x:f>'两日价格与决策'!AE59</x:f>
        <x:v>0.0087</x:v>
      </x:c>
      <x:c r="AF59" s="20" t="n">
        <x:f>'两日价格与决策'!AF59</x:f>
        <x:v>0.0042</x:v>
      </x:c>
      <x:c r="AG59" s="18" t="n">
        <x:f>'两日价格与决策'!AG59</x:f>
        <x:v>200</x:v>
      </x:c>
      <x:c r="AH59" s="18" t="n">
        <x:f>'两日价格与决策'!AH59</x:f>
        <x:v>200</x:v>
      </x:c>
      <x:c r="AI59" s="18" t="n">
        <x:f>'两日价格与决策'!AI59</x:f>
        <x:v>0.435</x:v>
      </x:c>
      <x:c r="AJ59" s="18" t="n">
        <x:f>'两日价格与决策'!AJ59</x:f>
        <x:v>0.21</x:v>
      </x:c>
      <x:c r="AK59" s="18" t="str">
        <x:f>'两日价格与决策'!AK59</x:f>
        <x:v>缺失</x:v>
      </x:c>
      <x:c r="AL59" s="18" t="n">
        <x:f>'两日价格与决策'!AL59</x:f>
        <x:v>0</x:v>
      </x:c>
      <x:c r="AM59" s="18" t="n">
        <x:f>'两日价格与决策'!AM59</x:f>
        <x:v>0</x:v>
      </x:c>
      <x:c r="AN59" s="18" t="n">
        <x:f>'两日价格与决策'!AN59</x:f>
        <x:v>0</x:v>
      </x:c>
      <x:c r="AO59" s="18" t="n">
        <x:f>'两日价格与决策'!AO59</x:f>
        <x:v>10</x:v>
      </x:c>
      <x:c r="AP59" s="18" t="n">
        <x:f>'两日价格与决策'!AP59</x:f>
        <x:v>0</x:v>
      </x:c>
      <x:c r="AQ59" s="18" t="n">
        <x:f>'两日价格与决策'!AQ59</x:f>
        <x:v>4.9741</x:v>
      </x:c>
      <x:c r="AR59" s="21" t="n">
        <x:f>'两日价格与决策'!AR59</x:f>
        <x:v>45657</x:v>
      </x:c>
      <x:c r="AS59" s="17" t="n">
        <x:f>'两日价格与决策'!AS59</x:f>
        <x:v>45658.458333333336</x:v>
      </x:c>
      <x:c r="AT59" s="18" t="str">
        <x:f>'两日价格与决策'!AT59</x:f>
        <x:v>2025-01-01_13</x:v>
      </x:c>
      <x:c r="AU59" s="19" t="n">
        <x:f>'两日价格与决策'!AU59</x:f>
        <x:v>60</x:v>
      </x:c>
      <x:c r="AV59" s="18" t="str">
        <x:f>'两日价格与决策'!AV59</x:f>
        <x:v>OK</x:v>
      </x:c>
    </x:row>
    <x:row r="60" ht="21" customHeight="1">
      <x:c r="A60" s="17" t="n">
        <x:f>'两日价格与决策'!A60</x:f>
        <x:v>45658.552083333336</x:v>
      </x:c>
      <x:c r="B60" s="23" t="n">
        <x:f>'两日价格与决策'!B60</x:f>
        <x:v>36.56</x:v>
      </x:c>
      <x:c r="C60" s="23" t="str">
        <x:f>'两日价格与决策'!C60</x:f>
        <x:v>缺失</x:v>
      </x:c>
      <x:c r="D60" s="23" t="n">
        <x:f>'两日价格与决策'!D60</x:f>
        <x:v>13.71102309965622</x:v>
      </x:c>
      <x:c r="E60" s="23" t="n">
        <x:f>'两日价格与决策'!E60</x:f>
        <x:v>14.710198829939085</x:v>
      </x:c>
      <x:c r="F60" s="23" t="n">
        <x:f>'两日价格与决策'!F60</x:f>
        <x:v>0</x:v>
      </x:c>
      <x:c r="G60" s="23" t="n">
        <x:f>'两日价格与决策'!G60</x:f>
        <x:v>28.282704408837784</x:v>
      </x:c>
      <x:c r="H60" s="23" t="str">
        <x:f>'两日价格与决策'!H60</x:f>
        <x:v>未模拟</x:v>
      </x:c>
      <x:c r="I60" s="24" t="n">
        <x:f>'两日价格与决策'!I60</x:f>
        <x:v>10</x:v>
      </x:c>
      <x:c r="J60" s="24" t="n">
        <x:f>'两日价格与决策'!J60</x:f>
        <x:v>10</x:v>
      </x:c>
      <x:c r="K60" s="24" t="n">
        <x:f>'两日价格与决策'!K60</x:f>
        <x:v>0</x:v>
      </x:c>
      <x:c r="L60" s="24" t="n">
        <x:f>'两日价格与决策'!L60</x:f>
        <x:v>0</x:v>
      </x:c>
      <x:c r="M60" s="24" t="n">
        <x:f>'两日价格与决策'!M60</x:f>
        <x:v>0</x:v>
      </x:c>
      <x:c r="N60" s="24" t="n">
        <x:f>'两日价格与决策'!N60</x:f>
        <x:v>0</x:v>
      </x:c>
      <x:c r="O60" s="24" t="n">
        <x:f>'两日价格与决策'!O60</x:f>
        <x:v>0</x:v>
      </x:c>
      <x:c r="P60" s="24" t="n">
        <x:f>'两日价格与决策'!P60</x:f>
        <x:v>0</x:v>
      </x:c>
      <x:c r="Q60" s="25" t="n">
        <x:f>'两日价格与决策'!Q60</x:f>
        <x:v>0</x:v>
      </x:c>
      <x:c r="R60" s="25" t="n">
        <x:f>'两日价格与决策'!R60</x:f>
        <x:v>0</x:v>
      </x:c>
      <x:c r="S60" s="25" t="n">
        <x:f>'两日价格与决策'!S60</x:f>
        <x:v>0</x:v>
      </x:c>
      <x:c r="T60" s="25" t="n">
        <x:f>'两日价格与决策'!T60</x:f>
        <x:v>0</x:v>
      </x:c>
      <x:c r="U60" s="25" t="n">
        <x:f>'两日价格与决策'!U60</x:f>
        <x:v>0</x:v>
      </x:c>
      <x:c r="V60" s="25" t="n">
        <x:f>'两日价格与决策'!V60</x:f>
        <x:v>0</x:v>
      </x:c>
      <x:c r="W60" s="25" t="n">
        <x:f>'两日价格与决策'!W60</x:f>
        <x:v>0</x:v>
      </x:c>
      <x:c r="X60" s="18" t="n">
        <x:f>'两日价格与决策'!X60</x:f>
        <x:v>0</x:v>
      </x:c>
      <x:c r="Y60" s="18" t="n">
        <x:f>'两日价格与决策'!Y60</x:f>
        <x:v>0</x:v>
      </x:c>
      <x:c r="Z60" s="18" t="str">
        <x:f>'两日价格与决策'!Z60</x:f>
        <x:v>1月1日执行｜初始化零订单</x:v>
      </x:c>
      <x:c r="AA60" s="19" t="n">
        <x:f>'两日价格与决策'!AA60</x:f>
        <x:v>1</x:v>
      </x:c>
      <x:c r="AB60" s="19" t="n">
        <x:f>'两日价格与决策'!AB60</x:f>
        <x:v>0</x:v>
      </x:c>
      <x:c r="AC60" s="18" t="n">
        <x:f>'两日价格与决策'!AC60</x:f>
        <x:v>0.25</x:v>
      </x:c>
      <x:c r="AD60" s="20" t="n">
        <x:f>'两日价格与决策'!AD60</x:f>
        <x:v>1</x:v>
      </x:c>
      <x:c r="AE60" s="20" t="n">
        <x:f>'两日价格与决策'!AE60</x:f>
        <x:v>0</x:v>
      </x:c>
      <x:c r="AF60" s="20" t="n">
        <x:f>'两日价格与决策'!AF60</x:f>
        <x:v>0.057</x:v>
      </x:c>
      <x:c r="AG60" s="18" t="n">
        <x:f>'两日价格与决策'!AG60</x:f>
        <x:v>200</x:v>
      </x:c>
      <x:c r="AH60" s="18" t="n">
        <x:f>'两日价格与决策'!AH60</x:f>
        <x:v>200</x:v>
      </x:c>
      <x:c r="AI60" s="18" t="n">
        <x:f>'两日价格与决策'!AI60</x:f>
        <x:v>0</x:v>
      </x:c>
      <x:c r="AJ60" s="18" t="n">
        <x:f>'两日价格与决策'!AJ60</x:f>
        <x:v>2.85</x:v>
      </x:c>
      <x:c r="AK60" s="18" t="str">
        <x:f>'两日价格与决策'!AK60</x:f>
        <x:v>缺失</x:v>
      </x:c>
      <x:c r="AL60" s="18" t="n">
        <x:f>'两日价格与决策'!AL60</x:f>
        <x:v>0</x:v>
      </x:c>
      <x:c r="AM60" s="18" t="n">
        <x:f>'两日价格与决策'!AM60</x:f>
        <x:v>0</x:v>
      </x:c>
      <x:c r="AN60" s="18" t="n">
        <x:f>'两日价格与决策'!AN60</x:f>
        <x:v>0</x:v>
      </x:c>
      <x:c r="AO60" s="18" t="n">
        <x:f>'两日价格与决策'!AO60</x:f>
        <x:v>10</x:v>
      </x:c>
      <x:c r="AP60" s="18" t="n">
        <x:f>'两日价格与决策'!AP60</x:f>
        <x:v>0</x:v>
      </x:c>
      <x:c r="AQ60" s="18" t="n">
        <x:f>'两日价格与决策'!AQ60</x:f>
        <x:v>4.9741</x:v>
      </x:c>
      <x:c r="AR60" s="21" t="n">
        <x:f>'两日价格与决策'!AR60</x:f>
        <x:v>45657</x:v>
      </x:c>
      <x:c r="AS60" s="17" t="n">
        <x:f>'两日价格与决策'!AS60</x:f>
        <x:v>45658.46875</x:v>
      </x:c>
      <x:c r="AT60" s="18" t="str">
        <x:f>'两日价格与决策'!AT60</x:f>
        <x:v>2025-01-01_13</x:v>
      </x:c>
      <x:c r="AU60" s="19" t="n">
        <x:f>'两日价格与决策'!AU60</x:f>
        <x:v>60</x:v>
      </x:c>
      <x:c r="AV60" s="18" t="str">
        <x:f>'两日价格与决策'!AV60</x:f>
        <x:v>OK</x:v>
      </x:c>
    </x:row>
    <x:row r="61" ht="21" customHeight="1">
      <x:c r="A61" s="17" t="n">
        <x:f>'两日价格与决策'!A61</x:f>
        <x:v>45658.5625</x:v>
      </x:c>
      <x:c r="B61" s="23" t="n">
        <x:f>'两日价格与决策'!B61</x:f>
        <x:v>36.56</x:v>
      </x:c>
      <x:c r="C61" s="23" t="str">
        <x:f>'两日价格与决策'!C61</x:f>
        <x:v>缺失</x:v>
      </x:c>
      <x:c r="D61" s="23" t="n">
        <x:f>'两日价格与决策'!D61</x:f>
        <x:v>13.71102309965622</x:v>
      </x:c>
      <x:c r="E61" s="23" t="n">
        <x:f>'两日价格与决策'!E61</x:f>
        <x:v>14.710198829939085</x:v>
      </x:c>
      <x:c r="F61" s="23" t="n">
        <x:f>'两日价格与决策'!F61</x:f>
        <x:v>0</x:v>
      </x:c>
      <x:c r="G61" s="23" t="n">
        <x:f>'两日价格与决策'!G61</x:f>
        <x:v>33.16479363100863</x:v>
      </x:c>
      <x:c r="H61" s="23" t="str">
        <x:f>'两日价格与决策'!H61</x:f>
        <x:v>未模拟</x:v>
      </x:c>
      <x:c r="I61" s="24" t="n">
        <x:f>'两日价格与决策'!I61</x:f>
        <x:v>10</x:v>
      </x:c>
      <x:c r="J61" s="24" t="n">
        <x:f>'两日价格与决策'!J61</x:f>
        <x:v>10</x:v>
      </x:c>
      <x:c r="K61" s="24" t="n">
        <x:f>'两日价格与决策'!K61</x:f>
        <x:v>0</x:v>
      </x:c>
      <x:c r="L61" s="24" t="n">
        <x:f>'两日价格与决策'!L61</x:f>
        <x:v>0</x:v>
      </x:c>
      <x:c r="M61" s="24" t="n">
        <x:f>'两日价格与决策'!M61</x:f>
        <x:v>0</x:v>
      </x:c>
      <x:c r="N61" s="24" t="n">
        <x:f>'两日价格与决策'!N61</x:f>
        <x:v>0</x:v>
      </x:c>
      <x:c r="O61" s="24" t="n">
        <x:f>'两日价格与决策'!O61</x:f>
        <x:v>0</x:v>
      </x:c>
      <x:c r="P61" s="24" t="n">
        <x:f>'两日价格与决策'!P61</x:f>
        <x:v>0</x:v>
      </x:c>
      <x:c r="Q61" s="25" t="n">
        <x:f>'两日价格与决策'!Q61</x:f>
        <x:v>0</x:v>
      </x:c>
      <x:c r="R61" s="25" t="n">
        <x:f>'两日价格与决策'!R61</x:f>
        <x:v>0</x:v>
      </x:c>
      <x:c r="S61" s="25" t="n">
        <x:f>'两日价格与决策'!S61</x:f>
        <x:v>0</x:v>
      </x:c>
      <x:c r="T61" s="25" t="n">
        <x:f>'两日价格与决策'!T61</x:f>
        <x:v>0</x:v>
      </x:c>
      <x:c r="U61" s="25" t="n">
        <x:f>'两日价格与决策'!U61</x:f>
        <x:v>0</x:v>
      </x:c>
      <x:c r="V61" s="25" t="n">
        <x:f>'两日价格与决策'!V61</x:f>
        <x:v>0</x:v>
      </x:c>
      <x:c r="W61" s="25" t="n">
        <x:f>'两日价格与决策'!W61</x:f>
        <x:v>0</x:v>
      </x:c>
      <x:c r="X61" s="18" t="n">
        <x:f>'两日价格与决策'!X61</x:f>
        <x:v>0</x:v>
      </x:c>
      <x:c r="Y61" s="18" t="n">
        <x:f>'两日价格与决策'!Y61</x:f>
        <x:v>0</x:v>
      </x:c>
      <x:c r="Z61" s="18" t="str">
        <x:f>'两日价格与决策'!Z61</x:f>
        <x:v>1月1日执行｜初始化零订单</x:v>
      </x:c>
      <x:c r="AA61" s="19" t="n">
        <x:f>'两日价格与决策'!AA61</x:f>
        <x:v>1</x:v>
      </x:c>
      <x:c r="AB61" s="19" t="n">
        <x:f>'两日价格与决策'!AB61</x:f>
        <x:v>0</x:v>
      </x:c>
      <x:c r="AC61" s="18" t="n">
        <x:f>'两日价格与决策'!AC61</x:f>
        <x:v>0.25</x:v>
      </x:c>
      <x:c r="AD61" s="20" t="n">
        <x:f>'两日价格与决策'!AD61</x:f>
        <x:v>1</x:v>
      </x:c>
      <x:c r="AE61" s="20" t="n">
        <x:f>'两日价格与决策'!AE61</x:f>
        <x:v>0</x:v>
      </x:c>
      <x:c r="AF61" s="20" t="n">
        <x:f>'两日价格与决策'!AF61</x:f>
        <x:v>0.042480000000000004</x:v>
      </x:c>
      <x:c r="AG61" s="18" t="n">
        <x:f>'两日价格与决策'!AG61</x:f>
        <x:v>200</x:v>
      </x:c>
      <x:c r="AH61" s="18" t="n">
        <x:f>'两日价格与决策'!AH61</x:f>
        <x:v>200</x:v>
      </x:c>
      <x:c r="AI61" s="18" t="n">
        <x:f>'两日价格与决策'!AI61</x:f>
        <x:v>0</x:v>
      </x:c>
      <x:c r="AJ61" s="18" t="n">
        <x:f>'两日价格与决策'!AJ61</x:f>
        <x:v>2.124</x:v>
      </x:c>
      <x:c r="AK61" s="18" t="str">
        <x:f>'两日价格与决策'!AK61</x:f>
        <x:v>缺失</x:v>
      </x:c>
      <x:c r="AL61" s="18" t="n">
        <x:f>'两日价格与决策'!AL61</x:f>
        <x:v>0</x:v>
      </x:c>
      <x:c r="AM61" s="18" t="n">
        <x:f>'两日价格与决策'!AM61</x:f>
        <x:v>0</x:v>
      </x:c>
      <x:c r="AN61" s="18" t="n">
        <x:f>'两日价格与决策'!AN61</x:f>
        <x:v>0</x:v>
      </x:c>
      <x:c r="AO61" s="18" t="n">
        <x:f>'两日价格与决策'!AO61</x:f>
        <x:v>10</x:v>
      </x:c>
      <x:c r="AP61" s="18" t="n">
        <x:f>'两日价格与决策'!AP61</x:f>
        <x:v>0</x:v>
      </x:c>
      <x:c r="AQ61" s="18" t="n">
        <x:f>'两日价格与决策'!AQ61</x:f>
        <x:v>4.9741</x:v>
      </x:c>
      <x:c r="AR61" s="21" t="n">
        <x:f>'两日价格与决策'!AR61</x:f>
        <x:v>45657</x:v>
      </x:c>
      <x:c r="AS61" s="17" t="n">
        <x:f>'两日价格与决策'!AS61</x:f>
        <x:v>45658.479166666664</x:v>
      </x:c>
      <x:c r="AT61" s="18" t="str">
        <x:f>'两日价格与决策'!AT61</x:f>
        <x:v>2025-01-01_13</x:v>
      </x:c>
      <x:c r="AU61" s="19" t="n">
        <x:f>'两日价格与决策'!AU61</x:f>
        <x:v>60</x:v>
      </x:c>
      <x:c r="AV61" s="18" t="str">
        <x:f>'两日价格与决策'!AV61</x:f>
        <x:v>OK</x:v>
      </x:c>
    </x:row>
    <x:row r="62" ht="21" customHeight="1">
      <x:c r="A62" s="17" t="n">
        <x:f>'两日价格与决策'!A62</x:f>
        <x:v>45658.572916666664</x:v>
      </x:c>
      <x:c r="B62" s="23" t="n">
        <x:f>'两日价格与决策'!B62</x:f>
        <x:v>36.56</x:v>
      </x:c>
      <x:c r="C62" s="23" t="str">
        <x:f>'两日价格与决策'!C62</x:f>
        <x:v>缺失</x:v>
      </x:c>
      <x:c r="D62" s="23" t="n">
        <x:f>'两日价格与决策'!D62</x:f>
        <x:v>13.71102309965622</x:v>
      </x:c>
      <x:c r="E62" s="23" t="n">
        <x:f>'两日价格与决策'!E62</x:f>
        <x:v>14.710198829939085</x:v>
      </x:c>
      <x:c r="F62" s="23" t="n">
        <x:f>'两日价格与决策'!F62</x:f>
        <x:v>127.04207796385275</x:v>
      </x:c>
      <x:c r="G62" s="23" t="n">
        <x:f>'两日价格与决策'!G62</x:f>
        <x:v>23.212842524275747</x:v>
      </x:c>
      <x:c r="H62" s="23" t="str">
        <x:f>'两日价格与决策'!H62</x:f>
        <x:v>未模拟</x:v>
      </x:c>
      <x:c r="I62" s="24" t="n">
        <x:f>'两日价格与决策'!I62</x:f>
        <x:v>10</x:v>
      </x:c>
      <x:c r="J62" s="24" t="n">
        <x:f>'两日价格与决策'!J62</x:f>
        <x:v>10</x:v>
      </x:c>
      <x:c r="K62" s="24" t="n">
        <x:f>'两日价格与决策'!K62</x:f>
        <x:v>0</x:v>
      </x:c>
      <x:c r="L62" s="24" t="n">
        <x:f>'两日价格与决策'!L62</x:f>
        <x:v>0</x:v>
      </x:c>
      <x:c r="M62" s="24" t="n">
        <x:f>'两日价格与决策'!M62</x:f>
        <x:v>0</x:v>
      </x:c>
      <x:c r="N62" s="24" t="n">
        <x:f>'两日价格与决策'!N62</x:f>
        <x:v>0</x:v>
      </x:c>
      <x:c r="O62" s="24" t="n">
        <x:f>'两日价格与决策'!O62</x:f>
        <x:v>0</x:v>
      </x:c>
      <x:c r="P62" s="24" t="n">
        <x:f>'两日价格与决策'!P62</x:f>
        <x:v>0</x:v>
      </x:c>
      <x:c r="Q62" s="25" t="n">
        <x:f>'两日价格与决策'!Q62</x:f>
        <x:v>0</x:v>
      </x:c>
      <x:c r="R62" s="25" t="n">
        <x:f>'两日价格与决策'!R62</x:f>
        <x:v>0</x:v>
      </x:c>
      <x:c r="S62" s="25" t="n">
        <x:f>'两日价格与决策'!S62</x:f>
        <x:v>0</x:v>
      </x:c>
      <x:c r="T62" s="25" t="n">
        <x:f>'两日价格与决策'!T62</x:f>
        <x:v>0</x:v>
      </x:c>
      <x:c r="U62" s="25" t="n">
        <x:f>'两日价格与决策'!U62</x:f>
        <x:v>0</x:v>
      </x:c>
      <x:c r="V62" s="25" t="n">
        <x:f>'两日价格与决策'!V62</x:f>
        <x:v>0</x:v>
      </x:c>
      <x:c r="W62" s="25" t="n">
        <x:f>'两日价格与决策'!W62</x:f>
        <x:v>0</x:v>
      </x:c>
      <x:c r="X62" s="18" t="n">
        <x:f>'两日价格与决策'!X62</x:f>
        <x:v>0</x:v>
      </x:c>
      <x:c r="Y62" s="18" t="n">
        <x:f>'两日价格与决策'!Y62</x:f>
        <x:v>0</x:v>
      </x:c>
      <x:c r="Z62" s="18" t="str">
        <x:f>'两日价格与决策'!Z62</x:f>
        <x:v>1月1日执行｜初始化零订单</x:v>
      </x:c>
      <x:c r="AA62" s="19" t="n">
        <x:f>'两日价格与决策'!AA62</x:f>
        <x:v>1</x:v>
      </x:c>
      <x:c r="AB62" s="19" t="n">
        <x:f>'两日价格与决策'!AB62</x:f>
        <x:v>0</x:v>
      </x:c>
      <x:c r="AC62" s="18" t="n">
        <x:f>'两日价格与决策'!AC62</x:f>
        <x:v>0.25</x:v>
      </x:c>
      <x:c r="AD62" s="20" t="n">
        <x:f>'两日价格与决策'!AD62</x:f>
        <x:v>1</x:v>
      </x:c>
      <x:c r="AE62" s="20" t="n">
        <x:f>'两日价格与决策'!AE62</x:f>
        <x:v>0.00012</x:v>
      </x:c>
      <x:c r="AF62" s="20" t="n">
        <x:f>'两日价格与决策'!AF62</x:f>
        <x:v>0.05836</x:v>
      </x:c>
      <x:c r="AG62" s="18" t="n">
        <x:f>'两日价格与决策'!AG62</x:f>
        <x:v>200</x:v>
      </x:c>
      <x:c r="AH62" s="18" t="n">
        <x:f>'两日价格与决策'!AH62</x:f>
        <x:v>200</x:v>
      </x:c>
      <x:c r="AI62" s="18" t="n">
        <x:f>'两日价格与决策'!AI62</x:f>
        <x:v>0.006</x:v>
      </x:c>
      <x:c r="AJ62" s="18" t="n">
        <x:f>'两日价格与决策'!AJ62</x:f>
        <x:v>2.918</x:v>
      </x:c>
      <x:c r="AK62" s="18" t="str">
        <x:f>'两日价格与决策'!AK62</x:f>
        <x:v>缺失</x:v>
      </x:c>
      <x:c r="AL62" s="18" t="n">
        <x:f>'两日价格与决策'!AL62</x:f>
        <x:v>0</x:v>
      </x:c>
      <x:c r="AM62" s="18" t="n">
        <x:f>'两日价格与决策'!AM62</x:f>
        <x:v>0</x:v>
      </x:c>
      <x:c r="AN62" s="18" t="n">
        <x:f>'两日价格与决策'!AN62</x:f>
        <x:v>0</x:v>
      </x:c>
      <x:c r="AO62" s="18" t="n">
        <x:f>'两日价格与决策'!AO62</x:f>
        <x:v>10</x:v>
      </x:c>
      <x:c r="AP62" s="18" t="n">
        <x:f>'两日价格与决策'!AP62</x:f>
        <x:v>0</x:v>
      </x:c>
      <x:c r="AQ62" s="18" t="n">
        <x:f>'两日价格与决策'!AQ62</x:f>
        <x:v>4.9741</x:v>
      </x:c>
      <x:c r="AR62" s="21" t="n">
        <x:f>'两日价格与决策'!AR62</x:f>
        <x:v>45657</x:v>
      </x:c>
      <x:c r="AS62" s="17" t="n">
        <x:f>'两日价格与决策'!AS62</x:f>
        <x:v>45658.489583333336</x:v>
      </x:c>
      <x:c r="AT62" s="18" t="str">
        <x:f>'两日价格与决策'!AT62</x:f>
        <x:v>2025-01-01_13</x:v>
      </x:c>
      <x:c r="AU62" s="19" t="n">
        <x:f>'两日价格与决策'!AU62</x:f>
        <x:v>60</x:v>
      </x:c>
      <x:c r="AV62" s="18" t="str">
        <x:f>'两日价格与决策'!AV62</x:f>
        <x:v>OK</x:v>
      </x:c>
    </x:row>
    <x:row r="63" ht="21" customHeight="1">
      <x:c r="A63" s="17" t="n">
        <x:f>'两日价格与决策'!A63</x:f>
        <x:v>45658.583333333336</x:v>
      </x:c>
      <x:c r="B63" s="23" t="n">
        <x:f>'两日价格与决策'!B63</x:f>
        <x:v>53.17</x:v>
      </x:c>
      <x:c r="C63" s="23" t="str">
        <x:f>'两日价格与决策'!C63</x:f>
        <x:v>缺失</x:v>
      </x:c>
      <x:c r="D63" s="23" t="n">
        <x:f>'两日价格与决策'!D63</x:f>
        <x:v>13.71102309965622</x:v>
      </x:c>
      <x:c r="E63" s="23" t="n">
        <x:f>'两日价格与决策'!E63</x:f>
        <x:v>14.710198829939085</x:v>
      </x:c>
      <x:c r="F63" s="23" t="n">
        <x:f>'两日价格与决策'!F63</x:f>
        <x:v>0</x:v>
      </x:c>
      <x:c r="G63" s="23" t="n">
        <x:f>'两日价格与决策'!G63</x:f>
        <x:v>2.433002955308498</x:v>
      </x:c>
      <x:c r="H63" s="23" t="str">
        <x:f>'两日价格与决策'!H63</x:f>
        <x:v>未模拟</x:v>
      </x:c>
      <x:c r="I63" s="24" t="n">
        <x:f>'两日价格与决策'!I63</x:f>
        <x:v>10</x:v>
      </x:c>
      <x:c r="J63" s="24" t="n">
        <x:f>'两日价格与决策'!J63</x:f>
        <x:v>10</x:v>
      </x:c>
      <x:c r="K63" s="24" t="n">
        <x:f>'两日价格与决策'!K63</x:f>
        <x:v>0</x:v>
      </x:c>
      <x:c r="L63" s="24" t="n">
        <x:f>'两日价格与决策'!L63</x:f>
        <x:v>0</x:v>
      </x:c>
      <x:c r="M63" s="24" t="n">
        <x:f>'两日价格与决策'!M63</x:f>
        <x:v>0</x:v>
      </x:c>
      <x:c r="N63" s="24" t="n">
        <x:f>'两日价格与决策'!N63</x:f>
        <x:v>0</x:v>
      </x:c>
      <x:c r="O63" s="24" t="n">
        <x:f>'两日价格与决策'!O63</x:f>
        <x:v>0</x:v>
      </x:c>
      <x:c r="P63" s="24" t="n">
        <x:f>'两日价格与决策'!P63</x:f>
        <x:v>0</x:v>
      </x:c>
      <x:c r="Q63" s="25" t="n">
        <x:f>'两日价格与决策'!Q63</x:f>
        <x:v>0</x:v>
      </x:c>
      <x:c r="R63" s="25" t="n">
        <x:f>'两日价格与决策'!R63</x:f>
        <x:v>0</x:v>
      </x:c>
      <x:c r="S63" s="25" t="n">
        <x:f>'两日价格与决策'!S63</x:f>
        <x:v>0</x:v>
      </x:c>
      <x:c r="T63" s="25" t="n">
        <x:f>'两日价格与决策'!T63</x:f>
        <x:v>0</x:v>
      </x:c>
      <x:c r="U63" s="25" t="n">
        <x:f>'两日价格与决策'!U63</x:f>
        <x:v>0</x:v>
      </x:c>
      <x:c r="V63" s="25" t="n">
        <x:f>'两日价格与决策'!V63</x:f>
        <x:v>0</x:v>
      </x:c>
      <x:c r="W63" s="25" t="n">
        <x:f>'两日价格与决策'!W63</x:f>
        <x:v>0</x:v>
      </x:c>
      <x:c r="X63" s="18" t="n">
        <x:f>'两日价格与决策'!X63</x:f>
        <x:v>0</x:v>
      </x:c>
      <x:c r="Y63" s="18" t="n">
        <x:f>'两日价格与决策'!Y63</x:f>
        <x:v>0</x:v>
      </x:c>
      <x:c r="Z63" s="18" t="str">
        <x:f>'两日价格与决策'!Z63</x:f>
        <x:v>1月1日执行｜初始化零订单</x:v>
      </x:c>
      <x:c r="AA63" s="19" t="n">
        <x:f>'两日价格与决策'!AA63</x:f>
        <x:v>1</x:v>
      </x:c>
      <x:c r="AB63" s="19" t="n">
        <x:f>'两日价格与决策'!AB63</x:f>
        <x:v>0</x:v>
      </x:c>
      <x:c r="AC63" s="18" t="n">
        <x:f>'两日价格与决策'!AC63</x:f>
        <x:v>0.25</x:v>
      </x:c>
      <x:c r="AD63" s="20" t="n">
        <x:f>'两日价格与决策'!AD63</x:f>
        <x:v>1</x:v>
      </x:c>
      <x:c r="AE63" s="20" t="n">
        <x:f>'两日价格与决策'!AE63</x:f>
        <x:v>0</x:v>
      </x:c>
      <x:c r="AF63" s="20" t="n">
        <x:f>'两日价格与决策'!AF63</x:f>
        <x:v>0.40484000000000003</x:v>
      </x:c>
      <x:c r="AG63" s="18" t="n">
        <x:f>'两日价格与决策'!AG63</x:f>
        <x:v>200</x:v>
      </x:c>
      <x:c r="AH63" s="18" t="n">
        <x:f>'两日价格与决策'!AH63</x:f>
        <x:v>200</x:v>
      </x:c>
      <x:c r="AI63" s="18" t="n">
        <x:f>'两日价格与决策'!AI63</x:f>
        <x:v>0</x:v>
      </x:c>
      <x:c r="AJ63" s="18" t="n">
        <x:f>'两日价格与决策'!AJ63</x:f>
        <x:v>20.242</x:v>
      </x:c>
      <x:c r="AK63" s="18" t="str">
        <x:f>'两日价格与决策'!AK63</x:f>
        <x:v>缺失</x:v>
      </x:c>
      <x:c r="AL63" s="18" t="n">
        <x:f>'两日价格与决策'!AL63</x:f>
        <x:v>0</x:v>
      </x:c>
      <x:c r="AM63" s="18" t="n">
        <x:f>'两日价格与决策'!AM63</x:f>
        <x:v>0</x:v>
      </x:c>
      <x:c r="AN63" s="18" t="n">
        <x:f>'两日价格与决策'!AN63</x:f>
        <x:v>0</x:v>
      </x:c>
      <x:c r="AO63" s="18" t="n">
        <x:f>'两日价格与决策'!AO63</x:f>
        <x:v>10</x:v>
      </x:c>
      <x:c r="AP63" s="18" t="n">
        <x:f>'两日价格与决策'!AP63</x:f>
        <x:v>0</x:v>
      </x:c>
      <x:c r="AQ63" s="18" t="n">
        <x:f>'两日价格与决策'!AQ63</x:f>
        <x:v>4.9741</x:v>
      </x:c>
      <x:c r="AR63" s="21" t="n">
        <x:f>'两日价格与决策'!AR63</x:f>
        <x:v>45657</x:v>
      </x:c>
      <x:c r="AS63" s="17" t="n">
        <x:f>'两日价格与决策'!AS63</x:f>
        <x:v>45658.5</x:v>
      </x:c>
      <x:c r="AT63" s="18" t="str">
        <x:f>'两日价格与决策'!AT63</x:f>
        <x:v>2025-01-01_14</x:v>
      </x:c>
      <x:c r="AU63" s="19" t="n">
        <x:f>'两日价格与决策'!AU63</x:f>
        <x:v>60</x:v>
      </x:c>
      <x:c r="AV63" s="18" t="str">
        <x:f>'两日价格与决策'!AV63</x:f>
        <x:v>OK</x:v>
      </x:c>
    </x:row>
    <x:row r="64" ht="21" customHeight="1">
      <x:c r="A64" s="17" t="n">
        <x:f>'两日价格与决策'!A64</x:f>
        <x:v>45658.59375</x:v>
      </x:c>
      <x:c r="B64" s="23" t="n">
        <x:f>'两日价格与决策'!B64</x:f>
        <x:v>53.17</x:v>
      </x:c>
      <x:c r="C64" s="23" t="str">
        <x:f>'两日价格与决策'!C64</x:f>
        <x:v>缺失</x:v>
      </x:c>
      <x:c r="D64" s="23" t="n">
        <x:f>'两日价格与决策'!D64</x:f>
        <x:v>13.71102309965622</x:v>
      </x:c>
      <x:c r="E64" s="23" t="n">
        <x:f>'两日价格与决策'!E64</x:f>
        <x:v>14.710198829939085</x:v>
      </x:c>
      <x:c r="F64" s="23" t="n">
        <x:f>'两日价格与决策'!F64</x:f>
        <x:v>0</x:v>
      </x:c>
      <x:c r="G64" s="23" t="n">
        <x:f>'两日价格与决策'!G64</x:f>
        <x:v>0.2909068977302427</x:v>
      </x:c>
      <x:c r="H64" s="23" t="str">
        <x:f>'两日价格与决策'!H64</x:f>
        <x:v>未模拟</x:v>
      </x:c>
      <x:c r="I64" s="24" t="n">
        <x:f>'两日价格与决策'!I64</x:f>
        <x:v>10</x:v>
      </x:c>
      <x:c r="J64" s="24" t="n">
        <x:f>'两日价格与决策'!J64</x:f>
        <x:v>10</x:v>
      </x:c>
      <x:c r="K64" s="24" t="n">
        <x:f>'两日价格与决策'!K64</x:f>
        <x:v>0</x:v>
      </x:c>
      <x:c r="L64" s="24" t="n">
        <x:f>'两日价格与决策'!L64</x:f>
        <x:v>0</x:v>
      </x:c>
      <x:c r="M64" s="24" t="n">
        <x:f>'两日价格与决策'!M64</x:f>
        <x:v>0</x:v>
      </x:c>
      <x:c r="N64" s="24" t="n">
        <x:f>'两日价格与决策'!N64</x:f>
        <x:v>0</x:v>
      </x:c>
      <x:c r="O64" s="24" t="n">
        <x:f>'两日价格与决策'!O64</x:f>
        <x:v>0</x:v>
      </x:c>
      <x:c r="P64" s="24" t="n">
        <x:f>'两日价格与决策'!P64</x:f>
        <x:v>0</x:v>
      </x:c>
      <x:c r="Q64" s="25" t="n">
        <x:f>'两日价格与决策'!Q64</x:f>
        <x:v>0</x:v>
      </x:c>
      <x:c r="R64" s="25" t="n">
        <x:f>'两日价格与决策'!R64</x:f>
        <x:v>0</x:v>
      </x:c>
      <x:c r="S64" s="25" t="n">
        <x:f>'两日价格与决策'!S64</x:f>
        <x:v>0</x:v>
      </x:c>
      <x:c r="T64" s="25" t="n">
        <x:f>'两日价格与决策'!T64</x:f>
        <x:v>0</x:v>
      </x:c>
      <x:c r="U64" s="25" t="n">
        <x:f>'两日价格与决策'!U64</x:f>
        <x:v>0</x:v>
      </x:c>
      <x:c r="V64" s="25" t="n">
        <x:f>'两日价格与决策'!V64</x:f>
        <x:v>0</x:v>
      </x:c>
      <x:c r="W64" s="25" t="n">
        <x:f>'两日价格与决策'!W64</x:f>
        <x:v>0</x:v>
      </x:c>
      <x:c r="X64" s="18" t="n">
        <x:f>'两日价格与决策'!X64</x:f>
        <x:v>0</x:v>
      </x:c>
      <x:c r="Y64" s="18" t="n">
        <x:f>'两日价格与决策'!Y64</x:f>
        <x:v>0</x:v>
      </x:c>
      <x:c r="Z64" s="18" t="str">
        <x:f>'两日价格与决策'!Z64</x:f>
        <x:v>1月1日执行｜初始化零订单</x:v>
      </x:c>
      <x:c r="AA64" s="19" t="n">
        <x:f>'两日价格与决策'!AA64</x:f>
        <x:v>1</x:v>
      </x:c>
      <x:c r="AB64" s="19" t="n">
        <x:f>'两日价格与决策'!AB64</x:f>
        <x:v>0</x:v>
      </x:c>
      <x:c r="AC64" s="18" t="n">
        <x:f>'两日价格与决策'!AC64</x:f>
        <x:v>0.25</x:v>
      </x:c>
      <x:c r="AD64" s="20" t="n">
        <x:f>'两日价格与决策'!AD64</x:f>
        <x:v>1</x:v>
      </x:c>
      <x:c r="AE64" s="20" t="n">
        <x:f>'两日价格与决策'!AE64</x:f>
        <x:v>0</x:v>
      </x:c>
      <x:c r="AF64" s="20" t="n">
        <x:f>'两日价格与决策'!AF64</x:f>
        <x:v>0.48469999999999996</x:v>
      </x:c>
      <x:c r="AG64" s="18" t="n">
        <x:f>'两日价格与决策'!AG64</x:f>
        <x:v>200</x:v>
      </x:c>
      <x:c r="AH64" s="18" t="n">
        <x:f>'两日价格与决策'!AH64</x:f>
        <x:v>200</x:v>
      </x:c>
      <x:c r="AI64" s="18" t="n">
        <x:f>'两日价格与决策'!AI64</x:f>
        <x:v>0</x:v>
      </x:c>
      <x:c r="AJ64" s="18" t="n">
        <x:f>'两日价格与决策'!AJ64</x:f>
        <x:v>24.235</x:v>
      </x:c>
      <x:c r="AK64" s="18" t="str">
        <x:f>'两日价格与决策'!AK64</x:f>
        <x:v>缺失</x:v>
      </x:c>
      <x:c r="AL64" s="18" t="n">
        <x:f>'两日价格与决策'!AL64</x:f>
        <x:v>0</x:v>
      </x:c>
      <x:c r="AM64" s="18" t="n">
        <x:f>'两日价格与决策'!AM64</x:f>
        <x:v>0</x:v>
      </x:c>
      <x:c r="AN64" s="18" t="n">
        <x:f>'两日价格与决策'!AN64</x:f>
        <x:v>0</x:v>
      </x:c>
      <x:c r="AO64" s="18" t="n">
        <x:f>'两日价格与决策'!AO64</x:f>
        <x:v>10</x:v>
      </x:c>
      <x:c r="AP64" s="18" t="n">
        <x:f>'两日价格与决策'!AP64</x:f>
        <x:v>0</x:v>
      </x:c>
      <x:c r="AQ64" s="18" t="n">
        <x:f>'两日价格与决策'!AQ64</x:f>
        <x:v>4.9741</x:v>
      </x:c>
      <x:c r="AR64" s="21" t="n">
        <x:f>'两日价格与决策'!AR64</x:f>
        <x:v>45657</x:v>
      </x:c>
      <x:c r="AS64" s="17" t="n">
        <x:f>'两日价格与决策'!AS64</x:f>
        <x:v>45658.510416666664</x:v>
      </x:c>
      <x:c r="AT64" s="18" t="str">
        <x:f>'两日价格与决策'!AT64</x:f>
        <x:v>2025-01-01_14</x:v>
      </x:c>
      <x:c r="AU64" s="19" t="n">
        <x:f>'两日价格与决策'!AU64</x:f>
        <x:v>60</x:v>
      </x:c>
      <x:c r="AV64" s="18" t="str">
        <x:f>'两日价格与决策'!AV64</x:f>
        <x:v>OK</x:v>
      </x:c>
    </x:row>
    <x:row r="65" ht="21" customHeight="1">
      <x:c r="A65" s="17" t="n">
        <x:f>'两日价格与决策'!A65</x:f>
        <x:v>45658.604166666664</x:v>
      </x:c>
      <x:c r="B65" s="23" t="n">
        <x:f>'两日价格与决策'!B65</x:f>
        <x:v>53.17</x:v>
      </x:c>
      <x:c r="C65" s="23" t="str">
        <x:f>'两日价格与决策'!C65</x:f>
        <x:v>缺失</x:v>
      </x:c>
      <x:c r="D65" s="23" t="n">
        <x:f>'两日价格与决策'!D65</x:f>
        <x:v>13.71102309965622</x:v>
      </x:c>
      <x:c r="E65" s="23" t="n">
        <x:f>'两日价格与决策'!E65</x:f>
        <x:v>14.710198829939085</x:v>
      </x:c>
      <x:c r="F65" s="23" t="n">
        <x:f>'两日价格与决策'!F65</x:f>
        <x:v>0</x:v>
      </x:c>
      <x:c r="G65" s="23" t="n">
        <x:f>'两日价格与决策'!G65</x:f>
        <x:v>10.445306688647193</x:v>
      </x:c>
      <x:c r="H65" s="23" t="str">
        <x:f>'两日价格与决策'!H65</x:f>
        <x:v>未模拟</x:v>
      </x:c>
      <x:c r="I65" s="24" t="n">
        <x:f>'两日价格与决策'!I65</x:f>
        <x:v>10</x:v>
      </x:c>
      <x:c r="J65" s="24" t="n">
        <x:f>'两日价格与决策'!J65</x:f>
        <x:v>10</x:v>
      </x:c>
      <x:c r="K65" s="24" t="n">
        <x:f>'两日价格与决策'!K65</x:f>
        <x:v>0</x:v>
      </x:c>
      <x:c r="L65" s="24" t="n">
        <x:f>'两日价格与决策'!L65</x:f>
        <x:v>0</x:v>
      </x:c>
      <x:c r="M65" s="24" t="n">
        <x:f>'两日价格与决策'!M65</x:f>
        <x:v>0</x:v>
      </x:c>
      <x:c r="N65" s="24" t="n">
        <x:f>'两日价格与决策'!N65</x:f>
        <x:v>0</x:v>
      </x:c>
      <x:c r="O65" s="24" t="n">
        <x:f>'两日价格与决策'!O65</x:f>
        <x:v>0</x:v>
      </x:c>
      <x:c r="P65" s="24" t="n">
        <x:f>'两日价格与决策'!P65</x:f>
        <x:v>0</x:v>
      </x:c>
      <x:c r="Q65" s="25" t="n">
        <x:f>'两日价格与决策'!Q65</x:f>
        <x:v>0</x:v>
      </x:c>
      <x:c r="R65" s="25" t="n">
        <x:f>'两日价格与决策'!R65</x:f>
        <x:v>0</x:v>
      </x:c>
      <x:c r="S65" s="25" t="n">
        <x:f>'两日价格与决策'!S65</x:f>
        <x:v>0</x:v>
      </x:c>
      <x:c r="T65" s="25" t="n">
        <x:f>'两日价格与决策'!T65</x:f>
        <x:v>0</x:v>
      </x:c>
      <x:c r="U65" s="25" t="n">
        <x:f>'两日价格与决策'!U65</x:f>
        <x:v>0</x:v>
      </x:c>
      <x:c r="V65" s="25" t="n">
        <x:f>'两日价格与决策'!V65</x:f>
        <x:v>0</x:v>
      </x:c>
      <x:c r="W65" s="25" t="n">
        <x:f>'两日价格与决策'!W65</x:f>
        <x:v>0</x:v>
      </x:c>
      <x:c r="X65" s="18" t="n">
        <x:f>'两日价格与决策'!X65</x:f>
        <x:v>0</x:v>
      </x:c>
      <x:c r="Y65" s="18" t="n">
        <x:f>'两日价格与决策'!Y65</x:f>
        <x:v>0</x:v>
      </x:c>
      <x:c r="Z65" s="18" t="str">
        <x:f>'两日价格与决策'!Z65</x:f>
        <x:v>1月1日执行｜初始化零订单</x:v>
      </x:c>
      <x:c r="AA65" s="19" t="n">
        <x:f>'两日价格与决策'!AA65</x:f>
        <x:v>1</x:v>
      </x:c>
      <x:c r="AB65" s="19" t="n">
        <x:f>'两日价格与决策'!AB65</x:f>
        <x:v>0</x:v>
      </x:c>
      <x:c r="AC65" s="18" t="n">
        <x:f>'两日价格与决策'!AC65</x:f>
        <x:v>0.25</x:v>
      </x:c>
      <x:c r="AD65" s="20" t="n">
        <x:f>'两日价格与决策'!AD65</x:f>
        <x:v>1</x:v>
      </x:c>
      <x:c r="AE65" s="20" t="n">
        <x:f>'两日价格与决策'!AE65</x:f>
        <x:v>0</x:v>
      </x:c>
      <x:c r="AF65" s="20" t="n">
        <x:f>'两日价格与决策'!AF65</x:f>
        <x:v>0.25373999999999997</x:v>
      </x:c>
      <x:c r="AG65" s="18" t="n">
        <x:f>'两日价格与决策'!AG65</x:f>
        <x:v>200</x:v>
      </x:c>
      <x:c r="AH65" s="18" t="n">
        <x:f>'两日价格与决策'!AH65</x:f>
        <x:v>200</x:v>
      </x:c>
      <x:c r="AI65" s="18" t="n">
        <x:f>'两日价格与决策'!AI65</x:f>
        <x:v>0</x:v>
      </x:c>
      <x:c r="AJ65" s="18" t="n">
        <x:f>'两日价格与决策'!AJ65</x:f>
        <x:v>12.687</x:v>
      </x:c>
      <x:c r="AK65" s="18" t="str">
        <x:f>'两日价格与决策'!AK65</x:f>
        <x:v>缺失</x:v>
      </x:c>
      <x:c r="AL65" s="18" t="n">
        <x:f>'两日价格与决策'!AL65</x:f>
        <x:v>0</x:v>
      </x:c>
      <x:c r="AM65" s="18" t="n">
        <x:f>'两日价格与决策'!AM65</x:f>
        <x:v>0</x:v>
      </x:c>
      <x:c r="AN65" s="18" t="n">
        <x:f>'两日价格与决策'!AN65</x:f>
        <x:v>0</x:v>
      </x:c>
      <x:c r="AO65" s="18" t="n">
        <x:f>'两日价格与决策'!AO65</x:f>
        <x:v>10</x:v>
      </x:c>
      <x:c r="AP65" s="18" t="n">
        <x:f>'两日价格与决策'!AP65</x:f>
        <x:v>0</x:v>
      </x:c>
      <x:c r="AQ65" s="18" t="n">
        <x:f>'两日价格与决策'!AQ65</x:f>
        <x:v>4.9741</x:v>
      </x:c>
      <x:c r="AR65" s="21" t="n">
        <x:f>'两日价格与决策'!AR65</x:f>
        <x:v>45657</x:v>
      </x:c>
      <x:c r="AS65" s="17" t="n">
        <x:f>'两日价格与决策'!AS65</x:f>
        <x:v>45658.520833333336</x:v>
      </x:c>
      <x:c r="AT65" s="18" t="str">
        <x:f>'两日价格与决策'!AT65</x:f>
        <x:v>2025-01-01_14</x:v>
      </x:c>
      <x:c r="AU65" s="19" t="n">
        <x:f>'两日价格与决策'!AU65</x:f>
        <x:v>60</x:v>
      </x:c>
      <x:c r="AV65" s="18" t="str">
        <x:f>'两日价格与决策'!AV65</x:f>
        <x:v>OK</x:v>
      </x:c>
    </x:row>
    <x:row r="66" ht="21" customHeight="1">
      <x:c r="A66" s="17" t="n">
        <x:f>'两日价格与决策'!A66</x:f>
        <x:v>45658.614583333336</x:v>
      </x:c>
      <x:c r="B66" s="23" t="n">
        <x:f>'两日价格与决策'!B66</x:f>
        <x:v>53.17</x:v>
      </x:c>
      <x:c r="C66" s="23" t="str">
        <x:f>'两日价格与决策'!C66</x:f>
        <x:v>缺失</x:v>
      </x:c>
      <x:c r="D66" s="23" t="n">
        <x:f>'两日价格与决策'!D66</x:f>
        <x:v>13.71102309965622</x:v>
      </x:c>
      <x:c r="E66" s="23" t="n">
        <x:f>'两日价格与决策'!E66</x:f>
        <x:v>14.710198829939085</x:v>
      </x:c>
      <x:c r="F66" s="23" t="n">
        <x:f>'两日价格与决策'!F66</x:f>
        <x:v>0</x:v>
      </x:c>
      <x:c r="G66" s="23" t="n">
        <x:f>'两日价格与决策'!G66</x:f>
        <x:v>25.6723829436481</x:v>
      </x:c>
      <x:c r="H66" s="23" t="str">
        <x:f>'两日价格与决策'!H66</x:f>
        <x:v>未模拟</x:v>
      </x:c>
      <x:c r="I66" s="24" t="n">
        <x:f>'两日价格与决策'!I66</x:f>
        <x:v>10</x:v>
      </x:c>
      <x:c r="J66" s="24" t="n">
        <x:f>'两日价格与决策'!J66</x:f>
        <x:v>10</x:v>
      </x:c>
      <x:c r="K66" s="24" t="n">
        <x:f>'两日价格与决策'!K66</x:f>
        <x:v>0</x:v>
      </x:c>
      <x:c r="L66" s="24" t="n">
        <x:f>'两日价格与决策'!L66</x:f>
        <x:v>0</x:v>
      </x:c>
      <x:c r="M66" s="24" t="n">
        <x:f>'两日价格与决策'!M66</x:f>
        <x:v>0</x:v>
      </x:c>
      <x:c r="N66" s="24" t="n">
        <x:f>'两日价格与决策'!N66</x:f>
        <x:v>0</x:v>
      </x:c>
      <x:c r="O66" s="24" t="n">
        <x:f>'两日价格与决策'!O66</x:f>
        <x:v>0</x:v>
      </x:c>
      <x:c r="P66" s="24" t="n">
        <x:f>'两日价格与决策'!P66</x:f>
        <x:v>0</x:v>
      </x:c>
      <x:c r="Q66" s="25" t="n">
        <x:f>'两日价格与决策'!Q66</x:f>
        <x:v>0</x:v>
      </x:c>
      <x:c r="R66" s="25" t="n">
        <x:f>'两日价格与决策'!R66</x:f>
        <x:v>0</x:v>
      </x:c>
      <x:c r="S66" s="25" t="n">
        <x:f>'两日价格与决策'!S66</x:f>
        <x:v>0</x:v>
      </x:c>
      <x:c r="T66" s="25" t="n">
        <x:f>'两日价格与决策'!T66</x:f>
        <x:v>0</x:v>
      </x:c>
      <x:c r="U66" s="25" t="n">
        <x:f>'两日价格与决策'!U66</x:f>
        <x:v>0</x:v>
      </x:c>
      <x:c r="V66" s="25" t="n">
        <x:f>'两日价格与决策'!V66</x:f>
        <x:v>0</x:v>
      </x:c>
      <x:c r="W66" s="25" t="n">
        <x:f>'两日价格与决策'!W66</x:f>
        <x:v>0</x:v>
      </x:c>
      <x:c r="X66" s="18" t="n">
        <x:f>'两日价格与决策'!X66</x:f>
        <x:v>0</x:v>
      </x:c>
      <x:c r="Y66" s="18" t="n">
        <x:f>'两日价格与决策'!Y66</x:f>
        <x:v>0</x:v>
      </x:c>
      <x:c r="Z66" s="18" t="str">
        <x:f>'两日价格与决策'!Z66</x:f>
        <x:v>1月1日执行｜初始化零订单</x:v>
      </x:c>
      <x:c r="AA66" s="19" t="n">
        <x:f>'两日价格与决策'!AA66</x:f>
        <x:v>1</x:v>
      </x:c>
      <x:c r="AB66" s="19" t="n">
        <x:f>'两日价格与决策'!AB66</x:f>
        <x:v>0</x:v>
      </x:c>
      <x:c r="AC66" s="18" t="n">
        <x:f>'两日价格与决策'!AC66</x:f>
        <x:v>0.25</x:v>
      </x:c>
      <x:c r="AD66" s="20" t="n">
        <x:f>'两日价格与决策'!AD66</x:f>
        <x:v>1</x:v>
      </x:c>
      <x:c r="AE66" s="20" t="n">
        <x:f>'两日价格与决策'!AE66</x:f>
        <x:v>0</x:v>
      </x:c>
      <x:c r="AF66" s="20" t="n">
        <x:f>'两日价格与决策'!AF66</x:f>
        <x:v>0.07429999999999999</x:v>
      </x:c>
      <x:c r="AG66" s="18" t="n">
        <x:f>'两日价格与决策'!AG66</x:f>
        <x:v>200</x:v>
      </x:c>
      <x:c r="AH66" s="18" t="n">
        <x:f>'两日价格与决策'!AH66</x:f>
        <x:v>200</x:v>
      </x:c>
      <x:c r="AI66" s="18" t="n">
        <x:f>'两日价格与决策'!AI66</x:f>
        <x:v>0</x:v>
      </x:c>
      <x:c r="AJ66" s="18" t="n">
        <x:f>'两日价格与决策'!AJ66</x:f>
        <x:v>3.715</x:v>
      </x:c>
      <x:c r="AK66" s="18" t="str">
        <x:f>'两日价格与决策'!AK66</x:f>
        <x:v>缺失</x:v>
      </x:c>
      <x:c r="AL66" s="18" t="n">
        <x:f>'两日价格与决策'!AL66</x:f>
        <x:v>0</x:v>
      </x:c>
      <x:c r="AM66" s="18" t="n">
        <x:f>'两日价格与决策'!AM66</x:f>
        <x:v>0</x:v>
      </x:c>
      <x:c r="AN66" s="18" t="n">
        <x:f>'两日价格与决策'!AN66</x:f>
        <x:v>0</x:v>
      </x:c>
      <x:c r="AO66" s="18" t="n">
        <x:f>'两日价格与决策'!AO66</x:f>
        <x:v>10</x:v>
      </x:c>
      <x:c r="AP66" s="18" t="n">
        <x:f>'两日价格与决策'!AP66</x:f>
        <x:v>0</x:v>
      </x:c>
      <x:c r="AQ66" s="18" t="n">
        <x:f>'两日价格与决策'!AQ66</x:f>
        <x:v>4.9741</x:v>
      </x:c>
      <x:c r="AR66" s="21" t="n">
        <x:f>'两日价格与决策'!AR66</x:f>
        <x:v>45657</x:v>
      </x:c>
      <x:c r="AS66" s="17" t="n">
        <x:f>'两日价格与决策'!AS66</x:f>
        <x:v>45658.53125</x:v>
      </x:c>
      <x:c r="AT66" s="18" t="str">
        <x:f>'两日价格与决策'!AT66</x:f>
        <x:v>2025-01-01_14</x:v>
      </x:c>
      <x:c r="AU66" s="19" t="n">
        <x:f>'两日价格与决策'!AU66</x:f>
        <x:v>60</x:v>
      </x:c>
      <x:c r="AV66" s="18" t="str">
        <x:f>'两日价格与决策'!AV66</x:f>
        <x:v>OK</x:v>
      </x:c>
    </x:row>
    <x:row r="67" ht="21" customHeight="1">
      <x:c r="A67" s="17" t="n">
        <x:f>'两日价格与决策'!A67</x:f>
        <x:v>45658.625</x:v>
      </x:c>
      <x:c r="B67" s="23" t="n">
        <x:f>'两日价格与决策'!B67</x:f>
        <x:v>66.8</x:v>
      </x:c>
      <x:c r="C67" s="23" t="str">
        <x:f>'两日价格与决策'!C67</x:f>
        <x:v>缺失</x:v>
      </x:c>
      <x:c r="D67" s="23" t="n">
        <x:f>'两日价格与决策'!D67</x:f>
        <x:v>13.831647936310086</x:v>
      </x:c>
      <x:c r="E67" s="23" t="n">
        <x:f>'两日价格与决策'!E67</x:f>
        <x:v>14.710198829939085</x:v>
      </x:c>
      <x:c r="F67" s="23" t="n">
        <x:f>'两日价格与决策'!F67</x:f>
        <x:v>0</x:v>
      </x:c>
      <x:c r="G67" s="23" t="n">
        <x:f>'两日价格与决策'!G67</x:f>
        <x:v>0.8898092117166925</x:v>
      </x:c>
      <x:c r="H67" s="23" t="str">
        <x:f>'两日价格与决策'!H67</x:f>
        <x:v>未模拟</x:v>
      </x:c>
      <x:c r="I67" s="24" t="n">
        <x:f>'两日价格与决策'!I67</x:f>
        <x:v>10</x:v>
      </x:c>
      <x:c r="J67" s="24" t="n">
        <x:f>'两日价格与决策'!J67</x:f>
        <x:v>10</x:v>
      </x:c>
      <x:c r="K67" s="24" t="n">
        <x:f>'两日价格与决策'!K67</x:f>
        <x:v>0</x:v>
      </x:c>
      <x:c r="L67" s="24" t="n">
        <x:f>'两日价格与决策'!L67</x:f>
        <x:v>0</x:v>
      </x:c>
      <x:c r="M67" s="24" t="n">
        <x:f>'两日价格与决策'!M67</x:f>
        <x:v>0</x:v>
      </x:c>
      <x:c r="N67" s="24" t="n">
        <x:f>'两日价格与决策'!N67</x:f>
        <x:v>0</x:v>
      </x:c>
      <x:c r="O67" s="24" t="n">
        <x:f>'两日价格与决策'!O67</x:f>
        <x:v>0</x:v>
      </x:c>
      <x:c r="P67" s="24" t="n">
        <x:f>'两日价格与决策'!P67</x:f>
        <x:v>0</x:v>
      </x:c>
      <x:c r="Q67" s="25" t="n">
        <x:f>'两日价格与决策'!Q67</x:f>
        <x:v>0</x:v>
      </x:c>
      <x:c r="R67" s="25" t="n">
        <x:f>'两日价格与决策'!R67</x:f>
        <x:v>0</x:v>
      </x:c>
      <x:c r="S67" s="25" t="n">
        <x:f>'两日价格与决策'!S67</x:f>
        <x:v>0</x:v>
      </x:c>
      <x:c r="T67" s="25" t="n">
        <x:f>'两日价格与决策'!T67</x:f>
        <x:v>0</x:v>
      </x:c>
      <x:c r="U67" s="25" t="n">
        <x:f>'两日价格与决策'!U67</x:f>
        <x:v>0</x:v>
      </x:c>
      <x:c r="V67" s="25" t="n">
        <x:f>'两日价格与决策'!V67</x:f>
        <x:v>0</x:v>
      </x:c>
      <x:c r="W67" s="25" t="n">
        <x:f>'两日价格与决策'!W67</x:f>
        <x:v>0</x:v>
      </x:c>
      <x:c r="X67" s="18" t="n">
        <x:f>'两日价格与决策'!X67</x:f>
        <x:v>0</x:v>
      </x:c>
      <x:c r="Y67" s="18" t="n">
        <x:f>'两日价格与决策'!Y67</x:f>
        <x:v>0</x:v>
      </x:c>
      <x:c r="Z67" s="18" t="str">
        <x:f>'两日价格与决策'!Z67</x:f>
        <x:v>1月1日执行｜初始化零订单</x:v>
      </x:c>
      <x:c r="AA67" s="19" t="n">
        <x:f>'两日价格与决策'!AA67</x:f>
        <x:v>1</x:v>
      </x:c>
      <x:c r="AB67" s="19" t="n">
        <x:f>'两日价格与决策'!AB67</x:f>
        <x:v>0</x:v>
      </x:c>
      <x:c r="AC67" s="18" t="n">
        <x:f>'两日价格与决策'!AC67</x:f>
        <x:v>0.25</x:v>
      </x:c>
      <x:c r="AD67" s="20" t="n">
        <x:f>'两日价格与决策'!AD67</x:f>
        <x:v>1</x:v>
      </x:c>
      <x:c r="AE67" s="20" t="n">
        <x:f>'两日价格与决策'!AE67</x:f>
        <x:v>0</x:v>
      </x:c>
      <x:c r="AF67" s="20" t="n">
        <x:f>'两日价格与决策'!AF67</x:f>
        <x:v>0.38754</x:v>
      </x:c>
      <x:c r="AG67" s="18" t="n">
        <x:f>'两日价格与决策'!AG67</x:f>
        <x:v>200</x:v>
      </x:c>
      <x:c r="AH67" s="18" t="n">
        <x:f>'两日价格与决策'!AH67</x:f>
        <x:v>200</x:v>
      </x:c>
      <x:c r="AI67" s="18" t="n">
        <x:f>'两日价格与决策'!AI67</x:f>
        <x:v>0</x:v>
      </x:c>
      <x:c r="AJ67" s="18" t="n">
        <x:f>'两日价格与决策'!AJ67</x:f>
        <x:v>19.377</x:v>
      </x:c>
      <x:c r="AK67" s="18" t="str">
        <x:f>'两日价格与决策'!AK67</x:f>
        <x:v>缺失</x:v>
      </x:c>
      <x:c r="AL67" s="18" t="n">
        <x:f>'两日价格与决策'!AL67</x:f>
        <x:v>0</x:v>
      </x:c>
      <x:c r="AM67" s="18" t="n">
        <x:f>'两日价格与决策'!AM67</x:f>
        <x:v>0</x:v>
      </x:c>
      <x:c r="AN67" s="18" t="n">
        <x:f>'两日价格与决策'!AN67</x:f>
        <x:v>0</x:v>
      </x:c>
      <x:c r="AO67" s="18" t="n">
        <x:f>'两日价格与决策'!AO67</x:f>
        <x:v>10</x:v>
      </x:c>
      <x:c r="AP67" s="18" t="n">
        <x:f>'两日价格与决策'!AP67</x:f>
        <x:v>0</x:v>
      </x:c>
      <x:c r="AQ67" s="18" t="n">
        <x:f>'两日价格与决策'!AQ67</x:f>
        <x:v>4.9741</x:v>
      </x:c>
      <x:c r="AR67" s="21" t="n">
        <x:f>'两日价格与决策'!AR67</x:f>
        <x:v>45657</x:v>
      </x:c>
      <x:c r="AS67" s="17" t="n">
        <x:f>'两日价格与决策'!AS67</x:f>
        <x:v>45658.541666666664</x:v>
      </x:c>
      <x:c r="AT67" s="18" t="str">
        <x:f>'两日价格与决策'!AT67</x:f>
        <x:v>2025-01-01_15</x:v>
      </x:c>
      <x:c r="AU67" s="19" t="n">
        <x:f>'两日价格与决策'!AU67</x:f>
        <x:v>60</x:v>
      </x:c>
      <x:c r="AV67" s="18" t="str">
        <x:f>'两日价格与决策'!AV67</x:f>
        <x:v>OK</x:v>
      </x:c>
    </x:row>
    <x:row r="68" ht="21" customHeight="1">
      <x:c r="A68" s="17" t="n">
        <x:f>'两日价格与决策'!A68</x:f>
        <x:v>45658.635416666664</x:v>
      </x:c>
      <x:c r="B68" s="23" t="n">
        <x:f>'两日价格与决策'!B68</x:f>
        <x:v>66.8</x:v>
      </x:c>
      <x:c r="C68" s="23" t="str">
        <x:f>'两日价格与决策'!C68</x:f>
        <x:v>缺失</x:v>
      </x:c>
      <x:c r="D68" s="23" t="n">
        <x:f>'两日价格与决策'!D68</x:f>
        <x:v>13.831647936310086</x:v>
      </x:c>
      <x:c r="E68" s="23" t="n">
        <x:f>'两日价格与决策'!E68</x:f>
        <x:v>14.710198829939085</x:v>
      </x:c>
      <x:c r="F68" s="23" t="n">
        <x:f>'两日价格与决策'!F68</x:f>
        <x:v>0</x:v>
      </x:c>
      <x:c r="G68" s="23" t="n">
        <x:f>'两日价格与决策'!G68</x:f>
        <x:v>7.295792203614724</x:v>
      </x:c>
      <x:c r="H68" s="23" t="str">
        <x:f>'两日价格与决策'!H68</x:f>
        <x:v>未模拟</x:v>
      </x:c>
      <x:c r="I68" s="24" t="n">
        <x:f>'两日价格与决策'!I68</x:f>
        <x:v>10</x:v>
      </x:c>
      <x:c r="J68" s="24" t="n">
        <x:f>'两日价格与决策'!J68</x:f>
        <x:v>10</x:v>
      </x:c>
      <x:c r="K68" s="24" t="n">
        <x:f>'两日价格与决策'!K68</x:f>
        <x:v>0</x:v>
      </x:c>
      <x:c r="L68" s="24" t="n">
        <x:f>'两日价格与决策'!L68</x:f>
        <x:v>0</x:v>
      </x:c>
      <x:c r="M68" s="24" t="n">
        <x:f>'两日价格与决策'!M68</x:f>
        <x:v>0</x:v>
      </x:c>
      <x:c r="N68" s="24" t="n">
        <x:f>'两日价格与决策'!N68</x:f>
        <x:v>0</x:v>
      </x:c>
      <x:c r="O68" s="24" t="n">
        <x:f>'两日价格与决策'!O68</x:f>
        <x:v>0</x:v>
      </x:c>
      <x:c r="P68" s="24" t="n">
        <x:f>'两日价格与决策'!P68</x:f>
        <x:v>0</x:v>
      </x:c>
      <x:c r="Q68" s="25" t="n">
        <x:f>'两日价格与决策'!Q68</x:f>
        <x:v>0</x:v>
      </x:c>
      <x:c r="R68" s="25" t="n">
        <x:f>'两日价格与决策'!R68</x:f>
        <x:v>0</x:v>
      </x:c>
      <x:c r="S68" s="25" t="n">
        <x:f>'两日价格与决策'!S68</x:f>
        <x:v>0</x:v>
      </x:c>
      <x:c r="T68" s="25" t="n">
        <x:f>'两日价格与决策'!T68</x:f>
        <x:v>0</x:v>
      </x:c>
      <x:c r="U68" s="25" t="n">
        <x:f>'两日价格与决策'!U68</x:f>
        <x:v>0</x:v>
      </x:c>
      <x:c r="V68" s="25" t="n">
        <x:f>'两日价格与决策'!V68</x:f>
        <x:v>0</x:v>
      </x:c>
      <x:c r="W68" s="25" t="n">
        <x:f>'两日价格与决策'!W68</x:f>
        <x:v>0</x:v>
      </x:c>
      <x:c r="X68" s="18" t="n">
        <x:f>'两日价格与决策'!X68</x:f>
        <x:v>0</x:v>
      </x:c>
      <x:c r="Y68" s="18" t="n">
        <x:f>'两日价格与决策'!Y68</x:f>
        <x:v>0</x:v>
      </x:c>
      <x:c r="Z68" s="18" t="str">
        <x:f>'两日价格与决策'!Z68</x:f>
        <x:v>1月1日执行｜初始化零订单</x:v>
      </x:c>
      <x:c r="AA68" s="19" t="n">
        <x:f>'两日价格与决策'!AA68</x:f>
        <x:v>1</x:v>
      </x:c>
      <x:c r="AB68" s="19" t="n">
        <x:f>'两日价格与决策'!AB68</x:f>
        <x:v>0</x:v>
      </x:c>
      <x:c r="AC68" s="18" t="n">
        <x:f>'两日价格与决策'!AC68</x:f>
        <x:v>0.25</x:v>
      </x:c>
      <x:c r="AD68" s="20" t="n">
        <x:f>'两日价格与决策'!AD68</x:f>
        <x:v>1</x:v>
      </x:c>
      <x:c r="AE68" s="20" t="n">
        <x:f>'两日价格与决策'!AE68</x:f>
        <x:v>0</x:v>
      </x:c>
      <x:c r="AF68" s="20" t="n">
        <x:f>'两日价格与决策'!AF68</x:f>
        <x:v>0.20046</x:v>
      </x:c>
      <x:c r="AG68" s="18" t="n">
        <x:f>'两日价格与决策'!AG68</x:f>
        <x:v>200</x:v>
      </x:c>
      <x:c r="AH68" s="18" t="n">
        <x:f>'两日价格与决策'!AH68</x:f>
        <x:v>200</x:v>
      </x:c>
      <x:c r="AI68" s="18" t="n">
        <x:f>'两日价格与决策'!AI68</x:f>
        <x:v>0</x:v>
      </x:c>
      <x:c r="AJ68" s="18" t="n">
        <x:f>'两日价格与决策'!AJ68</x:f>
        <x:v>10.023</x:v>
      </x:c>
      <x:c r="AK68" s="18" t="str">
        <x:f>'两日价格与决策'!AK68</x:f>
        <x:v>缺失</x:v>
      </x:c>
      <x:c r="AL68" s="18" t="n">
        <x:f>'两日价格与决策'!AL68</x:f>
        <x:v>0</x:v>
      </x:c>
      <x:c r="AM68" s="18" t="n">
        <x:f>'两日价格与决策'!AM68</x:f>
        <x:v>0</x:v>
      </x:c>
      <x:c r="AN68" s="18" t="n">
        <x:f>'两日价格与决策'!AN68</x:f>
        <x:v>0</x:v>
      </x:c>
      <x:c r="AO68" s="18" t="n">
        <x:f>'两日价格与决策'!AO68</x:f>
        <x:v>10</x:v>
      </x:c>
      <x:c r="AP68" s="18" t="n">
        <x:f>'两日价格与决策'!AP68</x:f>
        <x:v>0</x:v>
      </x:c>
      <x:c r="AQ68" s="18" t="n">
        <x:f>'两日价格与决策'!AQ68</x:f>
        <x:v>4.9741</x:v>
      </x:c>
      <x:c r="AR68" s="21" t="n">
        <x:f>'两日价格与决策'!AR68</x:f>
        <x:v>45657</x:v>
      </x:c>
      <x:c r="AS68" s="17" t="n">
        <x:f>'两日价格与决策'!AS68</x:f>
        <x:v>45658.552083333336</x:v>
      </x:c>
      <x:c r="AT68" s="18" t="str">
        <x:f>'两日价格与决策'!AT68</x:f>
        <x:v>2025-01-01_15</x:v>
      </x:c>
      <x:c r="AU68" s="19" t="n">
        <x:f>'两日价格与决策'!AU68</x:f>
        <x:v>60</x:v>
      </x:c>
      <x:c r="AV68" s="18" t="str">
        <x:f>'两日价格与决策'!AV68</x:f>
        <x:v>OK</x:v>
      </x:c>
    </x:row>
    <x:row r="69" ht="21" customHeight="1">
      <x:c r="A69" s="17" t="n">
        <x:f>'两日价格与决策'!A69</x:f>
        <x:v>45658.645833333336</x:v>
      </x:c>
      <x:c r="B69" s="23" t="n">
        <x:f>'两日价格与决策'!B69</x:f>
        <x:v>66.8</x:v>
      </x:c>
      <x:c r="C69" s="23" t="str">
        <x:f>'两日价格与决策'!C69</x:f>
        <x:v>缺失</x:v>
      </x:c>
      <x:c r="D69" s="23" t="n">
        <x:f>'两日价格与决策'!D69</x:f>
        <x:v>13.831647936310086</x:v>
      </x:c>
      <x:c r="E69" s="23" t="n">
        <x:f>'两日价格与决策'!E69</x:f>
        <x:v>14.710198829939085</x:v>
      </x:c>
      <x:c r="F69" s="23" t="n">
        <x:f>'两日价格与决策'!F69</x:f>
        <x:v>154.8609798757564</x:v>
      </x:c>
      <x:c r="G69" s="23" t="n">
        <x:f>'两日价格与决策'!G69</x:f>
        <x:v>58.3020043827024</x:v>
      </x:c>
      <x:c r="H69" s="23" t="str">
        <x:f>'两日价格与决策'!H69</x:f>
        <x:v>未模拟</x:v>
      </x:c>
      <x:c r="I69" s="24" t="n">
        <x:f>'两日价格与决策'!I69</x:f>
        <x:v>10</x:v>
      </x:c>
      <x:c r="J69" s="24" t="n">
        <x:f>'两日价格与决策'!J69</x:f>
        <x:v>10</x:v>
      </x:c>
      <x:c r="K69" s="24" t="n">
        <x:f>'两日价格与决策'!K69</x:f>
        <x:v>0</x:v>
      </x:c>
      <x:c r="L69" s="24" t="n">
        <x:f>'两日价格与决策'!L69</x:f>
        <x:v>0</x:v>
      </x:c>
      <x:c r="M69" s="24" t="n">
        <x:f>'两日价格与决策'!M69</x:f>
        <x:v>0</x:v>
      </x:c>
      <x:c r="N69" s="24" t="n">
        <x:f>'两日价格与决策'!N69</x:f>
        <x:v>0</x:v>
      </x:c>
      <x:c r="O69" s="24" t="n">
        <x:f>'两日价格与决策'!O69</x:f>
        <x:v>0</x:v>
      </x:c>
      <x:c r="P69" s="24" t="n">
        <x:f>'两日价格与决策'!P69</x:f>
        <x:v>0</x:v>
      </x:c>
      <x:c r="Q69" s="25" t="n">
        <x:f>'两日价格与决策'!Q69</x:f>
        <x:v>0</x:v>
      </x:c>
      <x:c r="R69" s="25" t="n">
        <x:f>'两日价格与决策'!R69</x:f>
        <x:v>0</x:v>
      </x:c>
      <x:c r="S69" s="25" t="n">
        <x:f>'两日价格与决策'!S69</x:f>
        <x:v>0</x:v>
      </x:c>
      <x:c r="T69" s="25" t="n">
        <x:f>'两日价格与决策'!T69</x:f>
        <x:v>0</x:v>
      </x:c>
      <x:c r="U69" s="25" t="n">
        <x:f>'两日价格与决策'!U69</x:f>
        <x:v>0</x:v>
      </x:c>
      <x:c r="V69" s="25" t="n">
        <x:f>'两日价格与决策'!V69</x:f>
        <x:v>0</x:v>
      </x:c>
      <x:c r="W69" s="25" t="n">
        <x:f>'两日价格与决策'!W69</x:f>
        <x:v>0</x:v>
      </x:c>
      <x:c r="X69" s="18" t="n">
        <x:f>'两日价格与决策'!X69</x:f>
        <x:v>0</x:v>
      </x:c>
      <x:c r="Y69" s="18" t="n">
        <x:f>'两日价格与决策'!Y69</x:f>
        <x:v>0</x:v>
      </x:c>
      <x:c r="Z69" s="18" t="str">
        <x:f>'两日价格与决策'!Z69</x:f>
        <x:v>1月1日执行｜初始化零订单</x:v>
      </x:c>
      <x:c r="AA69" s="19" t="n">
        <x:f>'两日价格与决策'!AA69</x:f>
        <x:v>1</x:v>
      </x:c>
      <x:c r="AB69" s="19" t="n">
        <x:f>'两日价格与决策'!AB69</x:f>
        <x:v>0</x:v>
      </x:c>
      <x:c r="AC69" s="18" t="n">
        <x:f>'两日价格与决策'!AC69</x:f>
        <x:v>0.25</x:v>
      </x:c>
      <x:c r="AD69" s="20" t="n">
        <x:f>'两日价格与决策'!AD69</x:f>
        <x:v>1</x:v>
      </x:c>
      <x:c r="AE69" s="20" t="n">
        <x:f>'两日价格与决策'!AE69</x:f>
        <x:v>0.19872</x:v>
      </x:c>
      <x:c r="AF69" s="20" t="n">
        <x:f>'两日价格与决策'!AF69</x:f>
        <x:v>0.0008</x:v>
      </x:c>
      <x:c r="AG69" s="18" t="n">
        <x:f>'两日价格与决策'!AG69</x:f>
        <x:v>200</x:v>
      </x:c>
      <x:c r="AH69" s="18" t="n">
        <x:f>'两日价格与决策'!AH69</x:f>
        <x:v>200</x:v>
      </x:c>
      <x:c r="AI69" s="18" t="n">
        <x:f>'两日价格与决策'!AI69</x:f>
        <x:v>9.936</x:v>
      </x:c>
      <x:c r="AJ69" s="18" t="n">
        <x:f>'两日价格与决策'!AJ69</x:f>
        <x:v>0.04</x:v>
      </x:c>
      <x:c r="AK69" s="18" t="str">
        <x:f>'两日价格与决策'!AK69</x:f>
        <x:v>缺失</x:v>
      </x:c>
      <x:c r="AL69" s="18" t="n">
        <x:f>'两日价格与决策'!AL69</x:f>
        <x:v>0</x:v>
      </x:c>
      <x:c r="AM69" s="18" t="n">
        <x:f>'两日价格与决策'!AM69</x:f>
        <x:v>0</x:v>
      </x:c>
      <x:c r="AN69" s="18" t="n">
        <x:f>'两日价格与决策'!AN69</x:f>
        <x:v>0</x:v>
      </x:c>
      <x:c r="AO69" s="18" t="n">
        <x:f>'两日价格与决策'!AO69</x:f>
        <x:v>10</x:v>
      </x:c>
      <x:c r="AP69" s="18" t="n">
        <x:f>'两日价格与决策'!AP69</x:f>
        <x:v>0</x:v>
      </x:c>
      <x:c r="AQ69" s="18" t="n">
        <x:f>'两日价格与决策'!AQ69</x:f>
        <x:v>4.9741</x:v>
      </x:c>
      <x:c r="AR69" s="21" t="n">
        <x:f>'两日价格与决策'!AR69</x:f>
        <x:v>45657</x:v>
      </x:c>
      <x:c r="AS69" s="17" t="n">
        <x:f>'两日价格与决策'!AS69</x:f>
        <x:v>45658.5625</x:v>
      </x:c>
      <x:c r="AT69" s="18" t="str">
        <x:f>'两日价格与决策'!AT69</x:f>
        <x:v>2025-01-01_15</x:v>
      </x:c>
      <x:c r="AU69" s="19" t="n">
        <x:f>'两日价格与决策'!AU69</x:f>
        <x:v>60</x:v>
      </x:c>
      <x:c r="AV69" s="18" t="str">
        <x:f>'两日价格与决策'!AV69</x:f>
        <x:v>OK</x:v>
      </x:c>
    </x:row>
    <x:row r="70" ht="21" customHeight="1">
      <x:c r="A70" s="17" t="n">
        <x:f>'两日价格与决策'!A70</x:f>
        <x:v>45658.65625</x:v>
      </x:c>
      <x:c r="B70" s="23" t="n">
        <x:f>'两日价格与决策'!B70</x:f>
        <x:v>66.8</x:v>
      </x:c>
      <x:c r="C70" s="23" t="str">
        <x:f>'两日价格与决策'!C70</x:f>
        <x:v>缺失</x:v>
      </x:c>
      <x:c r="D70" s="23" t="n">
        <x:f>'两日价格与决策'!D70</x:f>
        <x:v>13.831647936310086</x:v>
      </x:c>
      <x:c r="E70" s="23" t="n">
        <x:f>'两日价格与决策'!E70</x:f>
        <x:v>14.710198829939085</x:v>
      </x:c>
      <x:c r="F70" s="23" t="n">
        <x:f>'两日价格与决策'!F70</x:f>
        <x:v>216.88707504875254</x:v>
      </x:c>
      <x:c r="G70" s="23" t="n">
        <x:f>'两日价格与决策'!G70</x:f>
        <x:v>0</x:v>
      </x:c>
      <x:c r="H70" s="23" t="str">
        <x:f>'两日价格与决策'!H70</x:f>
        <x:v>未模拟</x:v>
      </x:c>
      <x:c r="I70" s="24" t="n">
        <x:f>'两日价格与决策'!I70</x:f>
        <x:v>10</x:v>
      </x:c>
      <x:c r="J70" s="24" t="n">
        <x:f>'两日价格与决策'!J70</x:f>
        <x:v>10</x:v>
      </x:c>
      <x:c r="K70" s="24" t="n">
        <x:f>'两日价格与决策'!K70</x:f>
        <x:v>0</x:v>
      </x:c>
      <x:c r="L70" s="24" t="n">
        <x:f>'两日价格与决策'!L70</x:f>
        <x:v>0</x:v>
      </x:c>
      <x:c r="M70" s="24" t="n">
        <x:f>'两日价格与决策'!M70</x:f>
        <x:v>0</x:v>
      </x:c>
      <x:c r="N70" s="24" t="n">
        <x:f>'两日价格与决策'!N70</x:f>
        <x:v>0</x:v>
      </x:c>
      <x:c r="O70" s="24" t="n">
        <x:f>'两日价格与决策'!O70</x:f>
        <x:v>0</x:v>
      </x:c>
      <x:c r="P70" s="24" t="n">
        <x:f>'两日价格与决策'!P70</x:f>
        <x:v>0</x:v>
      </x:c>
      <x:c r="Q70" s="25" t="n">
        <x:f>'两日价格与决策'!Q70</x:f>
        <x:v>0</x:v>
      </x:c>
      <x:c r="R70" s="25" t="n">
        <x:f>'两日价格与决策'!R70</x:f>
        <x:v>0</x:v>
      </x:c>
      <x:c r="S70" s="25" t="n">
        <x:f>'两日价格与决策'!S70</x:f>
        <x:v>0</x:v>
      </x:c>
      <x:c r="T70" s="25" t="n">
        <x:f>'两日价格与决策'!T70</x:f>
        <x:v>0</x:v>
      </x:c>
      <x:c r="U70" s="25" t="n">
        <x:f>'两日价格与决策'!U70</x:f>
        <x:v>0</x:v>
      </x:c>
      <x:c r="V70" s="25" t="n">
        <x:f>'两日价格与决策'!V70</x:f>
        <x:v>0</x:v>
      </x:c>
      <x:c r="W70" s="25" t="n">
        <x:f>'两日价格与决策'!W70</x:f>
        <x:v>0</x:v>
      </x:c>
      <x:c r="X70" s="18" t="n">
        <x:f>'两日价格与决策'!X70</x:f>
        <x:v>0</x:v>
      </x:c>
      <x:c r="Y70" s="18" t="n">
        <x:f>'两日价格与决策'!Y70</x:f>
        <x:v>0</x:v>
      </x:c>
      <x:c r="Z70" s="18" t="str">
        <x:f>'两日价格与决策'!Z70</x:f>
        <x:v>1月1日执行｜初始化零订单</x:v>
      </x:c>
      <x:c r="AA70" s="19" t="n">
        <x:f>'两日价格与决策'!AA70</x:f>
        <x:v>1</x:v>
      </x:c>
      <x:c r="AB70" s="19" t="n">
        <x:f>'两日价格与决策'!AB70</x:f>
        <x:v>0</x:v>
      </x:c>
      <x:c r="AC70" s="18" t="n">
        <x:f>'两日价格与决策'!AC70</x:f>
        <x:v>0.25</x:v>
      </x:c>
      <x:c r="AD70" s="20" t="n">
        <x:f>'两日价格与决策'!AD70</x:f>
        <x:v>1</x:v>
      </x:c>
      <x:c r="AE70" s="20" t="n">
        <x:f>'两日价格与决策'!AE70</x:f>
        <x:v>0.7888</x:v>
      </x:c>
      <x:c r="AF70" s="20" t="n">
        <x:f>'两日价格与决策'!AF70</x:f>
        <x:v>0</x:v>
      </x:c>
      <x:c r="AG70" s="18" t="n">
        <x:f>'两日价格与决策'!AG70</x:f>
        <x:v>200</x:v>
      </x:c>
      <x:c r="AH70" s="18" t="n">
        <x:f>'两日价格与决策'!AH70</x:f>
        <x:v>200</x:v>
      </x:c>
      <x:c r="AI70" s="18" t="n">
        <x:f>'两日价格与决策'!AI70</x:f>
        <x:v>39.44</x:v>
      </x:c>
      <x:c r="AJ70" s="18" t="n">
        <x:f>'两日价格与决策'!AJ70</x:f>
        <x:v>0</x:v>
      </x:c>
      <x:c r="AK70" s="18" t="str">
        <x:f>'两日价格与决策'!AK70</x:f>
        <x:v>缺失</x:v>
      </x:c>
      <x:c r="AL70" s="18" t="n">
        <x:f>'两日价格与决策'!AL70</x:f>
        <x:v>0</x:v>
      </x:c>
      <x:c r="AM70" s="18" t="n">
        <x:f>'两日价格与决策'!AM70</x:f>
        <x:v>0</x:v>
      </x:c>
      <x:c r="AN70" s="18" t="n">
        <x:f>'两日价格与决策'!AN70</x:f>
        <x:v>0</x:v>
      </x:c>
      <x:c r="AO70" s="18" t="n">
        <x:f>'两日价格与决策'!AO70</x:f>
        <x:v>10</x:v>
      </x:c>
      <x:c r="AP70" s="18" t="n">
        <x:f>'两日价格与决策'!AP70</x:f>
        <x:v>0</x:v>
      </x:c>
      <x:c r="AQ70" s="18" t="n">
        <x:f>'两日价格与决策'!AQ70</x:f>
        <x:v>4.9741</x:v>
      </x:c>
      <x:c r="AR70" s="21" t="n">
        <x:f>'两日价格与决策'!AR70</x:f>
        <x:v>45657</x:v>
      </x:c>
      <x:c r="AS70" s="17" t="n">
        <x:f>'两日价格与决策'!AS70</x:f>
        <x:v>45658.572916666664</x:v>
      </x:c>
      <x:c r="AT70" s="18" t="str">
        <x:f>'两日价格与决策'!AT70</x:f>
        <x:v>2025-01-01_15</x:v>
      </x:c>
      <x:c r="AU70" s="19" t="n">
        <x:f>'两日价格与决策'!AU70</x:f>
        <x:v>60</x:v>
      </x:c>
      <x:c r="AV70" s="18" t="str">
        <x:f>'两日价格与决策'!AV70</x:f>
        <x:v>OK</x:v>
      </x:c>
    </x:row>
    <x:row r="71" ht="21" customHeight="1">
      <x:c r="A71" s="17" t="n">
        <x:f>'两日价格与决策'!A71</x:f>
        <x:v>45658.666666666664</x:v>
      </x:c>
      <x:c r="B71" s="23" t="n">
        <x:f>'两日价格与决策'!B71</x:f>
        <x:v>90.51</x:v>
      </x:c>
      <x:c r="C71" s="23" t="str">
        <x:f>'两日价格与决策'!C71</x:f>
        <x:v>缺失</x:v>
      </x:c>
      <x:c r="D71" s="23" t="n">
        <x:f>'两日价格与决策'!D71</x:f>
        <x:v>13.831647936310086</x:v>
      </x:c>
      <x:c r="E71" s="23" t="n">
        <x:f>'两日价格与决策'!E71</x:f>
        <x:v>14.710198829939085</x:v>
      </x:c>
      <x:c r="F71" s="23" t="n">
        <x:f>'两日价格与决策'!F71</x:f>
        <x:v>176.35109869122053</x:v>
      </x:c>
      <x:c r="G71" s="23" t="n">
        <x:f>'两日价格与决策'!G71</x:f>
        <x:v>5.201342956514746</x:v>
      </x:c>
      <x:c r="H71" s="23" t="str">
        <x:f>'两日价格与决策'!H71</x:f>
        <x:v>未模拟</x:v>
      </x:c>
      <x:c r="I71" s="24" t="n">
        <x:f>'两日价格与决策'!I71</x:f>
        <x:v>10</x:v>
      </x:c>
      <x:c r="J71" s="24" t="n">
        <x:f>'两日价格与决策'!J71</x:f>
        <x:v>10</x:v>
      </x:c>
      <x:c r="K71" s="24" t="n">
        <x:f>'两日价格与决策'!K71</x:f>
        <x:v>0</x:v>
      </x:c>
      <x:c r="L71" s="24" t="n">
        <x:f>'两日价格与决策'!L71</x:f>
        <x:v>0</x:v>
      </x:c>
      <x:c r="M71" s="24" t="n">
        <x:f>'两日价格与决策'!M71</x:f>
        <x:v>0</x:v>
      </x:c>
      <x:c r="N71" s="24" t="n">
        <x:f>'两日价格与决策'!N71</x:f>
        <x:v>0</x:v>
      </x:c>
      <x:c r="O71" s="24" t="n">
        <x:f>'两日价格与决策'!O71</x:f>
        <x:v>0</x:v>
      </x:c>
      <x:c r="P71" s="24" t="n">
        <x:f>'两日价格与决策'!P71</x:f>
        <x:v>0</x:v>
      </x:c>
      <x:c r="Q71" s="25" t="n">
        <x:f>'两日价格与决策'!Q71</x:f>
        <x:v>0</x:v>
      </x:c>
      <x:c r="R71" s="25" t="n">
        <x:f>'两日价格与决策'!R71</x:f>
        <x:v>0</x:v>
      </x:c>
      <x:c r="S71" s="25" t="n">
        <x:f>'两日价格与决策'!S71</x:f>
        <x:v>0</x:v>
      </x:c>
      <x:c r="T71" s="25" t="n">
        <x:f>'两日价格与决策'!T71</x:f>
        <x:v>0</x:v>
      </x:c>
      <x:c r="U71" s="25" t="n">
        <x:f>'两日价格与决策'!U71</x:f>
        <x:v>0</x:v>
      </x:c>
      <x:c r="V71" s="25" t="n">
        <x:f>'两日价格与决策'!V71</x:f>
        <x:v>0</x:v>
      </x:c>
      <x:c r="W71" s="25" t="n">
        <x:f>'两日价格与决策'!W71</x:f>
        <x:v>0</x:v>
      </x:c>
      <x:c r="X71" s="18" t="n">
        <x:f>'两日价格与决策'!X71</x:f>
        <x:v>0</x:v>
      </x:c>
      <x:c r="Y71" s="18" t="n">
        <x:f>'两日价格与决策'!Y71</x:f>
        <x:v>0</x:v>
      </x:c>
      <x:c r="Z71" s="18" t="str">
        <x:f>'两日价格与决策'!Z71</x:f>
        <x:v>1月1日执行｜初始化零订单</x:v>
      </x:c>
      <x:c r="AA71" s="19" t="n">
        <x:f>'两日价格与决策'!AA71</x:f>
        <x:v>1</x:v>
      </x:c>
      <x:c r="AB71" s="19" t="n">
        <x:f>'两日价格与决策'!AB71</x:f>
        <x:v>0</x:v>
      </x:c>
      <x:c r="AC71" s="18" t="n">
        <x:f>'两日价格与决策'!AC71</x:f>
        <x:v>0.25</x:v>
      </x:c>
      <x:c r="AD71" s="20" t="n">
        <x:f>'两日价格与决策'!AD71</x:f>
        <x:v>1</x:v>
      </x:c>
      <x:c r="AE71" s="20" t="n">
        <x:f>'两日价格与决策'!AE71</x:f>
        <x:v>0.0742</x:v>
      </x:c>
      <x:c r="AF71" s="20" t="n">
        <x:f>'两日价格与决策'!AF71</x:f>
        <x:v>0.23484000000000002</x:v>
      </x:c>
      <x:c r="AG71" s="18" t="n">
        <x:f>'两日价格与决策'!AG71</x:f>
        <x:v>200</x:v>
      </x:c>
      <x:c r="AH71" s="18" t="n">
        <x:f>'两日价格与决策'!AH71</x:f>
        <x:v>200</x:v>
      </x:c>
      <x:c r="AI71" s="18" t="n">
        <x:f>'两日价格与决策'!AI71</x:f>
        <x:v>3.71</x:v>
      </x:c>
      <x:c r="AJ71" s="18" t="n">
        <x:f>'两日价格与决策'!AJ71</x:f>
        <x:v>11.742</x:v>
      </x:c>
      <x:c r="AK71" s="18" t="str">
        <x:f>'两日价格与决策'!AK71</x:f>
        <x:v>缺失</x:v>
      </x:c>
      <x:c r="AL71" s="18" t="n">
        <x:f>'两日价格与决策'!AL71</x:f>
        <x:v>0</x:v>
      </x:c>
      <x:c r="AM71" s="18" t="n">
        <x:f>'两日价格与决策'!AM71</x:f>
        <x:v>0</x:v>
      </x:c>
      <x:c r="AN71" s="18" t="n">
        <x:f>'两日价格与决策'!AN71</x:f>
        <x:v>0</x:v>
      </x:c>
      <x:c r="AO71" s="18" t="n">
        <x:f>'两日价格与决策'!AO71</x:f>
        <x:v>10</x:v>
      </x:c>
      <x:c r="AP71" s="18" t="n">
        <x:f>'两日价格与决策'!AP71</x:f>
        <x:v>0</x:v>
      </x:c>
      <x:c r="AQ71" s="18" t="n">
        <x:f>'两日价格与决策'!AQ71</x:f>
        <x:v>4.9741</x:v>
      </x:c>
      <x:c r="AR71" s="21" t="n">
        <x:f>'两日价格与决策'!AR71</x:f>
        <x:v>45657</x:v>
      </x:c>
      <x:c r="AS71" s="17" t="n">
        <x:f>'两日价格与决策'!AS71</x:f>
        <x:v>45658.583333333336</x:v>
      </x:c>
      <x:c r="AT71" s="18" t="str">
        <x:f>'两日价格与决策'!AT71</x:f>
        <x:v>2025-01-01_16</x:v>
      </x:c>
      <x:c r="AU71" s="19" t="n">
        <x:f>'两日价格与决策'!AU71</x:f>
        <x:v>60</x:v>
      </x:c>
      <x:c r="AV71" s="18" t="str">
        <x:f>'两日价格与决策'!AV71</x:f>
        <x:v>OK</x:v>
      </x:c>
    </x:row>
    <x:row r="72" ht="21" customHeight="1">
      <x:c r="A72" s="17" t="n">
        <x:f>'两日价格与决策'!A72</x:f>
        <x:v>45658.677083333336</x:v>
      </x:c>
      <x:c r="B72" s="23" t="n">
        <x:f>'两日价格与决策'!B72</x:f>
        <x:v>90.51</x:v>
      </x:c>
      <x:c r="C72" s="23" t="str">
        <x:f>'两日价格与决策'!C72</x:f>
        <x:v>缺失</x:v>
      </x:c>
      <x:c r="D72" s="23" t="n">
        <x:f>'两日价格与决策'!D72</x:f>
        <x:v>13.831647936310086</x:v>
      </x:c>
      <x:c r="E72" s="23" t="n">
        <x:f>'两日价格与决策'!E72</x:f>
        <x:v>14.710198829939085</x:v>
      </x:c>
      <x:c r="F72" s="23" t="n">
        <x:f>'两日价格与决策'!F72</x:f>
        <x:v>0</x:v>
      </x:c>
      <x:c r="G72" s="23" t="n">
        <x:f>'两日价格与决策'!G72</x:f>
        <x:v>20.681128244305505</x:v>
      </x:c>
      <x:c r="H72" s="23" t="str">
        <x:f>'两日价格与决策'!H72</x:f>
        <x:v>未模拟</x:v>
      </x:c>
      <x:c r="I72" s="24" t="n">
        <x:f>'两日价格与决策'!I72</x:f>
        <x:v>10</x:v>
      </x:c>
      <x:c r="J72" s="24" t="n">
        <x:f>'两日价格与决策'!J72</x:f>
        <x:v>10</x:v>
      </x:c>
      <x:c r="K72" s="24" t="n">
        <x:f>'两日价格与决策'!K72</x:f>
        <x:v>0</x:v>
      </x:c>
      <x:c r="L72" s="24" t="n">
        <x:f>'两日价格与决策'!L72</x:f>
        <x:v>0</x:v>
      </x:c>
      <x:c r="M72" s="24" t="n">
        <x:f>'两日价格与决策'!M72</x:f>
        <x:v>0</x:v>
      </x:c>
      <x:c r="N72" s="24" t="n">
        <x:f>'两日价格与决策'!N72</x:f>
        <x:v>0</x:v>
      </x:c>
      <x:c r="O72" s="24" t="n">
        <x:f>'两日价格与决策'!O72</x:f>
        <x:v>0</x:v>
      </x:c>
      <x:c r="P72" s="24" t="n">
        <x:f>'两日价格与决策'!P72</x:f>
        <x:v>0</x:v>
      </x:c>
      <x:c r="Q72" s="25" t="n">
        <x:f>'两日价格与决策'!Q72</x:f>
        <x:v>0</x:v>
      </x:c>
      <x:c r="R72" s="25" t="n">
        <x:f>'两日价格与决策'!R72</x:f>
        <x:v>0</x:v>
      </x:c>
      <x:c r="S72" s="25" t="n">
        <x:f>'两日价格与决策'!S72</x:f>
        <x:v>0</x:v>
      </x:c>
      <x:c r="T72" s="25" t="n">
        <x:f>'两日价格与决策'!T72</x:f>
        <x:v>0</x:v>
      </x:c>
      <x:c r="U72" s="25" t="n">
        <x:f>'两日价格与决策'!U72</x:f>
        <x:v>0</x:v>
      </x:c>
      <x:c r="V72" s="25" t="n">
        <x:f>'两日价格与决策'!V72</x:f>
        <x:v>0</x:v>
      </x:c>
      <x:c r="W72" s="25" t="n">
        <x:f>'两日价格与决策'!W72</x:f>
        <x:v>0</x:v>
      </x:c>
      <x:c r="X72" s="18" t="n">
        <x:f>'两日价格与决策'!X72</x:f>
        <x:v>0</x:v>
      </x:c>
      <x:c r="Y72" s="18" t="n">
        <x:f>'两日价格与决策'!Y72</x:f>
        <x:v>0</x:v>
      </x:c>
      <x:c r="Z72" s="18" t="str">
        <x:f>'两日价格与决策'!Z72</x:f>
        <x:v>1月1日执行｜初始化零订单</x:v>
      </x:c>
      <x:c r="AA72" s="19" t="n">
        <x:f>'两日价格与决策'!AA72</x:f>
        <x:v>1</x:v>
      </x:c>
      <x:c r="AB72" s="19" t="n">
        <x:f>'两日价格与决策'!AB72</x:f>
        <x:v>0</x:v>
      </x:c>
      <x:c r="AC72" s="18" t="n">
        <x:f>'两日价格与决策'!AC72</x:f>
        <x:v>0.25</x:v>
      </x:c>
      <x:c r="AD72" s="20" t="n">
        <x:f>'两日价格与决策'!AD72</x:f>
        <x:v>1</x:v>
      </x:c>
      <x:c r="AE72" s="20" t="n">
        <x:f>'两日价格与决策'!AE72</x:f>
        <x:v>0</x:v>
      </x:c>
      <x:c r="AF72" s="20" t="n">
        <x:f>'两日价格与决策'!AF72</x:f>
        <x:v>0.11582</x:v>
      </x:c>
      <x:c r="AG72" s="18" t="n">
        <x:f>'两日价格与决策'!AG72</x:f>
        <x:v>200</x:v>
      </x:c>
      <x:c r="AH72" s="18" t="n">
        <x:f>'两日价格与决策'!AH72</x:f>
        <x:v>200</x:v>
      </x:c>
      <x:c r="AI72" s="18" t="n">
        <x:f>'两日价格与决策'!AI72</x:f>
        <x:v>0</x:v>
      </x:c>
      <x:c r="AJ72" s="18" t="n">
        <x:f>'两日价格与决策'!AJ72</x:f>
        <x:v>5.791</x:v>
      </x:c>
      <x:c r="AK72" s="18" t="str">
        <x:f>'两日价格与决策'!AK72</x:f>
        <x:v>缺失</x:v>
      </x:c>
      <x:c r="AL72" s="18" t="n">
        <x:f>'两日价格与决策'!AL72</x:f>
        <x:v>0</x:v>
      </x:c>
      <x:c r="AM72" s="18" t="n">
        <x:f>'两日价格与决策'!AM72</x:f>
        <x:v>0</x:v>
      </x:c>
      <x:c r="AN72" s="18" t="n">
        <x:f>'两日价格与决策'!AN72</x:f>
        <x:v>0</x:v>
      </x:c>
      <x:c r="AO72" s="18" t="n">
        <x:f>'两日价格与决策'!AO72</x:f>
        <x:v>10</x:v>
      </x:c>
      <x:c r="AP72" s="18" t="n">
        <x:f>'两日价格与决策'!AP72</x:f>
        <x:v>0</x:v>
      </x:c>
      <x:c r="AQ72" s="18" t="n">
        <x:f>'两日价格与决策'!AQ72</x:f>
        <x:v>4.9741</x:v>
      </x:c>
      <x:c r="AR72" s="21" t="n">
        <x:f>'两日价格与决策'!AR72</x:f>
        <x:v>45657</x:v>
      </x:c>
      <x:c r="AS72" s="17" t="n">
        <x:f>'两日价格与决策'!AS72</x:f>
        <x:v>45658.59375</x:v>
      </x:c>
      <x:c r="AT72" s="18" t="str">
        <x:f>'两日价格与决策'!AT72</x:f>
        <x:v>2025-01-01_16</x:v>
      </x:c>
      <x:c r="AU72" s="19" t="n">
        <x:f>'两日价格与决策'!AU72</x:f>
        <x:v>60</x:v>
      </x:c>
      <x:c r="AV72" s="18" t="str">
        <x:f>'两日价格与决策'!AV72</x:f>
        <x:v>OK</x:v>
      </x:c>
    </x:row>
    <x:row r="73" ht="21" customHeight="1">
      <x:c r="A73" s="17" t="n">
        <x:f>'两日价格与决策'!A73</x:f>
        <x:v>45658.6875</x:v>
      </x:c>
      <x:c r="B73" s="23" t="n">
        <x:f>'两日价格与决策'!B73</x:f>
        <x:v>90.51</x:v>
      </x:c>
      <x:c r="C73" s="23" t="str">
        <x:f>'两日价格与决策'!C73</x:f>
        <x:v>缺失</x:v>
      </x:c>
      <x:c r="D73" s="23" t="n">
        <x:f>'两日价格与决策'!D73</x:f>
        <x:v>13.831647936310086</x:v>
      </x:c>
      <x:c r="E73" s="23" t="n">
        <x:f>'两日价格与决策'!E73</x:f>
        <x:v>14.710198829939085</x:v>
      </x:c>
      <x:c r="F73" s="23" t="n">
        <x:f>'两日价格与决策'!F73</x:f>
        <x:v>136.70814820771596</x:v>
      </x:c>
      <x:c r="G73" s="23" t="n">
        <x:f>'两日价格与决策'!G73</x:f>
        <x:v>53.78058342212661</x:v>
      </x:c>
      <x:c r="H73" s="23" t="str">
        <x:f>'两日价格与决策'!H73</x:f>
        <x:v>未模拟</x:v>
      </x:c>
      <x:c r="I73" s="24" t="n">
        <x:f>'两日价格与决策'!I73</x:f>
        <x:v>10</x:v>
      </x:c>
      <x:c r="J73" s="24" t="n">
        <x:f>'两日价格与决策'!J73</x:f>
        <x:v>10</x:v>
      </x:c>
      <x:c r="K73" s="24" t="n">
        <x:f>'两日价格与决策'!K73</x:f>
        <x:v>0</x:v>
      </x:c>
      <x:c r="L73" s="24" t="n">
        <x:f>'两日价格与决策'!L73</x:f>
        <x:v>0</x:v>
      </x:c>
      <x:c r="M73" s="24" t="n">
        <x:f>'两日价格与决策'!M73</x:f>
        <x:v>0</x:v>
      </x:c>
      <x:c r="N73" s="24" t="n">
        <x:f>'两日价格与决策'!N73</x:f>
        <x:v>0</x:v>
      </x:c>
      <x:c r="O73" s="24" t="n">
        <x:f>'两日价格与决策'!O73</x:f>
        <x:v>0</x:v>
      </x:c>
      <x:c r="P73" s="24" t="n">
        <x:f>'两日价格与决策'!P73</x:f>
        <x:v>0</x:v>
      </x:c>
      <x:c r="Q73" s="25" t="n">
        <x:f>'两日价格与决策'!Q73</x:f>
        <x:v>0</x:v>
      </x:c>
      <x:c r="R73" s="25" t="n">
        <x:f>'两日价格与决策'!R73</x:f>
        <x:v>0</x:v>
      </x:c>
      <x:c r="S73" s="25" t="n">
        <x:f>'两日价格与决策'!S73</x:f>
        <x:v>0</x:v>
      </x:c>
      <x:c r="T73" s="25" t="n">
        <x:f>'两日价格与决策'!T73</x:f>
        <x:v>0</x:v>
      </x:c>
      <x:c r="U73" s="25" t="n">
        <x:f>'两日价格与决策'!U73</x:f>
        <x:v>0</x:v>
      </x:c>
      <x:c r="V73" s="25" t="n">
        <x:f>'两日价格与决策'!V73</x:f>
        <x:v>0</x:v>
      </x:c>
      <x:c r="W73" s="25" t="n">
        <x:f>'两日价格与决策'!W73</x:f>
        <x:v>0</x:v>
      </x:c>
      <x:c r="X73" s="18" t="n">
        <x:f>'两日价格与决策'!X73</x:f>
        <x:v>0</x:v>
      </x:c>
      <x:c r="Y73" s="18" t="n">
        <x:f>'两日价格与决策'!Y73</x:f>
        <x:v>0</x:v>
      </x:c>
      <x:c r="Z73" s="18" t="str">
        <x:f>'两日价格与决策'!Z73</x:f>
        <x:v>1月1日执行｜初始化零订单</x:v>
      </x:c>
      <x:c r="AA73" s="19" t="n">
        <x:f>'两日价格与决策'!AA73</x:f>
        <x:v>1</x:v>
      </x:c>
      <x:c r="AB73" s="19" t="n">
        <x:f>'两日价格与决策'!AB73</x:f>
        <x:v>0</x:v>
      </x:c>
      <x:c r="AC73" s="18" t="n">
        <x:f>'两日价格与决策'!AC73</x:f>
        <x:v>0.25</x:v>
      </x:c>
      <x:c r="AD73" s="20" t="n">
        <x:f>'两日价格与决策'!AD73</x:f>
        <x:v>1</x:v>
      </x:c>
      <x:c r="AE73" s="20" t="n">
        <x:f>'两日价格与决策'!AE73</x:f>
        <x:v>0.00006</x:v>
      </x:c>
      <x:c r="AF73" s="20" t="n">
        <x:f>'两日价格与决策'!AF73</x:f>
        <x:v>0.02152</x:v>
      </x:c>
      <x:c r="AG73" s="18" t="n">
        <x:f>'两日价格与决策'!AG73</x:f>
        <x:v>200</x:v>
      </x:c>
      <x:c r="AH73" s="18" t="n">
        <x:f>'两日价格与决策'!AH73</x:f>
        <x:v>200</x:v>
      </x:c>
      <x:c r="AI73" s="18" t="n">
        <x:f>'两日价格与决策'!AI73</x:f>
        <x:v>0.003</x:v>
      </x:c>
      <x:c r="AJ73" s="18" t="n">
        <x:f>'两日价格与决策'!AJ73</x:f>
        <x:v>1.076</x:v>
      </x:c>
      <x:c r="AK73" s="18" t="str">
        <x:f>'两日价格与决策'!AK73</x:f>
        <x:v>缺失</x:v>
      </x:c>
      <x:c r="AL73" s="18" t="n">
        <x:f>'两日价格与决策'!AL73</x:f>
        <x:v>0</x:v>
      </x:c>
      <x:c r="AM73" s="18" t="n">
        <x:f>'两日价格与决策'!AM73</x:f>
        <x:v>0</x:v>
      </x:c>
      <x:c r="AN73" s="18" t="n">
        <x:f>'两日价格与决策'!AN73</x:f>
        <x:v>0</x:v>
      </x:c>
      <x:c r="AO73" s="18" t="n">
        <x:f>'两日价格与决策'!AO73</x:f>
        <x:v>10</x:v>
      </x:c>
      <x:c r="AP73" s="18" t="n">
        <x:f>'两日价格与决策'!AP73</x:f>
        <x:v>0</x:v>
      </x:c>
      <x:c r="AQ73" s="18" t="n">
        <x:f>'两日价格与决策'!AQ73</x:f>
        <x:v>4.9741</x:v>
      </x:c>
      <x:c r="AR73" s="21" t="n">
        <x:f>'两日价格与决策'!AR73</x:f>
        <x:v>45657</x:v>
      </x:c>
      <x:c r="AS73" s="17" t="n">
        <x:f>'两日价格与决策'!AS73</x:f>
        <x:v>45658.604166666664</x:v>
      </x:c>
      <x:c r="AT73" s="18" t="str">
        <x:f>'两日价格与决策'!AT73</x:f>
        <x:v>2025-01-01_16</x:v>
      </x:c>
      <x:c r="AU73" s="19" t="n">
        <x:f>'两日价格与决策'!AU73</x:f>
        <x:v>60</x:v>
      </x:c>
      <x:c r="AV73" s="18" t="str">
        <x:f>'两日价格与决策'!AV73</x:f>
        <x:v>OK</x:v>
      </x:c>
    </x:row>
    <x:row r="74" ht="21" customHeight="1">
      <x:c r="A74" s="17" t="n">
        <x:f>'两日价格与决策'!A74</x:f>
        <x:v>45658.697916666664</x:v>
      </x:c>
      <x:c r="B74" s="23" t="n">
        <x:f>'两日价格与决策'!B74</x:f>
        <x:v>90.51</x:v>
      </x:c>
      <x:c r="C74" s="23" t="str">
        <x:f>'两日价格与决策'!C74</x:f>
        <x:v>缺失</x:v>
      </x:c>
      <x:c r="D74" s="23" t="n">
        <x:f>'两日价格与决策'!D74</x:f>
        <x:v>13.831647936310086</x:v>
      </x:c>
      <x:c r="E74" s="23" t="n">
        <x:f>'两日价格与决策'!E74</x:f>
        <x:v>14.710198829939085</x:v>
      </x:c>
      <x:c r="F74" s="23" t="n">
        <x:f>'两日价格与决策'!F74</x:f>
        <x:v>179.02977423051405</x:v>
      </x:c>
      <x:c r="G74" s="23" t="n">
        <x:f>'两日价格与决策'!G74</x:f>
        <x:v>58.50304577712551</x:v>
      </x:c>
      <x:c r="H74" s="23" t="str">
        <x:f>'两日价格与决策'!H74</x:f>
        <x:v>未模拟</x:v>
      </x:c>
      <x:c r="I74" s="24" t="n">
        <x:f>'两日价格与决策'!I74</x:f>
        <x:v>10</x:v>
      </x:c>
      <x:c r="J74" s="24" t="n">
        <x:f>'两日价格与决策'!J74</x:f>
        <x:v>10</x:v>
      </x:c>
      <x:c r="K74" s="24" t="n">
        <x:f>'两日价格与决策'!K74</x:f>
        <x:v>0</x:v>
      </x:c>
      <x:c r="L74" s="24" t="n">
        <x:f>'两日价格与决策'!L74</x:f>
        <x:v>0</x:v>
      </x:c>
      <x:c r="M74" s="24" t="n">
        <x:f>'两日价格与决策'!M74</x:f>
        <x:v>0</x:v>
      </x:c>
      <x:c r="N74" s="24" t="n">
        <x:f>'两日价格与决策'!N74</x:f>
        <x:v>0</x:v>
      </x:c>
      <x:c r="O74" s="24" t="n">
        <x:f>'两日价格与决策'!O74</x:f>
        <x:v>0</x:v>
      </x:c>
      <x:c r="P74" s="24" t="n">
        <x:f>'两日价格与决策'!P74</x:f>
        <x:v>0</x:v>
      </x:c>
      <x:c r="Q74" s="25" t="n">
        <x:f>'两日价格与决策'!Q74</x:f>
        <x:v>0</x:v>
      </x:c>
      <x:c r="R74" s="25" t="n">
        <x:f>'两日价格与决策'!R74</x:f>
        <x:v>0</x:v>
      </x:c>
      <x:c r="S74" s="25" t="n">
        <x:f>'两日价格与决策'!S74</x:f>
        <x:v>0</x:v>
      </x:c>
      <x:c r="T74" s="25" t="n">
        <x:f>'两日价格与决策'!T74</x:f>
        <x:v>0</x:v>
      </x:c>
      <x:c r="U74" s="25" t="n">
        <x:f>'两日价格与决策'!U74</x:f>
        <x:v>0</x:v>
      </x:c>
      <x:c r="V74" s="25" t="n">
        <x:f>'两日价格与决策'!V74</x:f>
        <x:v>0</x:v>
      </x:c>
      <x:c r="W74" s="25" t="n">
        <x:f>'两日价格与决策'!W74</x:f>
        <x:v>0</x:v>
      </x:c>
      <x:c r="X74" s="18" t="n">
        <x:f>'两日价格与决策'!X74</x:f>
        <x:v>0</x:v>
      </x:c>
      <x:c r="Y74" s="18" t="n">
        <x:f>'两日价格与决策'!Y74</x:f>
        <x:v>0</x:v>
      </x:c>
      <x:c r="Z74" s="18" t="str">
        <x:f>'两日价格与决策'!Z74</x:f>
        <x:v>1月1日执行｜初始化零订单</x:v>
      </x:c>
      <x:c r="AA74" s="19" t="n">
        <x:f>'两日价格与决策'!AA74</x:f>
        <x:v>1</x:v>
      </x:c>
      <x:c r="AB74" s="19" t="n">
        <x:f>'两日价格与决策'!AB74</x:f>
        <x:v>0</x:v>
      </x:c>
      <x:c r="AC74" s="18" t="n">
        <x:f>'两日价格与决策'!AC74</x:f>
        <x:v>0.25</x:v>
      </x:c>
      <x:c r="AD74" s="20" t="n">
        <x:f>'两日价格与决策'!AD74</x:f>
        <x:v>1</x:v>
      </x:c>
      <x:c r="AE74" s="20" t="n">
        <x:f>'两日价格与决策'!AE74</x:f>
        <x:v>0.24696</x:v>
      </x:c>
      <x:c r="AF74" s="20" t="n">
        <x:f>'两日价格与决策'!AF74</x:f>
        <x:v>0.00034</x:v>
      </x:c>
      <x:c r="AG74" s="18" t="n">
        <x:f>'两日价格与决策'!AG74</x:f>
        <x:v>200</x:v>
      </x:c>
      <x:c r="AH74" s="18" t="n">
        <x:f>'两日价格与决策'!AH74</x:f>
        <x:v>200</x:v>
      </x:c>
      <x:c r="AI74" s="18" t="n">
        <x:f>'两日价格与决策'!AI74</x:f>
        <x:v>12.348</x:v>
      </x:c>
      <x:c r="AJ74" s="18" t="n">
        <x:f>'两日价格与决策'!AJ74</x:f>
        <x:v>0.017</x:v>
      </x:c>
      <x:c r="AK74" s="18" t="str">
        <x:f>'两日价格与决策'!AK74</x:f>
        <x:v>缺失</x:v>
      </x:c>
      <x:c r="AL74" s="18" t="n">
        <x:f>'两日价格与决策'!AL74</x:f>
        <x:v>0</x:v>
      </x:c>
      <x:c r="AM74" s="18" t="n">
        <x:f>'两日价格与决策'!AM74</x:f>
        <x:v>0</x:v>
      </x:c>
      <x:c r="AN74" s="18" t="n">
        <x:f>'两日价格与决策'!AN74</x:f>
        <x:v>0</x:v>
      </x:c>
      <x:c r="AO74" s="18" t="n">
        <x:f>'两日价格与决策'!AO74</x:f>
        <x:v>10</x:v>
      </x:c>
      <x:c r="AP74" s="18" t="n">
        <x:f>'两日价格与决策'!AP74</x:f>
        <x:v>0</x:v>
      </x:c>
      <x:c r="AQ74" s="18" t="n">
        <x:f>'两日价格与决策'!AQ74</x:f>
        <x:v>4.9741</x:v>
      </x:c>
      <x:c r="AR74" s="21" t="n">
        <x:f>'两日价格与决策'!AR74</x:f>
        <x:v>45657</x:v>
      </x:c>
      <x:c r="AS74" s="17" t="n">
        <x:f>'两日价格与决策'!AS74</x:f>
        <x:v>45658.614583333336</x:v>
      </x:c>
      <x:c r="AT74" s="18" t="str">
        <x:f>'两日价格与决策'!AT74</x:f>
        <x:v>2025-01-01_16</x:v>
      </x:c>
      <x:c r="AU74" s="19" t="n">
        <x:f>'两日价格与决策'!AU74</x:f>
        <x:v>60</x:v>
      </x:c>
      <x:c r="AV74" s="18" t="str">
        <x:f>'两日价格与决策'!AV74</x:f>
        <x:v>OK</x:v>
      </x:c>
    </x:row>
    <x:row r="75" ht="21" customHeight="1">
      <x:c r="A75" s="17" t="n">
        <x:f>'两日价格与决策'!A75</x:f>
        <x:v>45658.708333333336</x:v>
      </x:c>
      <x:c r="B75" s="23" t="n">
        <x:f>'两日价格与决策'!B75</x:f>
        <x:v>120.79</x:v>
      </x:c>
      <x:c r="C75" s="23" t="str">
        <x:f>'两日价格与决策'!C75</x:f>
        <x:v>缺失</x:v>
      </x:c>
      <x:c r="D75" s="23" t="n">
        <x:f>'两日价格与决策'!D75</x:f>
        <x:v>13.831647936310086</x:v>
      </x:c>
      <x:c r="E75" s="23" t="n">
        <x:f>'两日价格与决策'!E75</x:f>
        <x:v>14.676021792887155</x:v>
      </x:c>
      <x:c r="F75" s="23" t="n">
        <x:f>'两日价格与决策'!F75</x:f>
        <x:v>175.82577752759295</x:v>
      </x:c>
      <x:c r="G75" s="23" t="n">
        <x:f>'两日价格与决策'!G75</x:f>
        <x:v>43.2315393739571</x:v>
      </x:c>
      <x:c r="H75" s="23" t="str">
        <x:f>'两日价格与决策'!H75</x:f>
        <x:v>未模拟</x:v>
      </x:c>
      <x:c r="I75" s="24" t="n">
        <x:f>'两日价格与决策'!I75</x:f>
        <x:v>10</x:v>
      </x:c>
      <x:c r="J75" s="24" t="n">
        <x:f>'两日价格与决策'!J75</x:f>
        <x:v>10</x:v>
      </x:c>
      <x:c r="K75" s="24" t="n">
        <x:f>'两日价格与决策'!K75</x:f>
        <x:v>0</x:v>
      </x:c>
      <x:c r="L75" s="24" t="n">
        <x:f>'两日价格与决策'!L75</x:f>
        <x:v>0</x:v>
      </x:c>
      <x:c r="M75" s="24" t="n">
        <x:f>'两日价格与决策'!M75</x:f>
        <x:v>0</x:v>
      </x:c>
      <x:c r="N75" s="24" t="n">
        <x:f>'两日价格与决策'!N75</x:f>
        <x:v>0</x:v>
      </x:c>
      <x:c r="O75" s="24" t="n">
        <x:f>'两日价格与决策'!O75</x:f>
        <x:v>0</x:v>
      </x:c>
      <x:c r="P75" s="24" t="n">
        <x:f>'两日价格与决策'!P75</x:f>
        <x:v>0</x:v>
      </x:c>
      <x:c r="Q75" s="25" t="n">
        <x:f>'两日价格与决策'!Q75</x:f>
        <x:v>0</x:v>
      </x:c>
      <x:c r="R75" s="25" t="n">
        <x:f>'两日价格与决策'!R75</x:f>
        <x:v>0</x:v>
      </x:c>
      <x:c r="S75" s="25" t="n">
        <x:f>'两日价格与决策'!S75</x:f>
        <x:v>0</x:v>
      </x:c>
      <x:c r="T75" s="25" t="n">
        <x:f>'两日价格与决策'!T75</x:f>
        <x:v>0</x:v>
      </x:c>
      <x:c r="U75" s="25" t="n">
        <x:f>'两日价格与决策'!U75</x:f>
        <x:v>0</x:v>
      </x:c>
      <x:c r="V75" s="25" t="n">
        <x:f>'两日价格与决策'!V75</x:f>
        <x:v>0</x:v>
      </x:c>
      <x:c r="W75" s="25" t="n">
        <x:f>'两日价格与决策'!W75</x:f>
        <x:v>0</x:v>
      </x:c>
      <x:c r="X75" s="18" t="n">
        <x:f>'两日价格与决策'!X75</x:f>
        <x:v>0</x:v>
      </x:c>
      <x:c r="Y75" s="18" t="n">
        <x:f>'两日价格与决策'!Y75</x:f>
        <x:v>0</x:v>
      </x:c>
      <x:c r="Z75" s="18" t="str">
        <x:f>'两日价格与决策'!Z75</x:f>
        <x:v>1月1日执行｜初始化零订单</x:v>
      </x:c>
      <x:c r="AA75" s="19" t="n">
        <x:f>'两日价格与决策'!AA75</x:f>
        <x:v>1</x:v>
      </x:c>
      <x:c r="AB75" s="19" t="n">
        <x:f>'两日价格与决策'!AB75</x:f>
        <x:v>0</x:v>
      </x:c>
      <x:c r="AC75" s="18" t="n">
        <x:f>'两日价格与决策'!AC75</x:f>
        <x:v>0.25</x:v>
      </x:c>
      <x:c r="AD75" s="20" t="n">
        <x:f>'两日价格与决策'!AD75</x:f>
        <x:v>1</x:v>
      </x:c>
      <x:c r="AE75" s="20" t="n">
        <x:f>'两日价格与决策'!AE75</x:f>
        <x:v>0.035179999999999996</x:v>
      </x:c>
      <x:c r="AF75" s="20" t="n">
        <x:f>'两日价格与决策'!AF75</x:f>
        <x:v>0.0069</x:v>
      </x:c>
      <x:c r="AG75" s="18" t="n">
        <x:f>'两日价格与决策'!AG75</x:f>
        <x:v>200</x:v>
      </x:c>
      <x:c r="AH75" s="18" t="n">
        <x:f>'两日价格与决策'!AH75</x:f>
        <x:v>200</x:v>
      </x:c>
      <x:c r="AI75" s="18" t="n">
        <x:f>'两日价格与决策'!AI75</x:f>
        <x:v>1.759</x:v>
      </x:c>
      <x:c r="AJ75" s="18" t="n">
        <x:f>'两日价格与决策'!AJ75</x:f>
        <x:v>0.345</x:v>
      </x:c>
      <x:c r="AK75" s="18" t="str">
        <x:f>'两日价格与决策'!AK75</x:f>
        <x:v>缺失</x:v>
      </x:c>
      <x:c r="AL75" s="18" t="n">
        <x:f>'两日价格与决策'!AL75</x:f>
        <x:v>0</x:v>
      </x:c>
      <x:c r="AM75" s="18" t="n">
        <x:f>'两日价格与决策'!AM75</x:f>
        <x:v>0</x:v>
      </x:c>
      <x:c r="AN75" s="18" t="n">
        <x:f>'两日价格与决策'!AN75</x:f>
        <x:v>0</x:v>
      </x:c>
      <x:c r="AO75" s="18" t="n">
        <x:f>'两日价格与决策'!AO75</x:f>
        <x:v>10</x:v>
      </x:c>
      <x:c r="AP75" s="18" t="n">
        <x:f>'两日价格与决策'!AP75</x:f>
        <x:v>0</x:v>
      </x:c>
      <x:c r="AQ75" s="18" t="n">
        <x:f>'两日价格与决策'!AQ75</x:f>
        <x:v>4.9741</x:v>
      </x:c>
      <x:c r="AR75" s="21" t="n">
        <x:f>'两日价格与决策'!AR75</x:f>
        <x:v>45657</x:v>
      </x:c>
      <x:c r="AS75" s="17" t="n">
        <x:f>'两日价格与决策'!AS75</x:f>
        <x:v>45658.625</x:v>
      </x:c>
      <x:c r="AT75" s="18" t="str">
        <x:f>'两日价格与决策'!AT75</x:f>
        <x:v>2025-01-01_17</x:v>
      </x:c>
      <x:c r="AU75" s="19" t="n">
        <x:f>'两日价格与决策'!AU75</x:f>
        <x:v>60</x:v>
      </x:c>
      <x:c r="AV75" s="18" t="str">
        <x:f>'两日价格与决策'!AV75</x:f>
        <x:v>OK</x:v>
      </x:c>
    </x:row>
    <x:row r="76" ht="21" customHeight="1">
      <x:c r="A76" s="17" t="n">
        <x:f>'两日价格与决策'!A76</x:f>
        <x:v>45658.71875</x:v>
      </x:c>
      <x:c r="B76" s="23" t="n">
        <x:f>'两日价格与决策'!B76</x:f>
        <x:v>120.79</x:v>
      </x:c>
      <x:c r="C76" s="23" t="str">
        <x:f>'两日价格与决策'!C76</x:f>
        <x:v>缺失</x:v>
      </x:c>
      <x:c r="D76" s="23" t="n">
        <x:f>'两日价格与决策'!D76</x:f>
        <x:v>13.831647936310086</x:v>
      </x:c>
      <x:c r="E76" s="23" t="n">
        <x:f>'两日价格与决策'!E76</x:f>
        <x:v>14.676021792887155</x:v>
      </x:c>
      <x:c r="F76" s="23" t="n">
        <x:f>'两日价格与决策'!F76</x:f>
        <x:v>189.7137170543415</x:v>
      </x:c>
      <x:c r="G76" s="23" t="n">
        <x:f>'两日价格与决策'!G76</x:f>
        <x:v>58.50304577712551</x:v>
      </x:c>
      <x:c r="H76" s="23" t="str">
        <x:f>'两日价格与决策'!H76</x:f>
        <x:v>未模拟</x:v>
      </x:c>
      <x:c r="I76" s="24" t="n">
        <x:f>'两日价格与决策'!I76</x:f>
        <x:v>10</x:v>
      </x:c>
      <x:c r="J76" s="24" t="n">
        <x:f>'两日价格与决策'!J76</x:f>
        <x:v>10</x:v>
      </x:c>
      <x:c r="K76" s="24" t="n">
        <x:f>'两日价格与决策'!K76</x:f>
        <x:v>0</x:v>
      </x:c>
      <x:c r="L76" s="24" t="n">
        <x:f>'两日价格与决策'!L76</x:f>
        <x:v>0</x:v>
      </x:c>
      <x:c r="M76" s="24" t="n">
        <x:f>'两日价格与决策'!M76</x:f>
        <x:v>0</x:v>
      </x:c>
      <x:c r="N76" s="24" t="n">
        <x:f>'两日价格与决策'!N76</x:f>
        <x:v>0</x:v>
      </x:c>
      <x:c r="O76" s="24" t="n">
        <x:f>'两日价格与决策'!O76</x:f>
        <x:v>0</x:v>
      </x:c>
      <x:c r="P76" s="24" t="n">
        <x:f>'两日价格与决策'!P76</x:f>
        <x:v>0</x:v>
      </x:c>
      <x:c r="Q76" s="25" t="n">
        <x:f>'两日价格与决策'!Q76</x:f>
        <x:v>0</x:v>
      </x:c>
      <x:c r="R76" s="25" t="n">
        <x:f>'两日价格与决策'!R76</x:f>
        <x:v>0</x:v>
      </x:c>
      <x:c r="S76" s="25" t="n">
        <x:f>'两日价格与决策'!S76</x:f>
        <x:v>0</x:v>
      </x:c>
      <x:c r="T76" s="25" t="n">
        <x:f>'两日价格与决策'!T76</x:f>
        <x:v>0</x:v>
      </x:c>
      <x:c r="U76" s="25" t="n">
        <x:f>'两日价格与决策'!U76</x:f>
        <x:v>0</x:v>
      </x:c>
      <x:c r="V76" s="25" t="n">
        <x:f>'两日价格与决策'!V76</x:f>
        <x:v>0</x:v>
      </x:c>
      <x:c r="W76" s="25" t="n">
        <x:f>'两日价格与决策'!W76</x:f>
        <x:v>0</x:v>
      </x:c>
      <x:c r="X76" s="18" t="n">
        <x:f>'两日价格与决策'!X76</x:f>
        <x:v>0</x:v>
      </x:c>
      <x:c r="Y76" s="18" t="n">
        <x:f>'两日价格与决策'!Y76</x:f>
        <x:v>0</x:v>
      </x:c>
      <x:c r="Z76" s="18" t="str">
        <x:f>'两日价格与决策'!Z76</x:f>
        <x:v>1月1日执行｜初始化零订单</x:v>
      </x:c>
      <x:c r="AA76" s="19" t="n">
        <x:f>'两日价格与决策'!AA76</x:f>
        <x:v>1</x:v>
      </x:c>
      <x:c r="AB76" s="19" t="n">
        <x:f>'两日价格与决策'!AB76</x:f>
        <x:v>0</x:v>
      </x:c>
      <x:c r="AC76" s="18" t="n">
        <x:f>'两日价格与决策'!AC76</x:f>
        <x:v>0.25</x:v>
      </x:c>
      <x:c r="AD76" s="20" t="n">
        <x:f>'两日价格与决策'!AD76</x:f>
        <x:v>1</x:v>
      </x:c>
      <x:c r="AE76" s="20" t="n">
        <x:f>'两日价格与决策'!AE76</x:f>
        <x:v>0.12386</x:v>
      </x:c>
      <x:c r="AF76" s="20" t="n">
        <x:f>'两日价格与决策'!AF76</x:f>
        <x:v>0.00008</x:v>
      </x:c>
      <x:c r="AG76" s="18" t="n">
        <x:f>'两日价格与决策'!AG76</x:f>
        <x:v>200</x:v>
      </x:c>
      <x:c r="AH76" s="18" t="n">
        <x:f>'两日价格与决策'!AH76</x:f>
        <x:v>200</x:v>
      </x:c>
      <x:c r="AI76" s="18" t="n">
        <x:f>'两日价格与决策'!AI76</x:f>
        <x:v>6.193</x:v>
      </x:c>
      <x:c r="AJ76" s="18" t="n">
        <x:f>'两日价格与决策'!AJ76</x:f>
        <x:v>0.004</x:v>
      </x:c>
      <x:c r="AK76" s="18" t="str">
        <x:f>'两日价格与决策'!AK76</x:f>
        <x:v>缺失</x:v>
      </x:c>
      <x:c r="AL76" s="18" t="n">
        <x:f>'两日价格与决策'!AL76</x:f>
        <x:v>0</x:v>
      </x:c>
      <x:c r="AM76" s="18" t="n">
        <x:f>'两日价格与决策'!AM76</x:f>
        <x:v>0</x:v>
      </x:c>
      <x:c r="AN76" s="18" t="n">
        <x:f>'两日价格与决策'!AN76</x:f>
        <x:v>0</x:v>
      </x:c>
      <x:c r="AO76" s="18" t="n">
        <x:f>'两日价格与决策'!AO76</x:f>
        <x:v>10</x:v>
      </x:c>
      <x:c r="AP76" s="18" t="n">
        <x:f>'两日价格与决策'!AP76</x:f>
        <x:v>0</x:v>
      </x:c>
      <x:c r="AQ76" s="18" t="n">
        <x:f>'两日价格与决策'!AQ76</x:f>
        <x:v>4.9741</x:v>
      </x:c>
      <x:c r="AR76" s="21" t="n">
        <x:f>'两日价格与决策'!AR76</x:f>
        <x:v>45657</x:v>
      </x:c>
      <x:c r="AS76" s="17" t="n">
        <x:f>'两日价格与决策'!AS76</x:f>
        <x:v>45658.635416666664</x:v>
      </x:c>
      <x:c r="AT76" s="18" t="str">
        <x:f>'两日价格与决策'!AT76</x:f>
        <x:v>2025-01-01_17</x:v>
      </x:c>
      <x:c r="AU76" s="19" t="n">
        <x:f>'两日价格与决策'!AU76</x:f>
        <x:v>60</x:v>
      </x:c>
      <x:c r="AV76" s="18" t="str">
        <x:f>'两日价格与决策'!AV76</x:f>
        <x:v>OK</x:v>
      </x:c>
    </x:row>
    <x:row r="77" ht="21" customHeight="1">
      <x:c r="A77" s="17" t="n">
        <x:f>'两日价格与决策'!A77</x:f>
        <x:v>45658.729166666664</x:v>
      </x:c>
      <x:c r="B77" s="23" t="n">
        <x:f>'两日价格与决策'!B77</x:f>
        <x:v>120.79</x:v>
      </x:c>
      <x:c r="C77" s="23" t="str">
        <x:f>'两日价格与决策'!C77</x:f>
        <x:v>缺失</x:v>
      </x:c>
      <x:c r="D77" s="23" t="n">
        <x:f>'两日价格与决策'!D77</x:f>
        <x:v>13.831647936310086</x:v>
      </x:c>
      <x:c r="E77" s="23" t="n">
        <x:f>'两日价格与决策'!E77</x:f>
        <x:v>14.676021792887155</x:v>
      </x:c>
      <x:c r="F77" s="23" t="n">
        <x:f>'两日价格与决策'!F77</x:f>
        <x:v>154.45226272089423</x:v>
      </x:c>
      <x:c r="G77" s="23" t="n">
        <x:f>'两日价格与决策'!G77</x:f>
        <x:v>0</x:v>
      </x:c>
      <x:c r="H77" s="23" t="str">
        <x:f>'两日价格与决策'!H77</x:f>
        <x:v>未模拟</x:v>
      </x:c>
      <x:c r="I77" s="24" t="n">
        <x:f>'两日价格与决策'!I77</x:f>
        <x:v>10</x:v>
      </x:c>
      <x:c r="J77" s="24" t="n">
        <x:f>'两日价格与决策'!J77</x:f>
        <x:v>10</x:v>
      </x:c>
      <x:c r="K77" s="24" t="n">
        <x:f>'两日价格与决策'!K77</x:f>
        <x:v>0</x:v>
      </x:c>
      <x:c r="L77" s="24" t="n">
        <x:f>'两日价格与决策'!L77</x:f>
        <x:v>0</x:v>
      </x:c>
      <x:c r="M77" s="24" t="n">
        <x:f>'两日价格与决策'!M77</x:f>
        <x:v>0</x:v>
      </x:c>
      <x:c r="N77" s="24" t="n">
        <x:f>'两日价格与决策'!N77</x:f>
        <x:v>0</x:v>
      </x:c>
      <x:c r="O77" s="24" t="n">
        <x:f>'两日价格与决策'!O77</x:f>
        <x:v>0</x:v>
      </x:c>
      <x:c r="P77" s="24" t="n">
        <x:f>'两日价格与决策'!P77</x:f>
        <x:v>0</x:v>
      </x:c>
      <x:c r="Q77" s="25" t="n">
        <x:f>'两日价格与决策'!Q77</x:f>
        <x:v>0</x:v>
      </x:c>
      <x:c r="R77" s="25" t="n">
        <x:f>'两日价格与决策'!R77</x:f>
        <x:v>0</x:v>
      </x:c>
      <x:c r="S77" s="25" t="n">
        <x:f>'两日价格与决策'!S77</x:f>
        <x:v>0</x:v>
      </x:c>
      <x:c r="T77" s="25" t="n">
        <x:f>'两日价格与决策'!T77</x:f>
        <x:v>0</x:v>
      </x:c>
      <x:c r="U77" s="25" t="n">
        <x:f>'两日价格与决策'!U77</x:f>
        <x:v>0</x:v>
      </x:c>
      <x:c r="V77" s="25" t="n">
        <x:f>'两日价格与决策'!V77</x:f>
        <x:v>0</x:v>
      </x:c>
      <x:c r="W77" s="25" t="n">
        <x:f>'两日价格与决策'!W77</x:f>
        <x:v>0</x:v>
      </x:c>
      <x:c r="X77" s="18" t="n">
        <x:f>'两日价格与决策'!X77</x:f>
        <x:v>0</x:v>
      </x:c>
      <x:c r="Y77" s="18" t="n">
        <x:f>'两日价格与决策'!Y77</x:f>
        <x:v>0</x:v>
      </x:c>
      <x:c r="Z77" s="18" t="str">
        <x:f>'两日价格与决策'!Z77</x:f>
        <x:v>1月1日执行｜初始化零订单</x:v>
      </x:c>
      <x:c r="AA77" s="19" t="n">
        <x:f>'两日价格与决策'!AA77</x:f>
        <x:v>1</x:v>
      </x:c>
      <x:c r="AB77" s="19" t="n">
        <x:f>'两日价格与决策'!AB77</x:f>
        <x:v>0</x:v>
      </x:c>
      <x:c r="AC77" s="18" t="n">
        <x:f>'两日价格与决策'!AC77</x:f>
        <x:v>0.25</x:v>
      </x:c>
      <x:c r="AD77" s="20" t="n">
        <x:f>'两日价格与决策'!AD77</x:f>
        <x:v>1</x:v>
      </x:c>
      <x:c r="AE77" s="20" t="n">
        <x:f>'两日价格与决策'!AE77</x:f>
        <x:v>0.04954</x:v>
      </x:c>
      <x:c r="AF77" s="20" t="n">
        <x:f>'两日价格与决策'!AF77</x:f>
        <x:v>0</x:v>
      </x:c>
      <x:c r="AG77" s="18" t="n">
        <x:f>'两日价格与决策'!AG77</x:f>
        <x:v>200</x:v>
      </x:c>
      <x:c r="AH77" s="18" t="n">
        <x:f>'两日价格与决策'!AH77</x:f>
        <x:v>200</x:v>
      </x:c>
      <x:c r="AI77" s="18" t="n">
        <x:f>'两日价格与决策'!AI77</x:f>
        <x:v>2.477</x:v>
      </x:c>
      <x:c r="AJ77" s="18" t="n">
        <x:f>'两日价格与决策'!AJ77</x:f>
        <x:v>0</x:v>
      </x:c>
      <x:c r="AK77" s="18" t="str">
        <x:f>'两日价格与决策'!AK77</x:f>
        <x:v>缺失</x:v>
      </x:c>
      <x:c r="AL77" s="18" t="n">
        <x:f>'两日价格与决策'!AL77</x:f>
        <x:v>0</x:v>
      </x:c>
      <x:c r="AM77" s="18" t="n">
        <x:f>'两日价格与决策'!AM77</x:f>
        <x:v>0</x:v>
      </x:c>
      <x:c r="AN77" s="18" t="n">
        <x:f>'两日价格与决策'!AN77</x:f>
        <x:v>0</x:v>
      </x:c>
      <x:c r="AO77" s="18" t="n">
        <x:f>'两日价格与决策'!AO77</x:f>
        <x:v>10</x:v>
      </x:c>
      <x:c r="AP77" s="18" t="n">
        <x:f>'两日价格与决策'!AP77</x:f>
        <x:v>0</x:v>
      </x:c>
      <x:c r="AQ77" s="18" t="n">
        <x:f>'两日价格与决策'!AQ77</x:f>
        <x:v>4.9741</x:v>
      </x:c>
      <x:c r="AR77" s="21" t="n">
        <x:f>'两日价格与决策'!AR77</x:f>
        <x:v>45657</x:v>
      </x:c>
      <x:c r="AS77" s="17" t="n">
        <x:f>'两日价格与决策'!AS77</x:f>
        <x:v>45658.645833333336</x:v>
      </x:c>
      <x:c r="AT77" s="18" t="str">
        <x:f>'两日价格与决策'!AT77</x:f>
        <x:v>2025-01-01_17</x:v>
      </x:c>
      <x:c r="AU77" s="19" t="n">
        <x:f>'两日价格与决策'!AU77</x:f>
        <x:v>60</x:v>
      </x:c>
      <x:c r="AV77" s="18" t="str">
        <x:f>'两日价格与决策'!AV77</x:f>
        <x:v>OK</x:v>
      </x:c>
    </x:row>
    <x:row r="78" ht="21" customHeight="1">
      <x:c r="A78" s="17" t="n">
        <x:f>'两日价格与决策'!A78</x:f>
        <x:v>45658.739583333336</x:v>
      </x:c>
      <x:c r="B78" s="23" t="n">
        <x:f>'两日价格与决策'!B78</x:f>
        <x:v>120.79</x:v>
      </x:c>
      <x:c r="C78" s="23" t="str">
        <x:f>'两日价格与决策'!C78</x:f>
        <x:v>缺失</x:v>
      </x:c>
      <x:c r="D78" s="23" t="n">
        <x:f>'两日价格与决策'!D78</x:f>
        <x:v>13.831647936310086</x:v>
      </x:c>
      <x:c r="E78" s="23" t="n">
        <x:f>'两日价格与决策'!E78</x:f>
        <x:v>14.676021792887155</x:v>
      </x:c>
      <x:c r="F78" s="23" t="n">
        <x:f>'两日价格与决策'!F78</x:f>
        <x:v>136.70814820771596</x:v>
      </x:c>
      <x:c r="G78" s="23" t="n">
        <x:f>'两日价格与决策'!G78</x:f>
        <x:v>58.46585311915724</x:v>
      </x:c>
      <x:c r="H78" s="23" t="str">
        <x:f>'两日价格与决策'!H78</x:f>
        <x:v>未模拟</x:v>
      </x:c>
      <x:c r="I78" s="24" t="n">
        <x:f>'两日价格与决策'!I78</x:f>
        <x:v>10</x:v>
      </x:c>
      <x:c r="J78" s="24" t="n">
        <x:f>'两日价格与决策'!J78</x:f>
        <x:v>10</x:v>
      </x:c>
      <x:c r="K78" s="24" t="n">
        <x:f>'两日价格与决策'!K78</x:f>
        <x:v>0</x:v>
      </x:c>
      <x:c r="L78" s="24" t="n">
        <x:f>'两日价格与决策'!L78</x:f>
        <x:v>0</x:v>
      </x:c>
      <x:c r="M78" s="24" t="n">
        <x:f>'两日价格与决策'!M78</x:f>
        <x:v>0</x:v>
      </x:c>
      <x:c r="N78" s="24" t="n">
        <x:f>'两日价格与决策'!N78</x:f>
        <x:v>0</x:v>
      </x:c>
      <x:c r="O78" s="24" t="n">
        <x:f>'两日价格与决策'!O78</x:f>
        <x:v>0</x:v>
      </x:c>
      <x:c r="P78" s="24" t="n">
        <x:f>'两日价格与决策'!P78</x:f>
        <x:v>0</x:v>
      </x:c>
      <x:c r="Q78" s="25" t="n">
        <x:f>'两日价格与决策'!Q78</x:f>
        <x:v>0</x:v>
      </x:c>
      <x:c r="R78" s="25" t="n">
        <x:f>'两日价格与决策'!R78</x:f>
        <x:v>0</x:v>
      </x:c>
      <x:c r="S78" s="25" t="n">
        <x:f>'两日价格与决策'!S78</x:f>
        <x:v>0</x:v>
      </x:c>
      <x:c r="T78" s="25" t="n">
        <x:f>'两日价格与决策'!T78</x:f>
        <x:v>0</x:v>
      </x:c>
      <x:c r="U78" s="25" t="n">
        <x:f>'两日价格与决策'!U78</x:f>
        <x:v>0</x:v>
      </x:c>
      <x:c r="V78" s="25" t="n">
        <x:f>'两日价格与决策'!V78</x:f>
        <x:v>0</x:v>
      </x:c>
      <x:c r="W78" s="25" t="n">
        <x:f>'两日价格与决策'!W78</x:f>
        <x:v>0</x:v>
      </x:c>
      <x:c r="X78" s="18" t="n">
        <x:f>'两日价格与决策'!X78</x:f>
        <x:v>0</x:v>
      </x:c>
      <x:c r="Y78" s="18" t="n">
        <x:f>'两日价格与决策'!Y78</x:f>
        <x:v>0</x:v>
      </x:c>
      <x:c r="Z78" s="18" t="str">
        <x:f>'两日价格与决策'!Z78</x:f>
        <x:v>1月1日执行｜初始化零订单</x:v>
      </x:c>
      <x:c r="AA78" s="19" t="n">
        <x:f>'两日价格与决策'!AA78</x:f>
        <x:v>1</x:v>
      </x:c>
      <x:c r="AB78" s="19" t="n">
        <x:f>'两日价格与决策'!AB78</x:f>
        <x:v>0</x:v>
      </x:c>
      <x:c r="AC78" s="18" t="n">
        <x:f>'两日价格与决策'!AC78</x:f>
        <x:v>0.25</x:v>
      </x:c>
      <x:c r="AD78" s="20" t="n">
        <x:f>'两日价格与决策'!AD78</x:f>
        <x:v>1</x:v>
      </x:c>
      <x:c r="AE78" s="20" t="n">
        <x:f>'两日价格与决策'!AE78</x:f>
        <x:v>0.00328</x:v>
      </x:c>
      <x:c r="AF78" s="20" t="n">
        <x:f>'两日价格与决策'!AF78</x:f>
        <x:v>0.00216</x:v>
      </x:c>
      <x:c r="AG78" s="18" t="n">
        <x:f>'两日价格与决策'!AG78</x:f>
        <x:v>200</x:v>
      </x:c>
      <x:c r="AH78" s="18" t="n">
        <x:f>'两日价格与决策'!AH78</x:f>
        <x:v>200</x:v>
      </x:c>
      <x:c r="AI78" s="18" t="n">
        <x:f>'两日价格与决策'!AI78</x:f>
        <x:v>0.164</x:v>
      </x:c>
      <x:c r="AJ78" s="18" t="n">
        <x:f>'两日价格与决策'!AJ78</x:f>
        <x:v>0.108</x:v>
      </x:c>
      <x:c r="AK78" s="18" t="str">
        <x:f>'两日价格与决策'!AK78</x:f>
        <x:v>缺失</x:v>
      </x:c>
      <x:c r="AL78" s="18" t="n">
        <x:f>'两日价格与决策'!AL78</x:f>
        <x:v>0</x:v>
      </x:c>
      <x:c r="AM78" s="18" t="n">
        <x:f>'两日价格与决策'!AM78</x:f>
        <x:v>0</x:v>
      </x:c>
      <x:c r="AN78" s="18" t="n">
        <x:f>'两日价格与决策'!AN78</x:f>
        <x:v>0</x:v>
      </x:c>
      <x:c r="AO78" s="18" t="n">
        <x:f>'两日价格与决策'!AO78</x:f>
        <x:v>10</x:v>
      </x:c>
      <x:c r="AP78" s="18" t="n">
        <x:f>'两日价格与决策'!AP78</x:f>
        <x:v>0</x:v>
      </x:c>
      <x:c r="AQ78" s="18" t="n">
        <x:f>'两日价格与决策'!AQ78</x:f>
        <x:v>4.9741</x:v>
      </x:c>
      <x:c r="AR78" s="21" t="n">
        <x:f>'两日价格与决策'!AR78</x:f>
        <x:v>45657</x:v>
      </x:c>
      <x:c r="AS78" s="17" t="n">
        <x:f>'两日价格与决策'!AS78</x:f>
        <x:v>45658.65625</x:v>
      </x:c>
      <x:c r="AT78" s="18" t="str">
        <x:f>'两日价格与决策'!AT78</x:f>
        <x:v>2025-01-01_17</x:v>
      </x:c>
      <x:c r="AU78" s="19" t="n">
        <x:f>'两日价格与决策'!AU78</x:f>
        <x:v>60</x:v>
      </x:c>
      <x:c r="AV78" s="18" t="str">
        <x:f>'两日价格与决策'!AV78</x:f>
        <x:v>OK</x:v>
      </x:c>
    </x:row>
    <x:row r="79" ht="21" customHeight="1">
      <x:c r="A79" s="17" t="n">
        <x:f>'两日价格与决策'!A79</x:f>
        <x:v>45658.75</x:v>
      </x:c>
      <x:c r="B79" s="23" t="n">
        <x:f>'两日价格与决策'!B79</x:f>
        <x:v>145.37</x:v>
      </x:c>
      <x:c r="C79" s="23" t="str">
        <x:f>'两日价格与决策'!C79</x:f>
        <x:v>缺失</x:v>
      </x:c>
      <x:c r="D79" s="23" t="n">
        <x:f>'两日价格与决策'!D79</x:f>
        <x:v>13.831647936310086</x:v>
      </x:c>
      <x:c r="E79" s="23" t="n">
        <x:f>'两日价格与决策'!E79</x:f>
        <x:v>14.676021792887155</x:v>
      </x:c>
      <x:c r="F79" s="23" t="n">
        <x:f>'两日价格与决策'!F79</x:f>
        <x:v>136.70814820771596</x:v>
      </x:c>
      <x:c r="G79" s="23" t="n">
        <x:f>'两日价格与决策'!G79</x:f>
        <x:v>16.131360447116062</x:v>
      </x:c>
      <x:c r="H79" s="23" t="str">
        <x:f>'两日价格与决策'!H79</x:f>
        <x:v>未模拟</x:v>
      </x:c>
      <x:c r="I79" s="24" t="n">
        <x:f>'两日价格与决策'!I79</x:f>
        <x:v>10</x:v>
      </x:c>
      <x:c r="J79" s="24" t="n">
        <x:f>'两日价格与决策'!J79</x:f>
        <x:v>10</x:v>
      </x:c>
      <x:c r="K79" s="24" t="n">
        <x:f>'两日价格与决策'!K79</x:f>
        <x:v>0</x:v>
      </x:c>
      <x:c r="L79" s="24" t="n">
        <x:f>'两日价格与决策'!L79</x:f>
        <x:v>0</x:v>
      </x:c>
      <x:c r="M79" s="24" t="n">
        <x:f>'两日价格与决策'!M79</x:f>
        <x:v>0</x:v>
      </x:c>
      <x:c r="N79" s="24" t="n">
        <x:f>'两日价格与决策'!N79</x:f>
        <x:v>0</x:v>
      </x:c>
      <x:c r="O79" s="24" t="n">
        <x:f>'两日价格与决策'!O79</x:f>
        <x:v>0</x:v>
      </x:c>
      <x:c r="P79" s="24" t="n">
        <x:f>'两日价格与决策'!P79</x:f>
        <x:v>0</x:v>
      </x:c>
      <x:c r="Q79" s="25" t="n">
        <x:f>'两日价格与决策'!Q79</x:f>
        <x:v>0</x:v>
      </x:c>
      <x:c r="R79" s="25" t="n">
        <x:f>'两日价格与决策'!R79</x:f>
        <x:v>0</x:v>
      </x:c>
      <x:c r="S79" s="25" t="n">
        <x:f>'两日价格与决策'!S79</x:f>
        <x:v>0</x:v>
      </x:c>
      <x:c r="T79" s="25" t="n">
        <x:f>'两日价格与决策'!T79</x:f>
        <x:v>0</x:v>
      </x:c>
      <x:c r="U79" s="25" t="n">
        <x:f>'两日价格与决策'!U79</x:f>
        <x:v>0</x:v>
      </x:c>
      <x:c r="V79" s="25" t="n">
        <x:f>'两日价格与决策'!V79</x:f>
        <x:v>0</x:v>
      </x:c>
      <x:c r="W79" s="25" t="n">
        <x:f>'两日价格与决策'!W79</x:f>
        <x:v>0</x:v>
      </x:c>
      <x:c r="X79" s="18" t="n">
        <x:f>'两日价格与决策'!X79</x:f>
        <x:v>0</x:v>
      </x:c>
      <x:c r="Y79" s="18" t="n">
        <x:f>'两日价格与决策'!Y79</x:f>
        <x:v>0</x:v>
      </x:c>
      <x:c r="Z79" s="18" t="str">
        <x:f>'两日价格与决策'!Z79</x:f>
        <x:v>1月1日执行｜初始化零订单</x:v>
      </x:c>
      <x:c r="AA79" s="19" t="n">
        <x:f>'两日价格与决策'!AA79</x:f>
        <x:v>1</x:v>
      </x:c>
      <x:c r="AB79" s="19" t="n">
        <x:f>'两日价格与决策'!AB79</x:f>
        <x:v>0</x:v>
      </x:c>
      <x:c r="AC79" s="18" t="n">
        <x:f>'两日价格与决策'!AC79</x:f>
        <x:v>0.25</x:v>
      </x:c>
      <x:c r="AD79" s="20" t="n">
        <x:f>'两日价格与决策'!AD79</x:f>
        <x:v>1</x:v>
      </x:c>
      <x:c r="AE79" s="20" t="n">
        <x:f>'两日价格与决策'!AE79</x:f>
        <x:v>0.00156</x:v>
      </x:c>
      <x:c r="AF79" s="20" t="n">
        <x:f>'两日价格与决策'!AF79</x:f>
        <x:v>0.15598</x:v>
      </x:c>
      <x:c r="AG79" s="18" t="n">
        <x:f>'两日价格与决策'!AG79</x:f>
        <x:v>200</x:v>
      </x:c>
      <x:c r="AH79" s="18" t="n">
        <x:f>'两日价格与决策'!AH79</x:f>
        <x:v>200</x:v>
      </x:c>
      <x:c r="AI79" s="18" t="n">
        <x:f>'两日价格与决策'!AI79</x:f>
        <x:v>0.078</x:v>
      </x:c>
      <x:c r="AJ79" s="18" t="n">
        <x:f>'两日价格与决策'!AJ79</x:f>
        <x:v>7.799</x:v>
      </x:c>
      <x:c r="AK79" s="18" t="str">
        <x:f>'两日价格与决策'!AK79</x:f>
        <x:v>缺失</x:v>
      </x:c>
      <x:c r="AL79" s="18" t="n">
        <x:f>'两日价格与决策'!AL79</x:f>
        <x:v>0</x:v>
      </x:c>
      <x:c r="AM79" s="18" t="n">
        <x:f>'两日价格与决策'!AM79</x:f>
        <x:v>0</x:v>
      </x:c>
      <x:c r="AN79" s="18" t="n">
        <x:f>'两日价格与决策'!AN79</x:f>
        <x:v>0</x:v>
      </x:c>
      <x:c r="AO79" s="18" t="n">
        <x:f>'两日价格与决策'!AO79</x:f>
        <x:v>10</x:v>
      </x:c>
      <x:c r="AP79" s="18" t="n">
        <x:f>'两日价格与决策'!AP79</x:f>
        <x:v>0</x:v>
      </x:c>
      <x:c r="AQ79" s="18" t="n">
        <x:f>'两日价格与决策'!AQ79</x:f>
        <x:v>4.9741</x:v>
      </x:c>
      <x:c r="AR79" s="21" t="n">
        <x:f>'两日价格与决策'!AR79</x:f>
        <x:v>45657</x:v>
      </x:c>
      <x:c r="AS79" s="17" t="n">
        <x:f>'两日价格与决策'!AS79</x:f>
        <x:v>45658.666666666664</x:v>
      </x:c>
      <x:c r="AT79" s="18" t="str">
        <x:f>'两日价格与决策'!AT79</x:f>
        <x:v>2025-01-01_18</x:v>
      </x:c>
      <x:c r="AU79" s="19" t="n">
        <x:f>'两日价格与决策'!AU79</x:f>
        <x:v>60</x:v>
      </x:c>
      <x:c r="AV79" s="18" t="str">
        <x:f>'两日价格与决策'!AV79</x:f>
        <x:v>OK</x:v>
      </x:c>
    </x:row>
    <x:row r="80" ht="21" customHeight="1">
      <x:c r="A80" s="17" t="n">
        <x:f>'两日价格与决策'!A80</x:f>
        <x:v>45658.760416666664</x:v>
      </x:c>
      <x:c r="B80" s="23" t="n">
        <x:f>'两日价格与决策'!B80</x:f>
        <x:v>145.37</x:v>
      </x:c>
      <x:c r="C80" s="23" t="str">
        <x:f>'两日价格与决策'!C80</x:f>
        <x:v>缺失</x:v>
      </x:c>
      <x:c r="D80" s="23" t="n">
        <x:f>'两日价格与决策'!D80</x:f>
        <x:v>13.831647936310086</x:v>
      </x:c>
      <x:c r="E80" s="23" t="n">
        <x:f>'两日价格与决策'!E80</x:f>
        <x:v>14.676021792887155</x:v>
      </x:c>
      <x:c r="F80" s="23" t="n">
        <x:f>'两日价格与决策'!F80</x:f>
        <x:v>136.70814820771596</x:v>
      </x:c>
      <x:c r="G80" s="23" t="n">
        <x:f>'两日价格与决策'!G80</x:f>
        <x:v>37.89127681389598</x:v>
      </x:c>
      <x:c r="H80" s="23" t="str">
        <x:f>'两日价格与决策'!H80</x:f>
        <x:v>未模拟</x:v>
      </x:c>
      <x:c r="I80" s="24" t="n">
        <x:f>'两日价格与决策'!I80</x:f>
        <x:v>10</x:v>
      </x:c>
      <x:c r="J80" s="24" t="n">
        <x:f>'两日价格与决策'!J80</x:f>
        <x:v>10</x:v>
      </x:c>
      <x:c r="K80" s="24" t="n">
        <x:f>'两日价格与决策'!K80</x:f>
        <x:v>0</x:v>
      </x:c>
      <x:c r="L80" s="24" t="n">
        <x:f>'两日价格与决策'!L80</x:f>
        <x:v>0</x:v>
      </x:c>
      <x:c r="M80" s="24" t="n">
        <x:f>'两日价格与决策'!M80</x:f>
        <x:v>0</x:v>
      </x:c>
      <x:c r="N80" s="24" t="n">
        <x:f>'两日价格与决策'!N80</x:f>
        <x:v>0</x:v>
      </x:c>
      <x:c r="O80" s="24" t="n">
        <x:f>'两日价格与决策'!O80</x:f>
        <x:v>0</x:v>
      </x:c>
      <x:c r="P80" s="24" t="n">
        <x:f>'两日价格与决策'!P80</x:f>
        <x:v>0</x:v>
      </x:c>
      <x:c r="Q80" s="25" t="n">
        <x:f>'两日价格与决策'!Q80</x:f>
        <x:v>0</x:v>
      </x:c>
      <x:c r="R80" s="25" t="n">
        <x:f>'两日价格与决策'!R80</x:f>
        <x:v>0</x:v>
      </x:c>
      <x:c r="S80" s="25" t="n">
        <x:f>'两日价格与决策'!S80</x:f>
        <x:v>0</x:v>
      </x:c>
      <x:c r="T80" s="25" t="n">
        <x:f>'两日价格与决策'!T80</x:f>
        <x:v>0</x:v>
      </x:c>
      <x:c r="U80" s="25" t="n">
        <x:f>'两日价格与决策'!U80</x:f>
        <x:v>0</x:v>
      </x:c>
      <x:c r="V80" s="25" t="n">
        <x:f>'两日价格与决策'!V80</x:f>
        <x:v>0</x:v>
      </x:c>
      <x:c r="W80" s="25" t="n">
        <x:f>'两日价格与决策'!W80</x:f>
        <x:v>0</x:v>
      </x:c>
      <x:c r="X80" s="18" t="n">
        <x:f>'两日价格与决策'!X80</x:f>
        <x:v>0</x:v>
      </x:c>
      <x:c r="Y80" s="18" t="n">
        <x:f>'两日价格与决策'!Y80</x:f>
        <x:v>0</x:v>
      </x:c>
      <x:c r="Z80" s="18" t="str">
        <x:f>'两日价格与决策'!Z80</x:f>
        <x:v>1月1日执行｜初始化零订单</x:v>
      </x:c>
      <x:c r="AA80" s="19" t="n">
        <x:f>'两日价格与决策'!AA80</x:f>
        <x:v>1</x:v>
      </x:c>
      <x:c r="AB80" s="19" t="n">
        <x:f>'两日价格与决策'!AB80</x:f>
        <x:v>0</x:v>
      </x:c>
      <x:c r="AC80" s="18" t="n">
        <x:f>'两日价格与决策'!AC80</x:f>
        <x:v>0.25</x:v>
      </x:c>
      <x:c r="AD80" s="20" t="n">
        <x:f>'两日价格与决策'!AD80</x:f>
        <x:v>1</x:v>
      </x:c>
      <x:c r="AE80" s="20" t="n">
        <x:f>'两日价格与决策'!AE80</x:f>
        <x:v>0.022240000000000003</x:v>
      </x:c>
      <x:c r="AF80" s="20" t="n">
        <x:f>'两日价格与决策'!AF80</x:f>
        <x:v>0.02016</x:v>
      </x:c>
      <x:c r="AG80" s="18" t="n">
        <x:f>'两日价格与决策'!AG80</x:f>
        <x:v>200</x:v>
      </x:c>
      <x:c r="AH80" s="18" t="n">
        <x:f>'两日价格与决策'!AH80</x:f>
        <x:v>200</x:v>
      </x:c>
      <x:c r="AI80" s="18" t="n">
        <x:f>'两日价格与决策'!AI80</x:f>
        <x:v>1.112</x:v>
      </x:c>
      <x:c r="AJ80" s="18" t="n">
        <x:f>'两日价格与决策'!AJ80</x:f>
        <x:v>1.008</x:v>
      </x:c>
      <x:c r="AK80" s="18" t="str">
        <x:f>'两日价格与决策'!AK80</x:f>
        <x:v>缺失</x:v>
      </x:c>
      <x:c r="AL80" s="18" t="n">
        <x:f>'两日价格与决策'!AL80</x:f>
        <x:v>0</x:v>
      </x:c>
      <x:c r="AM80" s="18" t="n">
        <x:f>'两日价格与决策'!AM80</x:f>
        <x:v>0</x:v>
      </x:c>
      <x:c r="AN80" s="18" t="n">
        <x:f>'两日价格与决策'!AN80</x:f>
        <x:v>0</x:v>
      </x:c>
      <x:c r="AO80" s="18" t="n">
        <x:f>'两日价格与决策'!AO80</x:f>
        <x:v>10</x:v>
      </x:c>
      <x:c r="AP80" s="18" t="n">
        <x:f>'两日价格与决策'!AP80</x:f>
        <x:v>0</x:v>
      </x:c>
      <x:c r="AQ80" s="18" t="n">
        <x:f>'两日价格与决策'!AQ80</x:f>
        <x:v>4.9741</x:v>
      </x:c>
      <x:c r="AR80" s="21" t="n">
        <x:f>'两日价格与决策'!AR80</x:f>
        <x:v>45657</x:v>
      </x:c>
      <x:c r="AS80" s="17" t="n">
        <x:f>'两日价格与决策'!AS80</x:f>
        <x:v>45658.677083333336</x:v>
      </x:c>
      <x:c r="AT80" s="18" t="str">
        <x:f>'两日价格与决策'!AT80</x:f>
        <x:v>2025-01-01_18</x:v>
      </x:c>
      <x:c r="AU80" s="19" t="n">
        <x:f>'两日价格与决策'!AU80</x:f>
        <x:v>60</x:v>
      </x:c>
      <x:c r="AV80" s="18" t="str">
        <x:f>'两日价格与决策'!AV80</x:f>
        <x:v>OK</x:v>
      </x:c>
    </x:row>
    <x:row r="81" ht="21" customHeight="1">
      <x:c r="A81" s="17" t="n">
        <x:f>'两日价格与决策'!A81</x:f>
        <x:v>45658.770833333336</x:v>
      </x:c>
      <x:c r="B81" s="23" t="n">
        <x:f>'两日价格与决策'!B81</x:f>
        <x:v>145.37</x:v>
      </x:c>
      <x:c r="C81" s="23" t="str">
        <x:f>'两日价格与决策'!C81</x:f>
        <x:v>缺失</x:v>
      </x:c>
      <x:c r="D81" s="23" t="n">
        <x:f>'两日价格与决策'!D81</x:f>
        <x:v>13.831647936310086</x:v>
      </x:c>
      <x:c r="E81" s="23" t="n">
        <x:f>'两日价格与决策'!E81</x:f>
        <x:v>14.676021792887155</x:v>
      </x:c>
      <x:c r="F81" s="23" t="n">
        <x:f>'两日价格与决策'!F81</x:f>
        <x:v>196.9789509660039</x:v>
      </x:c>
      <x:c r="G81" s="23" t="n">
        <x:f>'两日价格与决策'!G81</x:f>
        <x:v>0</x:v>
      </x:c>
      <x:c r="H81" s="23" t="str">
        <x:f>'两日价格与决策'!H81</x:f>
        <x:v>未模拟</x:v>
      </x:c>
      <x:c r="I81" s="24" t="n">
        <x:f>'两日价格与决策'!I81</x:f>
        <x:v>10</x:v>
      </x:c>
      <x:c r="J81" s="24" t="n">
        <x:f>'两日价格与决策'!J81</x:f>
        <x:v>10</x:v>
      </x:c>
      <x:c r="K81" s="24" t="n">
        <x:f>'两日价格与决策'!K81</x:f>
        <x:v>0</x:v>
      </x:c>
      <x:c r="L81" s="24" t="n">
        <x:f>'两日价格与决策'!L81</x:f>
        <x:v>0</x:v>
      </x:c>
      <x:c r="M81" s="24" t="n">
        <x:f>'两日价格与决策'!M81</x:f>
        <x:v>0</x:v>
      </x:c>
      <x:c r="N81" s="24" t="n">
        <x:f>'两日价格与决策'!N81</x:f>
        <x:v>0</x:v>
      </x:c>
      <x:c r="O81" s="24" t="n">
        <x:f>'两日价格与决策'!O81</x:f>
        <x:v>0</x:v>
      </x:c>
      <x:c r="P81" s="24" t="n">
        <x:f>'两日价格与决策'!P81</x:f>
        <x:v>0</x:v>
      </x:c>
      <x:c r="Q81" s="25" t="n">
        <x:f>'两日价格与决策'!Q81</x:f>
        <x:v>0</x:v>
      </x:c>
      <x:c r="R81" s="25" t="n">
        <x:f>'两日价格与决策'!R81</x:f>
        <x:v>0</x:v>
      </x:c>
      <x:c r="S81" s="25" t="n">
        <x:f>'两日价格与决策'!S81</x:f>
        <x:v>0</x:v>
      </x:c>
      <x:c r="T81" s="25" t="n">
        <x:f>'两日价格与决策'!T81</x:f>
        <x:v>0</x:v>
      </x:c>
      <x:c r="U81" s="25" t="n">
        <x:f>'两日价格与决策'!U81</x:f>
        <x:v>0</x:v>
      </x:c>
      <x:c r="V81" s="25" t="n">
        <x:f>'两日价格与决策'!V81</x:f>
        <x:v>0</x:v>
      </x:c>
      <x:c r="W81" s="25" t="n">
        <x:f>'两日价格与决策'!W81</x:f>
        <x:v>0</x:v>
      </x:c>
      <x:c r="X81" s="18" t="n">
        <x:f>'两日价格与决策'!X81</x:f>
        <x:v>0</x:v>
      </x:c>
      <x:c r="Y81" s="18" t="n">
        <x:f>'两日价格与决策'!Y81</x:f>
        <x:v>0</x:v>
      </x:c>
      <x:c r="Z81" s="18" t="str">
        <x:f>'两日价格与决策'!Z81</x:f>
        <x:v>1月1日执行｜初始化零订单</x:v>
      </x:c>
      <x:c r="AA81" s="19" t="n">
        <x:f>'两日价格与决策'!AA81</x:f>
        <x:v>1</x:v>
      </x:c>
      <x:c r="AB81" s="19" t="n">
        <x:f>'两日价格与决策'!AB81</x:f>
        <x:v>0</x:v>
      </x:c>
      <x:c r="AC81" s="18" t="n">
        <x:f>'两日价格与决策'!AC81</x:f>
        <x:v>0.25</x:v>
      </x:c>
      <x:c r="AD81" s="20" t="n">
        <x:f>'两日价格与决策'!AD81</x:f>
        <x:v>1</x:v>
      </x:c>
      <x:c r="AE81" s="20" t="n">
        <x:f>'两日价格与决策'!AE81</x:f>
        <x:v>0.18295999999999998</x:v>
      </x:c>
      <x:c r="AF81" s="20" t="n">
        <x:f>'两日价格与决策'!AF81</x:f>
        <x:v>0</x:v>
      </x:c>
      <x:c r="AG81" s="18" t="n">
        <x:f>'两日价格与决策'!AG81</x:f>
        <x:v>200</x:v>
      </x:c>
      <x:c r="AH81" s="18" t="n">
        <x:f>'两日价格与决策'!AH81</x:f>
        <x:v>200</x:v>
      </x:c>
      <x:c r="AI81" s="18" t="n">
        <x:f>'两日价格与决策'!AI81</x:f>
        <x:v>9.148</x:v>
      </x:c>
      <x:c r="AJ81" s="18" t="n">
        <x:f>'两日价格与决策'!AJ81</x:f>
        <x:v>0</x:v>
      </x:c>
      <x:c r="AK81" s="18" t="str">
        <x:f>'两日价格与决策'!AK81</x:f>
        <x:v>缺失</x:v>
      </x:c>
      <x:c r="AL81" s="18" t="n">
        <x:f>'两日价格与决策'!AL81</x:f>
        <x:v>0</x:v>
      </x:c>
      <x:c r="AM81" s="18" t="n">
        <x:f>'两日价格与决策'!AM81</x:f>
        <x:v>0</x:v>
      </x:c>
      <x:c r="AN81" s="18" t="n">
        <x:f>'两日价格与决策'!AN81</x:f>
        <x:v>0</x:v>
      </x:c>
      <x:c r="AO81" s="18" t="n">
        <x:f>'两日价格与决策'!AO81</x:f>
        <x:v>10</x:v>
      </x:c>
      <x:c r="AP81" s="18" t="n">
        <x:f>'两日价格与决策'!AP81</x:f>
        <x:v>0</x:v>
      </x:c>
      <x:c r="AQ81" s="18" t="n">
        <x:f>'两日价格与决策'!AQ81</x:f>
        <x:v>4.9741</x:v>
      </x:c>
      <x:c r="AR81" s="21" t="n">
        <x:f>'两日价格与决策'!AR81</x:f>
        <x:v>45657</x:v>
      </x:c>
      <x:c r="AS81" s="17" t="n">
        <x:f>'两日价格与决策'!AS81</x:f>
        <x:v>45658.6875</x:v>
      </x:c>
      <x:c r="AT81" s="18" t="str">
        <x:f>'两日价格与决策'!AT81</x:f>
        <x:v>2025-01-01_18</x:v>
      </x:c>
      <x:c r="AU81" s="19" t="n">
        <x:f>'两日价格与决策'!AU81</x:f>
        <x:v>60</x:v>
      </x:c>
      <x:c r="AV81" s="18" t="str">
        <x:f>'两日价格与决策'!AV81</x:f>
        <x:v>OK</x:v>
      </x:c>
    </x:row>
    <x:row r="82" ht="21" customHeight="1">
      <x:c r="A82" s="17" t="n">
        <x:f>'两日价格与决策'!A82</x:f>
        <x:v>45658.78125</x:v>
      </x:c>
      <x:c r="B82" s="23" t="n">
        <x:f>'两日价格与决策'!B82</x:f>
        <x:v>145.37</x:v>
      </x:c>
      <x:c r="C82" s="23" t="str">
        <x:f>'两日价格与决策'!C82</x:f>
        <x:v>缺失</x:v>
      </x:c>
      <x:c r="D82" s="23" t="n">
        <x:f>'两日价格与决策'!D82</x:f>
        <x:v>13.831647936310086</x:v>
      </x:c>
      <x:c r="E82" s="23" t="n">
        <x:f>'两日价格与决策'!E82</x:f>
        <x:v>14.676021792887155</x:v>
      </x:c>
      <x:c r="F82" s="23" t="n">
        <x:f>'两日价格与决策'!F82</x:f>
        <x:v>139.7919221567721</x:v>
      </x:c>
      <x:c r="G82" s="23" t="n">
        <x:f>'两日价格与决策'!G82</x:f>
        <x:v>200.8403530286886</x:v>
      </x:c>
      <x:c r="H82" s="23" t="str">
        <x:f>'两日价格与决策'!H82</x:f>
        <x:v>未模拟</x:v>
      </x:c>
      <x:c r="I82" s="24" t="n">
        <x:f>'两日价格与决策'!I82</x:f>
        <x:v>10</x:v>
      </x:c>
      <x:c r="J82" s="24" t="n">
        <x:f>'两日价格与决策'!J82</x:f>
        <x:v>10</x:v>
      </x:c>
      <x:c r="K82" s="24" t="n">
        <x:f>'两日价格与决策'!K82</x:f>
        <x:v>0</x:v>
      </x:c>
      <x:c r="L82" s="24" t="n">
        <x:f>'两日价格与决策'!L82</x:f>
        <x:v>0</x:v>
      </x:c>
      <x:c r="M82" s="24" t="n">
        <x:f>'两日价格与决策'!M82</x:f>
        <x:v>0</x:v>
      </x:c>
      <x:c r="N82" s="24" t="n">
        <x:f>'两日价格与决策'!N82</x:f>
        <x:v>0</x:v>
      </x:c>
      <x:c r="O82" s="24" t="n">
        <x:f>'两日价格与决策'!O82</x:f>
        <x:v>0</x:v>
      </x:c>
      <x:c r="P82" s="24" t="n">
        <x:f>'两日价格与决策'!P82</x:f>
        <x:v>0</x:v>
      </x:c>
      <x:c r="Q82" s="25" t="n">
        <x:f>'两日价格与决策'!Q82</x:f>
        <x:v>0</x:v>
      </x:c>
      <x:c r="R82" s="25" t="n">
        <x:f>'两日价格与决策'!R82</x:f>
        <x:v>0</x:v>
      </x:c>
      <x:c r="S82" s="25" t="n">
        <x:f>'两日价格与决策'!S82</x:f>
        <x:v>0</x:v>
      </x:c>
      <x:c r="T82" s="25" t="n">
        <x:f>'两日价格与决策'!T82</x:f>
        <x:v>0</x:v>
      </x:c>
      <x:c r="U82" s="25" t="n">
        <x:f>'两日价格与决策'!U82</x:f>
        <x:v>0</x:v>
      </x:c>
      <x:c r="V82" s="25" t="n">
        <x:f>'两日价格与决策'!V82</x:f>
        <x:v>0</x:v>
      </x:c>
      <x:c r="W82" s="25" t="n">
        <x:f>'两日价格与决策'!W82</x:f>
        <x:v>0</x:v>
      </x:c>
      <x:c r="X82" s="18" t="n">
        <x:f>'两日价格与决策'!X82</x:f>
        <x:v>0</x:v>
      </x:c>
      <x:c r="Y82" s="18" t="n">
        <x:f>'两日价格与决策'!Y82</x:f>
        <x:v>0</x:v>
      </x:c>
      <x:c r="Z82" s="18" t="str">
        <x:f>'两日价格与决策'!Z82</x:f>
        <x:v>1月1日执行｜初始化零订单</x:v>
      </x:c>
      <x:c r="AA82" s="19" t="n">
        <x:f>'两日价格与决策'!AA82</x:f>
        <x:v>1</x:v>
      </x:c>
      <x:c r="AB82" s="19" t="n">
        <x:f>'两日价格与决策'!AB82</x:f>
        <x:v>0</x:v>
      </x:c>
      <x:c r="AC82" s="18" t="n">
        <x:f>'两日价格与决策'!AC82</x:f>
        <x:v>0.25</x:v>
      </x:c>
      <x:c r="AD82" s="20" t="n">
        <x:f>'两日价格与决策'!AD82</x:f>
        <x:v>1</x:v>
      </x:c>
      <x:c r="AE82" s="20" t="n">
        <x:f>'两日价格与决策'!AE82</x:f>
        <x:v>0.0526</x:v>
      </x:c>
      <x:c r="AF82" s="20" t="n">
        <x:f>'两日价格与决策'!AF82</x:f>
        <x:v>0.00035999999999999997</x:v>
      </x:c>
      <x:c r="AG82" s="18" t="n">
        <x:f>'两日价格与决策'!AG82</x:f>
        <x:v>200</x:v>
      </x:c>
      <x:c r="AH82" s="18" t="n">
        <x:f>'两日价格与决策'!AH82</x:f>
        <x:v>200</x:v>
      </x:c>
      <x:c r="AI82" s="18" t="n">
        <x:f>'两日价格与决策'!AI82</x:f>
        <x:v>2.63</x:v>
      </x:c>
      <x:c r="AJ82" s="18" t="n">
        <x:f>'两日价格与决策'!AJ82</x:f>
        <x:v>0.018</x:v>
      </x:c>
      <x:c r="AK82" s="18" t="str">
        <x:f>'两日价格与决策'!AK82</x:f>
        <x:v>缺失</x:v>
      </x:c>
      <x:c r="AL82" s="18" t="n">
        <x:f>'两日价格与决策'!AL82</x:f>
        <x:v>0</x:v>
      </x:c>
      <x:c r="AM82" s="18" t="n">
        <x:f>'两日价格与决策'!AM82</x:f>
        <x:v>0</x:v>
      </x:c>
      <x:c r="AN82" s="18" t="n">
        <x:f>'两日价格与决策'!AN82</x:f>
        <x:v>0</x:v>
      </x:c>
      <x:c r="AO82" s="18" t="n">
        <x:f>'两日价格与决策'!AO82</x:f>
        <x:v>10</x:v>
      </x:c>
      <x:c r="AP82" s="18" t="n">
        <x:f>'两日价格与决策'!AP82</x:f>
        <x:v>0</x:v>
      </x:c>
      <x:c r="AQ82" s="18" t="n">
        <x:f>'两日价格与决策'!AQ82</x:f>
        <x:v>4.9741</x:v>
      </x:c>
      <x:c r="AR82" s="21" t="n">
        <x:f>'两日价格与决策'!AR82</x:f>
        <x:v>45657</x:v>
      </x:c>
      <x:c r="AS82" s="17" t="n">
        <x:f>'两日价格与决策'!AS82</x:f>
        <x:v>45658.697916666664</x:v>
      </x:c>
      <x:c r="AT82" s="18" t="str">
        <x:f>'两日价格与决策'!AT82</x:f>
        <x:v>2025-01-01_18</x:v>
      </x:c>
      <x:c r="AU82" s="19" t="n">
        <x:f>'两日价格与决策'!AU82</x:f>
        <x:v>60</x:v>
      </x:c>
      <x:c r="AV82" s="18" t="str">
        <x:f>'两日价格与决策'!AV82</x:f>
        <x:v>OK</x:v>
      </x:c>
    </x:row>
    <x:row r="83" ht="21" customHeight="1">
      <x:c r="A83" s="17" t="n">
        <x:f>'两日价格与决策'!A83</x:f>
        <x:v>45658.791666666664</x:v>
      </x:c>
      <x:c r="B83" s="23" t="n">
        <x:f>'两日价格与决策'!B83</x:f>
        <x:v>142.1</x:v>
      </x:c>
      <x:c r="C83" s="23" t="str">
        <x:f>'两日价格与决策'!C83</x:f>
        <x:v>缺失</x:v>
      </x:c>
      <x:c r="D83" s="23" t="n">
        <x:f>'两日价格与决策'!D83</x:f>
        <x:v>13.831647936310086</x:v>
      </x:c>
      <x:c r="E83" s="23" t="n">
        <x:f>'两日价格与决策'!E83</x:f>
        <x:v>14.676021792887155</x:v>
      </x:c>
      <x:c r="F83" s="23" t="n">
        <x:f>'两日价格与决策'!F83</x:f>
        <x:v>60.31241832693352</x:v>
      </x:c>
      <x:c r="G83" s="23" t="n">
        <x:f>'两日价格与决策'!G83</x:f>
        <x:v>20.03236766450212</x:v>
      </x:c>
      <x:c r="H83" s="23" t="str">
        <x:f>'两日价格与决策'!H83</x:f>
        <x:v>未模拟</x:v>
      </x:c>
      <x:c r="I83" s="24" t="n">
        <x:f>'两日价格与决策'!I83</x:f>
        <x:v>10</x:v>
      </x:c>
      <x:c r="J83" s="24" t="n">
        <x:f>'两日价格与决策'!J83</x:f>
        <x:v>10</x:v>
      </x:c>
      <x:c r="K83" s="24" t="n">
        <x:f>'两日价格与决策'!K83</x:f>
        <x:v>0</x:v>
      </x:c>
      <x:c r="L83" s="24" t="n">
        <x:f>'两日价格与决策'!L83</x:f>
        <x:v>0</x:v>
      </x:c>
      <x:c r="M83" s="24" t="n">
        <x:f>'两日价格与决策'!M83</x:f>
        <x:v>0</x:v>
      </x:c>
      <x:c r="N83" s="24" t="n">
        <x:f>'两日价格与决策'!N83</x:f>
        <x:v>0</x:v>
      </x:c>
      <x:c r="O83" s="24" t="n">
        <x:f>'两日价格与决策'!O83</x:f>
        <x:v>0</x:v>
      </x:c>
      <x:c r="P83" s="24" t="n">
        <x:f>'两日价格与决策'!P83</x:f>
        <x:v>0</x:v>
      </x:c>
      <x:c r="Q83" s="25" t="n">
        <x:f>'两日价格与决策'!Q83</x:f>
        <x:v>0</x:v>
      </x:c>
      <x:c r="R83" s="25" t="n">
        <x:f>'两日价格与决策'!R83</x:f>
        <x:v>0</x:v>
      </x:c>
      <x:c r="S83" s="25" t="n">
        <x:f>'两日价格与决策'!S83</x:f>
        <x:v>0</x:v>
      </x:c>
      <x:c r="T83" s="25" t="n">
        <x:f>'两日价格与决策'!T83</x:f>
        <x:v>0</x:v>
      </x:c>
      <x:c r="U83" s="25" t="n">
        <x:f>'两日价格与决策'!U83</x:f>
        <x:v>0</x:v>
      </x:c>
      <x:c r="V83" s="25" t="n">
        <x:f>'两日价格与决策'!V83</x:f>
        <x:v>0</x:v>
      </x:c>
      <x:c r="W83" s="25" t="n">
        <x:f>'两日价格与决策'!W83</x:f>
        <x:v>0</x:v>
      </x:c>
      <x:c r="X83" s="18" t="n">
        <x:f>'两日价格与决策'!X83</x:f>
        <x:v>0</x:v>
      </x:c>
      <x:c r="Y83" s="18" t="n">
        <x:f>'两日价格与决策'!Y83</x:f>
        <x:v>0</x:v>
      </x:c>
      <x:c r="Z83" s="18" t="str">
        <x:f>'两日价格与决策'!Z83</x:f>
        <x:v>1月1日执行｜初始化零订单</x:v>
      </x:c>
      <x:c r="AA83" s="19" t="n">
        <x:f>'两日价格与决策'!AA83</x:f>
        <x:v>1</x:v>
      </x:c>
      <x:c r="AB83" s="19" t="n">
        <x:f>'两日价格与决策'!AB83</x:f>
        <x:v>0</x:v>
      </x:c>
      <x:c r="AC83" s="18" t="n">
        <x:f>'两日价格与决策'!AC83</x:f>
        <x:v>0.25</x:v>
      </x:c>
      <x:c r="AD83" s="20" t="n">
        <x:f>'两日价格与决策'!AD83</x:f>
        <x:v>1</x:v>
      </x:c>
      <x:c r="AE83" s="20" t="n">
        <x:f>'两日价格与决策'!AE83</x:f>
        <x:v>0.00012</x:v>
      </x:c>
      <x:c r="AF83" s="20" t="n">
        <x:f>'两日价格与决策'!AF83</x:f>
        <x:v>0.1185</x:v>
      </x:c>
      <x:c r="AG83" s="18" t="n">
        <x:f>'两日价格与决策'!AG83</x:f>
        <x:v>200</x:v>
      </x:c>
      <x:c r="AH83" s="18" t="n">
        <x:f>'两日价格与决策'!AH83</x:f>
        <x:v>200</x:v>
      </x:c>
      <x:c r="AI83" s="18" t="n">
        <x:f>'两日价格与决策'!AI83</x:f>
        <x:v>0.006</x:v>
      </x:c>
      <x:c r="AJ83" s="18" t="n">
        <x:f>'两日价格与决策'!AJ83</x:f>
        <x:v>5.925</x:v>
      </x:c>
      <x:c r="AK83" s="18" t="str">
        <x:f>'两日价格与决策'!AK83</x:f>
        <x:v>缺失</x:v>
      </x:c>
      <x:c r="AL83" s="18" t="n">
        <x:f>'两日价格与决策'!AL83</x:f>
        <x:v>0</x:v>
      </x:c>
      <x:c r="AM83" s="18" t="n">
        <x:f>'两日价格与决策'!AM83</x:f>
        <x:v>0</x:v>
      </x:c>
      <x:c r="AN83" s="18" t="n">
        <x:f>'两日价格与决策'!AN83</x:f>
        <x:v>0</x:v>
      </x:c>
      <x:c r="AO83" s="18" t="n">
        <x:f>'两日价格与决策'!AO83</x:f>
        <x:v>10</x:v>
      </x:c>
      <x:c r="AP83" s="18" t="n">
        <x:f>'两日价格与决策'!AP83</x:f>
        <x:v>0</x:v>
      </x:c>
      <x:c r="AQ83" s="18" t="n">
        <x:f>'两日价格与决策'!AQ83</x:f>
        <x:v>4.9741</x:v>
      </x:c>
      <x:c r="AR83" s="21" t="n">
        <x:f>'两日价格与决策'!AR83</x:f>
        <x:v>45657</x:v>
      </x:c>
      <x:c r="AS83" s="17" t="n">
        <x:f>'两日价格与决策'!AS83</x:f>
        <x:v>45658.708333333336</x:v>
      </x:c>
      <x:c r="AT83" s="18" t="str">
        <x:f>'两日价格与决策'!AT83</x:f>
        <x:v>2025-01-01_19</x:v>
      </x:c>
      <x:c r="AU83" s="19" t="n">
        <x:f>'两日价格与决策'!AU83</x:f>
        <x:v>60</x:v>
      </x:c>
      <x:c r="AV83" s="18" t="str">
        <x:f>'两日价格与决策'!AV83</x:f>
        <x:v>OK</x:v>
      </x:c>
    </x:row>
    <x:row r="84" ht="21" customHeight="1">
      <x:c r="A84" s="17" t="n">
        <x:f>'两日价格与决策'!A84</x:f>
        <x:v>45658.802083333336</x:v>
      </x:c>
      <x:c r="B84" s="23" t="n">
        <x:f>'两日价格与决策'!B84</x:f>
        <x:v>142.1</x:v>
      </x:c>
      <x:c r="C84" s="23" t="str">
        <x:f>'两日价格与决策'!C84</x:f>
        <x:v>缺失</x:v>
      </x:c>
      <x:c r="D84" s="23" t="n">
        <x:f>'两日价格与决策'!D84</x:f>
        <x:v>13.831647936310086</x:v>
      </x:c>
      <x:c r="E84" s="23" t="n">
        <x:f>'两日价格与决策'!E84</x:f>
        <x:v>14.676021792887155</x:v>
      </x:c>
      <x:c r="F84" s="23" t="n">
        <x:f>'两日价格与决策'!F84</x:f>
        <x:v>108.85547134154922</x:v>
      </x:c>
      <x:c r="G84" s="23" t="n">
        <x:f>'两日价格与决策'!G84</x:f>
        <x:v>24.689692607707926</x:v>
      </x:c>
      <x:c r="H84" s="23" t="str">
        <x:f>'两日价格与决策'!H84</x:f>
        <x:v>未模拟</x:v>
      </x:c>
      <x:c r="I84" s="24" t="n">
        <x:f>'两日价格与决策'!I84</x:f>
        <x:v>10</x:v>
      </x:c>
      <x:c r="J84" s="24" t="n">
        <x:f>'两日价格与决策'!J84</x:f>
        <x:v>10</x:v>
      </x:c>
      <x:c r="K84" s="24" t="n">
        <x:f>'两日价格与决策'!K84</x:f>
        <x:v>0</x:v>
      </x:c>
      <x:c r="L84" s="24" t="n">
        <x:f>'两日价格与决策'!L84</x:f>
        <x:v>0</x:v>
      </x:c>
      <x:c r="M84" s="24" t="n">
        <x:f>'两日价格与决策'!M84</x:f>
        <x:v>0</x:v>
      </x:c>
      <x:c r="N84" s="24" t="n">
        <x:f>'两日价格与决策'!N84</x:f>
        <x:v>0</x:v>
      </x:c>
      <x:c r="O84" s="24" t="n">
        <x:f>'两日价格与决策'!O84</x:f>
        <x:v>0</x:v>
      </x:c>
      <x:c r="P84" s="24" t="n">
        <x:f>'两日价格与决策'!P84</x:f>
        <x:v>0</x:v>
      </x:c>
      <x:c r="Q84" s="25" t="n">
        <x:f>'两日价格与决策'!Q84</x:f>
        <x:v>0</x:v>
      </x:c>
      <x:c r="R84" s="25" t="n">
        <x:f>'两日价格与决策'!R84</x:f>
        <x:v>0</x:v>
      </x:c>
      <x:c r="S84" s="25" t="n">
        <x:f>'两日价格与决策'!S84</x:f>
        <x:v>0</x:v>
      </x:c>
      <x:c r="T84" s="25" t="n">
        <x:f>'两日价格与决策'!T84</x:f>
        <x:v>0</x:v>
      </x:c>
      <x:c r="U84" s="25" t="n">
        <x:f>'两日价格与决策'!U84</x:f>
        <x:v>0</x:v>
      </x:c>
      <x:c r="V84" s="25" t="n">
        <x:f>'两日价格与决策'!V84</x:f>
        <x:v>0</x:v>
      </x:c>
      <x:c r="W84" s="25" t="n">
        <x:f>'两日价格与决策'!W84</x:f>
        <x:v>0</x:v>
      </x:c>
      <x:c r="X84" s="18" t="n">
        <x:f>'两日价格与决策'!X84</x:f>
        <x:v>0</x:v>
      </x:c>
      <x:c r="Y84" s="18" t="n">
        <x:f>'两日价格与决策'!Y84</x:f>
        <x:v>0</x:v>
      </x:c>
      <x:c r="Z84" s="18" t="str">
        <x:f>'两日价格与决策'!Z84</x:f>
        <x:v>1月1日执行｜初始化零订单</x:v>
      </x:c>
      <x:c r="AA84" s="19" t="n">
        <x:f>'两日价格与决策'!AA84</x:f>
        <x:v>1</x:v>
      </x:c>
      <x:c r="AB84" s="19" t="n">
        <x:f>'两日价格与决策'!AB84</x:f>
        <x:v>0</x:v>
      </x:c>
      <x:c r="AC84" s="18" t="n">
        <x:f>'两日价格与决策'!AC84</x:f>
        <x:v>0.25</x:v>
      </x:c>
      <x:c r="AD84" s="20" t="n">
        <x:f>'两日价格与决策'!AD84</x:f>
        <x:v>1</x:v>
      </x:c>
      <x:c r="AE84" s="20" t="n">
        <x:f>'两日价格与决策'!AE84</x:f>
        <x:v>0.00192</x:v>
      </x:c>
      <x:c r="AF84" s="20" t="n">
        <x:f>'两日价格与决策'!AF84</x:f>
        <x:v>0.03418</x:v>
      </x:c>
      <x:c r="AG84" s="18" t="n">
        <x:f>'两日价格与决策'!AG84</x:f>
        <x:v>200</x:v>
      </x:c>
      <x:c r="AH84" s="18" t="n">
        <x:f>'两日价格与决策'!AH84</x:f>
        <x:v>200</x:v>
      </x:c>
      <x:c r="AI84" s="18" t="n">
        <x:f>'两日价格与决策'!AI84</x:f>
        <x:v>0.096</x:v>
      </x:c>
      <x:c r="AJ84" s="18" t="n">
        <x:f>'两日价格与决策'!AJ84</x:f>
        <x:v>1.709</x:v>
      </x:c>
      <x:c r="AK84" s="18" t="str">
        <x:f>'两日价格与决策'!AK84</x:f>
        <x:v>缺失</x:v>
      </x:c>
      <x:c r="AL84" s="18" t="n">
        <x:f>'两日价格与决策'!AL84</x:f>
        <x:v>0</x:v>
      </x:c>
      <x:c r="AM84" s="18" t="n">
        <x:f>'两日价格与决策'!AM84</x:f>
        <x:v>0</x:v>
      </x:c>
      <x:c r="AN84" s="18" t="n">
        <x:f>'两日价格与决策'!AN84</x:f>
        <x:v>0</x:v>
      </x:c>
      <x:c r="AO84" s="18" t="n">
        <x:f>'两日价格与决策'!AO84</x:f>
        <x:v>10</x:v>
      </x:c>
      <x:c r="AP84" s="18" t="n">
        <x:f>'两日价格与决策'!AP84</x:f>
        <x:v>0</x:v>
      </x:c>
      <x:c r="AQ84" s="18" t="n">
        <x:f>'两日价格与决策'!AQ84</x:f>
        <x:v>4.9741</x:v>
      </x:c>
      <x:c r="AR84" s="21" t="n">
        <x:f>'两日价格与决策'!AR84</x:f>
        <x:v>45657</x:v>
      </x:c>
      <x:c r="AS84" s="17" t="n">
        <x:f>'两日价格与决策'!AS84</x:f>
        <x:v>45658.71875</x:v>
      </x:c>
      <x:c r="AT84" s="18" t="str">
        <x:f>'两日价格与决策'!AT84</x:f>
        <x:v>2025-01-01_19</x:v>
      </x:c>
      <x:c r="AU84" s="19" t="n">
        <x:f>'两日价格与决策'!AU84</x:f>
        <x:v>60</x:v>
      </x:c>
      <x:c r="AV84" s="18" t="str">
        <x:f>'两日价格与决策'!AV84</x:f>
        <x:v>OK</x:v>
      </x:c>
    </x:row>
    <x:row r="85" ht="21" customHeight="1">
      <x:c r="A85" s="17" t="n">
        <x:f>'两日价格与决策'!A85</x:f>
        <x:v>45658.8125</x:v>
      </x:c>
      <x:c r="B85" s="23" t="n">
        <x:f>'两日价格与决策'!B85</x:f>
        <x:v>142.1</x:v>
      </x:c>
      <x:c r="C85" s="23" t="str">
        <x:f>'两日价格与决策'!C85</x:f>
        <x:v>缺失</x:v>
      </x:c>
      <x:c r="D85" s="23" t="n">
        <x:f>'两日价格与决策'!D85</x:f>
        <x:v>13.831647936310086</x:v>
      </x:c>
      <x:c r="E85" s="23" t="n">
        <x:f>'两日价格与决策'!E85</x:f>
        <x:v>14.676021792887155</x:v>
      </x:c>
      <x:c r="F85" s="23" t="n">
        <x:f>'两日价格与决策'!F85</x:f>
        <x:v>101.82223919905108</x:v>
      </x:c>
      <x:c r="G85" s="23" t="n">
        <x:f>'两日价格与决策'!G85</x:f>
        <x:v>58.49158641764339</x:v>
      </x:c>
      <x:c r="H85" s="23" t="str">
        <x:f>'两日价格与决策'!H85</x:f>
        <x:v>未模拟</x:v>
      </x:c>
      <x:c r="I85" s="24" t="n">
        <x:f>'两日价格与决策'!I85</x:f>
        <x:v>10</x:v>
      </x:c>
      <x:c r="J85" s="24" t="n">
        <x:f>'两日价格与决策'!J85</x:f>
        <x:v>10</x:v>
      </x:c>
      <x:c r="K85" s="24" t="n">
        <x:f>'两日价格与决策'!K85</x:f>
        <x:v>0</x:v>
      </x:c>
      <x:c r="L85" s="24" t="n">
        <x:f>'两日价格与决策'!L85</x:f>
        <x:v>0</x:v>
      </x:c>
      <x:c r="M85" s="24" t="n">
        <x:f>'两日价格与决策'!M85</x:f>
        <x:v>0</x:v>
      </x:c>
      <x:c r="N85" s="24" t="n">
        <x:f>'两日价格与决策'!N85</x:f>
        <x:v>0</x:v>
      </x:c>
      <x:c r="O85" s="24" t="n">
        <x:f>'两日价格与决策'!O85</x:f>
        <x:v>0</x:v>
      </x:c>
      <x:c r="P85" s="24" t="n">
        <x:f>'两日价格与决策'!P85</x:f>
        <x:v>0</x:v>
      </x:c>
      <x:c r="Q85" s="25" t="n">
        <x:f>'两日价格与决策'!Q85</x:f>
        <x:v>0</x:v>
      </x:c>
      <x:c r="R85" s="25" t="n">
        <x:f>'两日价格与决策'!R85</x:f>
        <x:v>0</x:v>
      </x:c>
      <x:c r="S85" s="25" t="n">
        <x:f>'两日价格与决策'!S85</x:f>
        <x:v>0</x:v>
      </x:c>
      <x:c r="T85" s="25" t="n">
        <x:f>'两日价格与决策'!T85</x:f>
        <x:v>0</x:v>
      </x:c>
      <x:c r="U85" s="25" t="n">
        <x:f>'两日价格与决策'!U85</x:f>
        <x:v>0</x:v>
      </x:c>
      <x:c r="V85" s="25" t="n">
        <x:f>'两日价格与决策'!V85</x:f>
        <x:v>0</x:v>
      </x:c>
      <x:c r="W85" s="25" t="n">
        <x:f>'两日价格与决策'!W85</x:f>
        <x:v>0</x:v>
      </x:c>
      <x:c r="X85" s="18" t="n">
        <x:f>'两日价格与决策'!X85</x:f>
        <x:v>0</x:v>
      </x:c>
      <x:c r="Y85" s="18" t="n">
        <x:f>'两日价格与决策'!Y85</x:f>
        <x:v>0</x:v>
      </x:c>
      <x:c r="Z85" s="18" t="str">
        <x:f>'两日价格与决策'!Z85</x:f>
        <x:v>1月1日执行｜初始化零订单</x:v>
      </x:c>
      <x:c r="AA85" s="19" t="n">
        <x:f>'两日价格与决策'!AA85</x:f>
        <x:v>1</x:v>
      </x:c>
      <x:c r="AB85" s="19" t="n">
        <x:f>'两日价格与决策'!AB85</x:f>
        <x:v>0</x:v>
      </x:c>
      <x:c r="AC85" s="18" t="n">
        <x:f>'两日价格与决策'!AC85</x:f>
        <x:v>0.25</x:v>
      </x:c>
      <x:c r="AD85" s="20" t="n">
        <x:f>'两日价格与决策'!AD85</x:f>
        <x:v>1</x:v>
      </x:c>
      <x:c r="AE85" s="20" t="n">
        <x:f>'两日价格与决策'!AE85</x:f>
        <x:v>0.0034599999999999995</x:v>
      </x:c>
      <x:c r="AF85" s="20" t="n">
        <x:f>'两日价格与决策'!AF85</x:f>
        <x:v>0.00212</x:v>
      </x:c>
      <x:c r="AG85" s="18" t="n">
        <x:f>'两日价格与决策'!AG85</x:f>
        <x:v>200</x:v>
      </x:c>
      <x:c r="AH85" s="18" t="n">
        <x:f>'两日价格与决策'!AH85</x:f>
        <x:v>200</x:v>
      </x:c>
      <x:c r="AI85" s="18" t="n">
        <x:f>'两日价格与决策'!AI85</x:f>
        <x:v>0.173</x:v>
      </x:c>
      <x:c r="AJ85" s="18" t="n">
        <x:f>'两日价格与决策'!AJ85</x:f>
        <x:v>0.106</x:v>
      </x:c>
      <x:c r="AK85" s="18" t="str">
        <x:f>'两日价格与决策'!AK85</x:f>
        <x:v>缺失</x:v>
      </x:c>
      <x:c r="AL85" s="18" t="n">
        <x:f>'两日价格与决策'!AL85</x:f>
        <x:v>0</x:v>
      </x:c>
      <x:c r="AM85" s="18" t="n">
        <x:f>'两日价格与决策'!AM85</x:f>
        <x:v>0</x:v>
      </x:c>
      <x:c r="AN85" s="18" t="n">
        <x:f>'两日价格与决策'!AN85</x:f>
        <x:v>0</x:v>
      </x:c>
      <x:c r="AO85" s="18" t="n">
        <x:f>'两日价格与决策'!AO85</x:f>
        <x:v>10</x:v>
      </x:c>
      <x:c r="AP85" s="18" t="n">
        <x:f>'两日价格与决策'!AP85</x:f>
        <x:v>0</x:v>
      </x:c>
      <x:c r="AQ85" s="18" t="n">
        <x:f>'两日价格与决策'!AQ85</x:f>
        <x:v>4.9741</x:v>
      </x:c>
      <x:c r="AR85" s="21" t="n">
        <x:f>'两日价格与决策'!AR85</x:f>
        <x:v>45657</x:v>
      </x:c>
      <x:c r="AS85" s="17" t="n">
        <x:f>'两日价格与决策'!AS85</x:f>
        <x:v>45658.729166666664</x:v>
      </x:c>
      <x:c r="AT85" s="18" t="str">
        <x:f>'两日价格与决策'!AT85</x:f>
        <x:v>2025-01-01_19</x:v>
      </x:c>
      <x:c r="AU85" s="19" t="n">
        <x:f>'两日价格与决策'!AU85</x:f>
        <x:v>60</x:v>
      </x:c>
      <x:c r="AV85" s="18" t="str">
        <x:f>'两日价格与决策'!AV85</x:f>
        <x:v>OK</x:v>
      </x:c>
    </x:row>
    <x:row r="86" ht="21" customHeight="1">
      <x:c r="A86" s="17" t="n">
        <x:f>'两日价格与决策'!A86</x:f>
        <x:v>45658.822916666664</x:v>
      </x:c>
      <x:c r="B86" s="23" t="n">
        <x:f>'两日价格与决策'!B86</x:f>
        <x:v>142.1</x:v>
      </x:c>
      <x:c r="C86" s="23" t="str">
        <x:f>'两日价格与决策'!C86</x:f>
        <x:v>缺失</x:v>
      </x:c>
      <x:c r="D86" s="23" t="n">
        <x:f>'两日价格与决策'!D86</x:f>
        <x:v>13.831647936310086</x:v>
      </x:c>
      <x:c r="E86" s="23" t="n">
        <x:f>'两日价格与决策'!E86</x:f>
        <x:v>14.676021792887155</x:v>
      </x:c>
      <x:c r="F86" s="23" t="n">
        <x:f>'两日价格与决策'!F86</x:f>
        <x:v>170.24929132908466</x:v>
      </x:c>
      <x:c r="G86" s="23" t="n">
        <x:f>'两日价格与决策'!G86</x:f>
        <x:v>0</x:v>
      </x:c>
      <x:c r="H86" s="23" t="str">
        <x:f>'两日价格与决策'!H86</x:f>
        <x:v>未模拟</x:v>
      </x:c>
      <x:c r="I86" s="24" t="n">
        <x:f>'两日价格与决策'!I86</x:f>
        <x:v>10</x:v>
      </x:c>
      <x:c r="J86" s="24" t="n">
        <x:f>'两日价格与决策'!J86</x:f>
        <x:v>10</x:v>
      </x:c>
      <x:c r="K86" s="24" t="n">
        <x:f>'两日价格与决策'!K86</x:f>
        <x:v>0</x:v>
      </x:c>
      <x:c r="L86" s="24" t="n">
        <x:f>'两日价格与决策'!L86</x:f>
        <x:v>0</x:v>
      </x:c>
      <x:c r="M86" s="24" t="n">
        <x:f>'两日价格与决策'!M86</x:f>
        <x:v>0</x:v>
      </x:c>
      <x:c r="N86" s="24" t="n">
        <x:f>'两日价格与决策'!N86</x:f>
        <x:v>0</x:v>
      </x:c>
      <x:c r="O86" s="24" t="n">
        <x:f>'两日价格与决策'!O86</x:f>
        <x:v>0</x:v>
      </x:c>
      <x:c r="P86" s="24" t="n">
        <x:f>'两日价格与决策'!P86</x:f>
        <x:v>0</x:v>
      </x:c>
      <x:c r="Q86" s="25" t="n">
        <x:f>'两日价格与决策'!Q86</x:f>
        <x:v>0</x:v>
      </x:c>
      <x:c r="R86" s="25" t="n">
        <x:f>'两日价格与决策'!R86</x:f>
        <x:v>0</x:v>
      </x:c>
      <x:c r="S86" s="25" t="n">
        <x:f>'两日价格与决策'!S86</x:f>
        <x:v>0</x:v>
      </x:c>
      <x:c r="T86" s="25" t="n">
        <x:f>'两日价格与决策'!T86</x:f>
        <x:v>0</x:v>
      </x:c>
      <x:c r="U86" s="25" t="n">
        <x:f>'两日价格与决策'!U86</x:f>
        <x:v>0</x:v>
      </x:c>
      <x:c r="V86" s="25" t="n">
        <x:f>'两日价格与决策'!V86</x:f>
        <x:v>0</x:v>
      </x:c>
      <x:c r="W86" s="25" t="n">
        <x:f>'两日价格与决策'!W86</x:f>
        <x:v>0</x:v>
      </x:c>
      <x:c r="X86" s="18" t="n">
        <x:f>'两日价格与决策'!X86</x:f>
        <x:v>0</x:v>
      </x:c>
      <x:c r="Y86" s="18" t="n">
        <x:f>'两日价格与决策'!Y86</x:f>
        <x:v>0</x:v>
      </x:c>
      <x:c r="Z86" s="18" t="str">
        <x:f>'两日价格与决策'!Z86</x:f>
        <x:v>1月1日执行｜初始化零订单</x:v>
      </x:c>
      <x:c r="AA86" s="19" t="n">
        <x:f>'两日价格与决策'!AA86</x:f>
        <x:v>1</x:v>
      </x:c>
      <x:c r="AB86" s="19" t="n">
        <x:f>'两日价格与决策'!AB86</x:f>
        <x:v>0</x:v>
      </x:c>
      <x:c r="AC86" s="18" t="n">
        <x:f>'两日价格与决策'!AC86</x:f>
        <x:v>0.25</x:v>
      </x:c>
      <x:c r="AD86" s="20" t="n">
        <x:f>'两日价格与决策'!AD86</x:f>
        <x:v>1</x:v>
      </x:c>
      <x:c r="AE86" s="20" t="n">
        <x:f>'两日价格与决策'!AE86</x:f>
        <x:v>0.17412</x:v>
      </x:c>
      <x:c r="AF86" s="20" t="n">
        <x:f>'两日价格与决策'!AF86</x:f>
        <x:v>0</x:v>
      </x:c>
      <x:c r="AG86" s="18" t="n">
        <x:f>'两日价格与决策'!AG86</x:f>
        <x:v>200</x:v>
      </x:c>
      <x:c r="AH86" s="18" t="n">
        <x:f>'两日价格与决策'!AH86</x:f>
        <x:v>200</x:v>
      </x:c>
      <x:c r="AI86" s="18" t="n">
        <x:f>'两日价格与决策'!AI86</x:f>
        <x:v>8.706</x:v>
      </x:c>
      <x:c r="AJ86" s="18" t="n">
        <x:f>'两日价格与决策'!AJ86</x:f>
        <x:v>0</x:v>
      </x:c>
      <x:c r="AK86" s="18" t="str">
        <x:f>'两日价格与决策'!AK86</x:f>
        <x:v>缺失</x:v>
      </x:c>
      <x:c r="AL86" s="18" t="n">
        <x:f>'两日价格与决策'!AL86</x:f>
        <x:v>0</x:v>
      </x:c>
      <x:c r="AM86" s="18" t="n">
        <x:f>'两日价格与决策'!AM86</x:f>
        <x:v>0</x:v>
      </x:c>
      <x:c r="AN86" s="18" t="n">
        <x:f>'两日价格与决策'!AN86</x:f>
        <x:v>0</x:v>
      </x:c>
      <x:c r="AO86" s="18" t="n">
        <x:f>'两日价格与决策'!AO86</x:f>
        <x:v>10</x:v>
      </x:c>
      <x:c r="AP86" s="18" t="n">
        <x:f>'两日价格与决策'!AP86</x:f>
        <x:v>0</x:v>
      </x:c>
      <x:c r="AQ86" s="18" t="n">
        <x:f>'两日价格与决策'!AQ86</x:f>
        <x:v>4.9741</x:v>
      </x:c>
      <x:c r="AR86" s="21" t="n">
        <x:f>'两日价格与决策'!AR86</x:f>
        <x:v>45657</x:v>
      </x:c>
      <x:c r="AS86" s="17" t="n">
        <x:f>'两日价格与决策'!AS86</x:f>
        <x:v>45658.739583333336</x:v>
      </x:c>
      <x:c r="AT86" s="18" t="str">
        <x:f>'两日价格与决策'!AT86</x:f>
        <x:v>2025-01-01_19</x:v>
      </x:c>
      <x:c r="AU86" s="19" t="n">
        <x:f>'两日价格与决策'!AU86</x:f>
        <x:v>60</x:v>
      </x:c>
      <x:c r="AV86" s="18" t="str">
        <x:f>'两日价格与决策'!AV86</x:f>
        <x:v>OK</x:v>
      </x:c>
    </x:row>
    <x:row r="87" ht="21" customHeight="1">
      <x:c r="A87" s="17" t="n">
        <x:f>'两日价格与决策'!A87</x:f>
        <x:v>45658.833333333336</x:v>
      </x:c>
      <x:c r="B87" s="23" t="n">
        <x:f>'两日价格与决策'!B87</x:f>
        <x:v>149.55</x:v>
      </x:c>
      <x:c r="C87" s="23" t="str">
        <x:f>'两日价格与决策'!C87</x:f>
        <x:v>缺失</x:v>
      </x:c>
      <x:c r="D87" s="23" t="n">
        <x:f>'两日价格与决策'!D87</x:f>
        <x:v>13.831647936310086</x:v>
      </x:c>
      <x:c r="E87" s="23" t="n">
        <x:f>'两日价格与决策'!E87</x:f>
        <x:v>14.710198829939085</x:v>
      </x:c>
      <x:c r="F87" s="23" t="n">
        <x:f>'两日价格与决策'!F87</x:f>
        <x:v>190.7315896343057</x:v>
      </x:c>
      <x:c r="G87" s="23" t="n">
        <x:f>'两日价格与决策'!G87</x:f>
        <x:v>0</x:v>
      </x:c>
      <x:c r="H87" s="23" t="str">
        <x:f>'两日价格与决策'!H87</x:f>
        <x:v>未模拟</x:v>
      </x:c>
      <x:c r="I87" s="24" t="n">
        <x:f>'两日价格与决策'!I87</x:f>
        <x:v>10</x:v>
      </x:c>
      <x:c r="J87" s="24" t="n">
        <x:f>'两日价格与决策'!J87</x:f>
        <x:v>10</x:v>
      </x:c>
      <x:c r="K87" s="24" t="n">
        <x:f>'两日价格与决策'!K87</x:f>
        <x:v>0</x:v>
      </x:c>
      <x:c r="L87" s="24" t="n">
        <x:f>'两日价格与决策'!L87</x:f>
        <x:v>0</x:v>
      </x:c>
      <x:c r="M87" s="24" t="n">
        <x:f>'两日价格与决策'!M87</x:f>
        <x:v>0</x:v>
      </x:c>
      <x:c r="N87" s="24" t="n">
        <x:f>'两日价格与决策'!N87</x:f>
        <x:v>0</x:v>
      </x:c>
      <x:c r="O87" s="24" t="n">
        <x:f>'两日价格与决策'!O87</x:f>
        <x:v>0</x:v>
      </x:c>
      <x:c r="P87" s="24" t="n">
        <x:f>'两日价格与决策'!P87</x:f>
        <x:v>0</x:v>
      </x:c>
      <x:c r="Q87" s="25" t="n">
        <x:f>'两日价格与决策'!Q87</x:f>
        <x:v>0</x:v>
      </x:c>
      <x:c r="R87" s="25" t="n">
        <x:f>'两日价格与决策'!R87</x:f>
        <x:v>0</x:v>
      </x:c>
      <x:c r="S87" s="25" t="n">
        <x:f>'两日价格与决策'!S87</x:f>
        <x:v>0</x:v>
      </x:c>
      <x:c r="T87" s="25" t="n">
        <x:f>'两日价格与决策'!T87</x:f>
        <x:v>0</x:v>
      </x:c>
      <x:c r="U87" s="25" t="n">
        <x:f>'两日价格与决策'!U87</x:f>
        <x:v>0</x:v>
      </x:c>
      <x:c r="V87" s="25" t="n">
        <x:f>'两日价格与决策'!V87</x:f>
        <x:v>0</x:v>
      </x:c>
      <x:c r="W87" s="25" t="n">
        <x:f>'两日价格与决策'!W87</x:f>
        <x:v>0</x:v>
      </x:c>
      <x:c r="X87" s="18" t="n">
        <x:f>'两日价格与决策'!X87</x:f>
        <x:v>0</x:v>
      </x:c>
      <x:c r="Y87" s="18" t="n">
        <x:f>'两日价格与决策'!Y87</x:f>
        <x:v>0</x:v>
      </x:c>
      <x:c r="Z87" s="18" t="str">
        <x:f>'两日价格与决策'!Z87</x:f>
        <x:v>1月1日执行｜初始化零订单</x:v>
      </x:c>
      <x:c r="AA87" s="19" t="n">
        <x:f>'两日价格与决策'!AA87</x:f>
        <x:v>1</x:v>
      </x:c>
      <x:c r="AB87" s="19" t="n">
        <x:f>'两日价格与决策'!AB87</x:f>
        <x:v>0</x:v>
      </x:c>
      <x:c r="AC87" s="18" t="n">
        <x:f>'两日价格与决策'!AC87</x:f>
        <x:v>0.25</x:v>
      </x:c>
      <x:c r="AD87" s="20" t="n">
        <x:f>'两日价格与决策'!AD87</x:f>
        <x:v>1</x:v>
      </x:c>
      <x:c r="AE87" s="20" t="n">
        <x:f>'两日价格与决策'!AE87</x:f>
        <x:v>0.18016</x:v>
      </x:c>
      <x:c r="AF87" s="20" t="n">
        <x:f>'两日价格与决策'!AF87</x:f>
        <x:v>0</x:v>
      </x:c>
      <x:c r="AG87" s="18" t="n">
        <x:f>'两日价格与决策'!AG87</x:f>
        <x:v>200</x:v>
      </x:c>
      <x:c r="AH87" s="18" t="n">
        <x:f>'两日价格与决策'!AH87</x:f>
        <x:v>200</x:v>
      </x:c>
      <x:c r="AI87" s="18" t="n">
        <x:f>'两日价格与决策'!AI87</x:f>
        <x:v>9.008</x:v>
      </x:c>
      <x:c r="AJ87" s="18" t="n">
        <x:f>'两日价格与决策'!AJ87</x:f>
        <x:v>0</x:v>
      </x:c>
      <x:c r="AK87" s="18" t="str">
        <x:f>'两日价格与决策'!AK87</x:f>
        <x:v>缺失</x:v>
      </x:c>
      <x:c r="AL87" s="18" t="n">
        <x:f>'两日价格与决策'!AL87</x:f>
        <x:v>0</x:v>
      </x:c>
      <x:c r="AM87" s="18" t="n">
        <x:f>'两日价格与决策'!AM87</x:f>
        <x:v>0</x:v>
      </x:c>
      <x:c r="AN87" s="18" t="n">
        <x:f>'两日价格与决策'!AN87</x:f>
        <x:v>0</x:v>
      </x:c>
      <x:c r="AO87" s="18" t="n">
        <x:f>'两日价格与决策'!AO87</x:f>
        <x:v>10</x:v>
      </x:c>
      <x:c r="AP87" s="18" t="n">
        <x:f>'两日价格与决策'!AP87</x:f>
        <x:v>0</x:v>
      </x:c>
      <x:c r="AQ87" s="18" t="n">
        <x:f>'两日价格与决策'!AQ87</x:f>
        <x:v>4.9741</x:v>
      </x:c>
      <x:c r="AR87" s="21" t="n">
        <x:f>'两日价格与决策'!AR87</x:f>
        <x:v>45657</x:v>
      </x:c>
      <x:c r="AS87" s="17" t="n">
        <x:f>'两日价格与决策'!AS87</x:f>
        <x:v>45658.75</x:v>
      </x:c>
      <x:c r="AT87" s="18" t="str">
        <x:f>'两日价格与决策'!AT87</x:f>
        <x:v>2025-01-01_20</x:v>
      </x:c>
      <x:c r="AU87" s="19" t="n">
        <x:f>'两日价格与决策'!AU87</x:f>
        <x:v>60</x:v>
      </x:c>
      <x:c r="AV87" s="18" t="str">
        <x:f>'两日价格与决策'!AV87</x:f>
        <x:v>OK</x:v>
      </x:c>
    </x:row>
    <x:row r="88" ht="21" customHeight="1">
      <x:c r="A88" s="17" t="n">
        <x:f>'两日价格与决策'!A88</x:f>
        <x:v>45658.84375</x:v>
      </x:c>
      <x:c r="B88" s="23" t="n">
        <x:f>'两日价格与决策'!B88</x:f>
        <x:v>149.55</x:v>
      </x:c>
      <x:c r="C88" s="23" t="str">
        <x:f>'两日价格与决策'!C88</x:f>
        <x:v>缺失</x:v>
      </x:c>
      <x:c r="D88" s="23" t="n">
        <x:f>'两日价格与决策'!D88</x:f>
        <x:v>13.831647936310086</x:v>
      </x:c>
      <x:c r="E88" s="23" t="n">
        <x:f>'两日价格与决策'!E88</x:f>
        <x:v>14.710198829939085</x:v>
      </x:c>
      <x:c r="F88" s="23" t="n">
        <x:f>'两日价格与决策'!F88</x:f>
        <x:v>201.00761946884865</x:v>
      </x:c>
      <x:c r="G88" s="23" t="n">
        <x:f>'两日价格与决策'!G88</x:f>
        <x:v>0</x:v>
      </x:c>
      <x:c r="H88" s="23" t="str">
        <x:f>'两日价格与决策'!H88</x:f>
        <x:v>未模拟</x:v>
      </x:c>
      <x:c r="I88" s="24" t="n">
        <x:f>'两日价格与决策'!I88</x:f>
        <x:v>10</x:v>
      </x:c>
      <x:c r="J88" s="24" t="n">
        <x:f>'两日价格与决策'!J88</x:f>
        <x:v>10</x:v>
      </x:c>
      <x:c r="K88" s="24" t="n">
        <x:f>'两日价格与决策'!K88</x:f>
        <x:v>0</x:v>
      </x:c>
      <x:c r="L88" s="24" t="n">
        <x:f>'两日价格与决策'!L88</x:f>
        <x:v>0</x:v>
      </x:c>
      <x:c r="M88" s="24" t="n">
        <x:f>'两日价格与决策'!M88</x:f>
        <x:v>0</x:v>
      </x:c>
      <x:c r="N88" s="24" t="n">
        <x:f>'两日价格与决策'!N88</x:f>
        <x:v>0</x:v>
      </x:c>
      <x:c r="O88" s="24" t="n">
        <x:f>'两日价格与决策'!O88</x:f>
        <x:v>0</x:v>
      </x:c>
      <x:c r="P88" s="24" t="n">
        <x:f>'两日价格与决策'!P88</x:f>
        <x:v>0</x:v>
      </x:c>
      <x:c r="Q88" s="25" t="n">
        <x:f>'两日价格与决策'!Q88</x:f>
        <x:v>0</x:v>
      </x:c>
      <x:c r="R88" s="25" t="n">
        <x:f>'两日价格与决策'!R88</x:f>
        <x:v>0</x:v>
      </x:c>
      <x:c r="S88" s="25" t="n">
        <x:f>'两日价格与决策'!S88</x:f>
        <x:v>0</x:v>
      </x:c>
      <x:c r="T88" s="25" t="n">
        <x:f>'两日价格与决策'!T88</x:f>
        <x:v>0</x:v>
      </x:c>
      <x:c r="U88" s="25" t="n">
        <x:f>'两日价格与决策'!U88</x:f>
        <x:v>0</x:v>
      </x:c>
      <x:c r="V88" s="25" t="n">
        <x:f>'两日价格与决策'!V88</x:f>
        <x:v>0</x:v>
      </x:c>
      <x:c r="W88" s="25" t="n">
        <x:f>'两日价格与决策'!W88</x:f>
        <x:v>0</x:v>
      </x:c>
      <x:c r="X88" s="18" t="n">
        <x:f>'两日价格与决策'!X88</x:f>
        <x:v>0</x:v>
      </x:c>
      <x:c r="Y88" s="18" t="n">
        <x:f>'两日价格与决策'!Y88</x:f>
        <x:v>0</x:v>
      </x:c>
      <x:c r="Z88" s="18" t="str">
        <x:f>'两日价格与决策'!Z88</x:f>
        <x:v>1月1日执行｜初始化零订单</x:v>
      </x:c>
      <x:c r="AA88" s="19" t="n">
        <x:f>'两日价格与决策'!AA88</x:f>
        <x:v>1</x:v>
      </x:c>
      <x:c r="AB88" s="19" t="n">
        <x:f>'两日价格与决策'!AB88</x:f>
        <x:v>0</x:v>
      </x:c>
      <x:c r="AC88" s="18" t="n">
        <x:f>'两日价格与决策'!AC88</x:f>
        <x:v>0.25</x:v>
      </x:c>
      <x:c r="AD88" s="20" t="n">
        <x:f>'两日价格与决策'!AD88</x:f>
        <x:v>1</x:v>
      </x:c>
      <x:c r="AE88" s="20" t="n">
        <x:f>'两日价格与决策'!AE88</x:f>
        <x:v>0.2396</x:v>
      </x:c>
      <x:c r="AF88" s="20" t="n">
        <x:f>'两日价格与决策'!AF88</x:f>
        <x:v>0</x:v>
      </x:c>
      <x:c r="AG88" s="18" t="n">
        <x:f>'两日价格与决策'!AG88</x:f>
        <x:v>200</x:v>
      </x:c>
      <x:c r="AH88" s="18" t="n">
        <x:f>'两日价格与决策'!AH88</x:f>
        <x:v>200</x:v>
      </x:c>
      <x:c r="AI88" s="18" t="n">
        <x:f>'两日价格与决策'!AI88</x:f>
        <x:v>11.98</x:v>
      </x:c>
      <x:c r="AJ88" s="18" t="n">
        <x:f>'两日价格与决策'!AJ88</x:f>
        <x:v>0</x:v>
      </x:c>
      <x:c r="AK88" s="18" t="str">
        <x:f>'两日价格与决策'!AK88</x:f>
        <x:v>缺失</x:v>
      </x:c>
      <x:c r="AL88" s="18" t="n">
        <x:f>'两日价格与决策'!AL88</x:f>
        <x:v>0</x:v>
      </x:c>
      <x:c r="AM88" s="18" t="n">
        <x:f>'两日价格与决策'!AM88</x:f>
        <x:v>0</x:v>
      </x:c>
      <x:c r="AN88" s="18" t="n">
        <x:f>'两日价格与决策'!AN88</x:f>
        <x:v>0</x:v>
      </x:c>
      <x:c r="AO88" s="18" t="n">
        <x:f>'两日价格与决策'!AO88</x:f>
        <x:v>10</x:v>
      </x:c>
      <x:c r="AP88" s="18" t="n">
        <x:f>'两日价格与决策'!AP88</x:f>
        <x:v>0</x:v>
      </x:c>
      <x:c r="AQ88" s="18" t="n">
        <x:f>'两日价格与决策'!AQ88</x:f>
        <x:v>4.9741</x:v>
      </x:c>
      <x:c r="AR88" s="21" t="n">
        <x:f>'两日价格与决策'!AR88</x:f>
        <x:v>45657</x:v>
      </x:c>
      <x:c r="AS88" s="17" t="n">
        <x:f>'两日价格与决策'!AS88</x:f>
        <x:v>45658.760416666664</x:v>
      </x:c>
      <x:c r="AT88" s="18" t="str">
        <x:f>'两日价格与决策'!AT88</x:f>
        <x:v>2025-01-01_20</x:v>
      </x:c>
      <x:c r="AU88" s="19" t="n">
        <x:f>'两日价格与决策'!AU88</x:f>
        <x:v>60</x:v>
      </x:c>
      <x:c r="AV88" s="18" t="str">
        <x:f>'两日价格与决策'!AV88</x:f>
        <x:v>OK</x:v>
      </x:c>
    </x:row>
    <x:row r="89" ht="21" customHeight="1">
      <x:c r="A89" s="17" t="n">
        <x:f>'两日价格与决策'!A89</x:f>
        <x:v>45658.854166666664</x:v>
      </x:c>
      <x:c r="B89" s="23" t="n">
        <x:f>'两日价格与决策'!B89</x:f>
        <x:v>149.55</x:v>
      </x:c>
      <x:c r="C89" s="23" t="str">
        <x:f>'两日价格与决策'!C89</x:f>
        <x:v>缺失</x:v>
      </x:c>
      <x:c r="D89" s="23" t="n">
        <x:f>'两日价格与决策'!D89</x:f>
        <x:v>13.831647936310086</x:v>
      </x:c>
      <x:c r="E89" s="23" t="n">
        <x:f>'两日价格与决策'!E89</x:f>
        <x:v>14.710198829939085</x:v>
      </x:c>
      <x:c r="F89" s="23" t="n">
        <x:f>'两日价格与决策'!F89</x:f>
        <x:v>156.0967813272753</x:v>
      </x:c>
      <x:c r="G89" s="23" t="n">
        <x:f>'两日价格与决策'!G89</x:f>
        <x:v>33.268732031925374</x:v>
      </x:c>
      <x:c r="H89" s="23" t="str">
        <x:f>'两日价格与决策'!H89</x:f>
        <x:v>未模拟</x:v>
      </x:c>
      <x:c r="I89" s="24" t="n">
        <x:f>'两日价格与决策'!I89</x:f>
        <x:v>10</x:v>
      </x:c>
      <x:c r="J89" s="24" t="n">
        <x:f>'两日价格与决策'!J89</x:f>
        <x:v>10</x:v>
      </x:c>
      <x:c r="K89" s="24" t="n">
        <x:f>'两日价格与决策'!K89</x:f>
        <x:v>0</x:v>
      </x:c>
      <x:c r="L89" s="24" t="n">
        <x:f>'两日价格与决策'!L89</x:f>
        <x:v>0</x:v>
      </x:c>
      <x:c r="M89" s="24" t="n">
        <x:f>'两日价格与决策'!M89</x:f>
        <x:v>0</x:v>
      </x:c>
      <x:c r="N89" s="24" t="n">
        <x:f>'两日价格与决策'!N89</x:f>
        <x:v>0</x:v>
      </x:c>
      <x:c r="O89" s="24" t="n">
        <x:f>'两日价格与决策'!O89</x:f>
        <x:v>0</x:v>
      </x:c>
      <x:c r="P89" s="24" t="n">
        <x:f>'两日价格与决策'!P89</x:f>
        <x:v>0</x:v>
      </x:c>
      <x:c r="Q89" s="25" t="n">
        <x:f>'两日价格与决策'!Q89</x:f>
        <x:v>0</x:v>
      </x:c>
      <x:c r="R89" s="25" t="n">
        <x:f>'两日价格与决策'!R89</x:f>
        <x:v>0</x:v>
      </x:c>
      <x:c r="S89" s="25" t="n">
        <x:f>'两日价格与决策'!S89</x:f>
        <x:v>0</x:v>
      </x:c>
      <x:c r="T89" s="25" t="n">
        <x:f>'两日价格与决策'!T89</x:f>
        <x:v>0</x:v>
      </x:c>
      <x:c r="U89" s="25" t="n">
        <x:f>'两日价格与决策'!U89</x:f>
        <x:v>0</x:v>
      </x:c>
      <x:c r="V89" s="25" t="n">
        <x:f>'两日价格与决策'!V89</x:f>
        <x:v>0</x:v>
      </x:c>
      <x:c r="W89" s="25" t="n">
        <x:f>'两日价格与决策'!W89</x:f>
        <x:v>0</x:v>
      </x:c>
      <x:c r="X89" s="18" t="n">
        <x:f>'两日价格与决策'!X89</x:f>
        <x:v>0</x:v>
      </x:c>
      <x:c r="Y89" s="18" t="n">
        <x:f>'两日价格与决策'!Y89</x:f>
        <x:v>0</x:v>
      </x:c>
      <x:c r="Z89" s="18" t="str">
        <x:f>'两日价格与决策'!Z89</x:f>
        <x:v>1月1日执行｜初始化零订单</x:v>
      </x:c>
      <x:c r="AA89" s="19" t="n">
        <x:f>'两日价格与决策'!AA89</x:f>
        <x:v>1</x:v>
      </x:c>
      <x:c r="AB89" s="19" t="n">
        <x:f>'两日价格与决策'!AB89</x:f>
        <x:v>0</x:v>
      </x:c>
      <x:c r="AC89" s="18" t="n">
        <x:f>'两日价格与决策'!AC89</x:f>
        <x:v>0.25</x:v>
      </x:c>
      <x:c r="AD89" s="20" t="n">
        <x:f>'两日价格与决策'!AD89</x:f>
        <x:v>1</x:v>
      </x:c>
      <x:c r="AE89" s="20" t="n">
        <x:f>'两日价格与决策'!AE89</x:f>
        <x:v>0.04014</x:v>
      </x:c>
      <x:c r="AF89" s="20" t="n">
        <x:f>'两日价格与决策'!AF89</x:f>
        <x:v>0.00962</x:v>
      </x:c>
      <x:c r="AG89" s="18" t="n">
        <x:f>'两日价格与决策'!AG89</x:f>
        <x:v>200</x:v>
      </x:c>
      <x:c r="AH89" s="18" t="n">
        <x:f>'两日价格与决策'!AH89</x:f>
        <x:v>200</x:v>
      </x:c>
      <x:c r="AI89" s="18" t="n">
        <x:f>'两日价格与决策'!AI89</x:f>
        <x:v>2.007</x:v>
      </x:c>
      <x:c r="AJ89" s="18" t="n">
        <x:f>'两日价格与决策'!AJ89</x:f>
        <x:v>0.481</x:v>
      </x:c>
      <x:c r="AK89" s="18" t="str">
        <x:f>'两日价格与决策'!AK89</x:f>
        <x:v>缺失</x:v>
      </x:c>
      <x:c r="AL89" s="18" t="n">
        <x:f>'两日价格与决策'!AL89</x:f>
        <x:v>0</x:v>
      </x:c>
      <x:c r="AM89" s="18" t="n">
        <x:f>'两日价格与决策'!AM89</x:f>
        <x:v>0</x:v>
      </x:c>
      <x:c r="AN89" s="18" t="n">
        <x:f>'两日价格与决策'!AN89</x:f>
        <x:v>0</x:v>
      </x:c>
      <x:c r="AO89" s="18" t="n">
        <x:f>'两日价格与决策'!AO89</x:f>
        <x:v>10</x:v>
      </x:c>
      <x:c r="AP89" s="18" t="n">
        <x:f>'两日价格与决策'!AP89</x:f>
        <x:v>0</x:v>
      </x:c>
      <x:c r="AQ89" s="18" t="n">
        <x:f>'两日价格与决策'!AQ89</x:f>
        <x:v>4.9741</x:v>
      </x:c>
      <x:c r="AR89" s="21" t="n">
        <x:f>'两日价格与决策'!AR89</x:f>
        <x:v>45657</x:v>
      </x:c>
      <x:c r="AS89" s="17" t="n">
        <x:f>'两日价格与决策'!AS89</x:f>
        <x:v>45658.770833333336</x:v>
      </x:c>
      <x:c r="AT89" s="18" t="str">
        <x:f>'两日价格与决策'!AT89</x:f>
        <x:v>2025-01-01_20</x:v>
      </x:c>
      <x:c r="AU89" s="19" t="n">
        <x:f>'两日价格与决策'!AU89</x:f>
        <x:v>60</x:v>
      </x:c>
      <x:c r="AV89" s="18" t="str">
        <x:f>'两日价格与决策'!AV89</x:f>
        <x:v>OK</x:v>
      </x:c>
    </x:row>
    <x:row r="90" ht="21" customHeight="1">
      <x:c r="A90" s="17" t="n">
        <x:f>'两日价格与决策'!A90</x:f>
        <x:v>45658.864583333336</x:v>
      </x:c>
      <x:c r="B90" s="23" t="n">
        <x:f>'两日价格与决策'!B90</x:f>
        <x:v>149.55</x:v>
      </x:c>
      <x:c r="C90" s="23" t="str">
        <x:f>'两日价格与决策'!C90</x:f>
        <x:v>缺失</x:v>
      </x:c>
      <x:c r="D90" s="23" t="n">
        <x:f>'两日价格与决策'!D90</x:f>
        <x:v>13.831647936310086</x:v>
      </x:c>
      <x:c r="E90" s="23" t="n">
        <x:f>'两日价格与决策'!E90</x:f>
        <x:v>14.710198829939085</x:v>
      </x:c>
      <x:c r="F90" s="23" t="n">
        <x:f>'两日价格与决策'!F90</x:f>
        <x:v>0</x:v>
      </x:c>
      <x:c r="G90" s="23" t="n">
        <x:f>'两日价格与决策'!G90</x:f>
        <x:v>19.747290967210148</x:v>
      </x:c>
      <x:c r="H90" s="23" t="str">
        <x:f>'两日价格与决策'!H90</x:f>
        <x:v>未模拟</x:v>
      </x:c>
      <x:c r="I90" s="24" t="n">
        <x:f>'两日价格与决策'!I90</x:f>
        <x:v>10</x:v>
      </x:c>
      <x:c r="J90" s="24" t="n">
        <x:f>'两日价格与决策'!J90</x:f>
        <x:v>10</x:v>
      </x:c>
      <x:c r="K90" s="24" t="n">
        <x:f>'两日价格与决策'!K90</x:f>
        <x:v>0</x:v>
      </x:c>
      <x:c r="L90" s="24" t="n">
        <x:f>'两日价格与决策'!L90</x:f>
        <x:v>0</x:v>
      </x:c>
      <x:c r="M90" s="24" t="n">
        <x:f>'两日价格与决策'!M90</x:f>
        <x:v>0</x:v>
      </x:c>
      <x:c r="N90" s="24" t="n">
        <x:f>'两日价格与决策'!N90</x:f>
        <x:v>0</x:v>
      </x:c>
      <x:c r="O90" s="24" t="n">
        <x:f>'两日价格与决策'!O90</x:f>
        <x:v>0</x:v>
      </x:c>
      <x:c r="P90" s="24" t="n">
        <x:f>'两日价格与决策'!P90</x:f>
        <x:v>0</x:v>
      </x:c>
      <x:c r="Q90" s="25" t="n">
        <x:f>'两日价格与决策'!Q90</x:f>
        <x:v>0</x:v>
      </x:c>
      <x:c r="R90" s="25" t="n">
        <x:f>'两日价格与决策'!R90</x:f>
        <x:v>0</x:v>
      </x:c>
      <x:c r="S90" s="25" t="n">
        <x:f>'两日价格与决策'!S90</x:f>
        <x:v>0</x:v>
      </x:c>
      <x:c r="T90" s="25" t="n">
        <x:f>'两日价格与决策'!T90</x:f>
        <x:v>0</x:v>
      </x:c>
      <x:c r="U90" s="25" t="n">
        <x:f>'两日价格与决策'!U90</x:f>
        <x:v>0</x:v>
      </x:c>
      <x:c r="V90" s="25" t="n">
        <x:f>'两日价格与决策'!V90</x:f>
        <x:v>0</x:v>
      </x:c>
      <x:c r="W90" s="25" t="n">
        <x:f>'两日价格与决策'!W90</x:f>
        <x:v>0</x:v>
      </x:c>
      <x:c r="X90" s="18" t="n">
        <x:f>'两日价格与决策'!X90</x:f>
        <x:v>0</x:v>
      </x:c>
      <x:c r="Y90" s="18" t="n">
        <x:f>'两日价格与决策'!Y90</x:f>
        <x:v>0</x:v>
      </x:c>
      <x:c r="Z90" s="18" t="str">
        <x:f>'两日价格与决策'!Z90</x:f>
        <x:v>1月1日执行｜初始化零订单</x:v>
      </x:c>
      <x:c r="AA90" s="19" t="n">
        <x:f>'两日价格与决策'!AA90</x:f>
        <x:v>1</x:v>
      </x:c>
      <x:c r="AB90" s="19" t="n">
        <x:f>'两日价格与决策'!AB90</x:f>
        <x:v>0</x:v>
      </x:c>
      <x:c r="AC90" s="18" t="n">
        <x:f>'两日价格与决策'!AC90</x:f>
        <x:v>0.25</x:v>
      </x:c>
      <x:c r="AD90" s="20" t="n">
        <x:f>'两日价格与决策'!AD90</x:f>
        <x:v>1</x:v>
      </x:c>
      <x:c r="AE90" s="20" t="n">
        <x:f>'两日价格与决策'!AE90</x:f>
        <x:v>0</x:v>
      </x:c>
      <x:c r="AF90" s="20" t="n">
        <x:f>'两日价格与决策'!AF90</x:f>
        <x:v>0.14728</x:v>
      </x:c>
      <x:c r="AG90" s="18" t="n">
        <x:f>'两日价格与决策'!AG90</x:f>
        <x:v>200</x:v>
      </x:c>
      <x:c r="AH90" s="18" t="n">
        <x:f>'两日价格与决策'!AH90</x:f>
        <x:v>200</x:v>
      </x:c>
      <x:c r="AI90" s="18" t="n">
        <x:f>'两日价格与决策'!AI90</x:f>
        <x:v>0</x:v>
      </x:c>
      <x:c r="AJ90" s="18" t="n">
        <x:f>'两日价格与决策'!AJ90</x:f>
        <x:v>7.364</x:v>
      </x:c>
      <x:c r="AK90" s="18" t="str">
        <x:f>'两日价格与决策'!AK90</x:f>
        <x:v>缺失</x:v>
      </x:c>
      <x:c r="AL90" s="18" t="n">
        <x:f>'两日价格与决策'!AL90</x:f>
        <x:v>0</x:v>
      </x:c>
      <x:c r="AM90" s="18" t="n">
        <x:f>'两日价格与决策'!AM90</x:f>
        <x:v>0</x:v>
      </x:c>
      <x:c r="AN90" s="18" t="n">
        <x:f>'两日价格与决策'!AN90</x:f>
        <x:v>0</x:v>
      </x:c>
      <x:c r="AO90" s="18" t="n">
        <x:f>'两日价格与决策'!AO90</x:f>
        <x:v>10</x:v>
      </x:c>
      <x:c r="AP90" s="18" t="n">
        <x:f>'两日价格与决策'!AP90</x:f>
        <x:v>0</x:v>
      </x:c>
      <x:c r="AQ90" s="18" t="n">
        <x:f>'两日价格与决策'!AQ90</x:f>
        <x:v>4.9741</x:v>
      </x:c>
      <x:c r="AR90" s="21" t="n">
        <x:f>'两日价格与决策'!AR90</x:f>
        <x:v>45657</x:v>
      </x:c>
      <x:c r="AS90" s="17" t="n">
        <x:f>'两日价格与决策'!AS90</x:f>
        <x:v>45658.78125</x:v>
      </x:c>
      <x:c r="AT90" s="18" t="str">
        <x:f>'两日价格与决策'!AT90</x:f>
        <x:v>2025-01-01_20</x:v>
      </x:c>
      <x:c r="AU90" s="19" t="n">
        <x:f>'两日价格与决策'!AU90</x:f>
        <x:v>60</x:v>
      </x:c>
      <x:c r="AV90" s="18" t="str">
        <x:f>'两日价格与决策'!AV90</x:f>
        <x:v>OK</x:v>
      </x:c>
    </x:row>
    <x:row r="91" ht="21" customHeight="1">
      <x:c r="A91" s="17" t="n">
        <x:f>'两日价格与决策'!A91</x:f>
        <x:v>45658.875</x:v>
      </x:c>
      <x:c r="B91" s="23" t="n">
        <x:f>'两日价格与决策'!B91</x:f>
        <x:v>139.62</x:v>
      </x:c>
      <x:c r="C91" s="23" t="str">
        <x:f>'两日价格与决策'!C91</x:f>
        <x:v>缺失</x:v>
      </x:c>
      <x:c r="D91" s="23" t="n">
        <x:f>'两日价格与决策'!D91</x:f>
        <x:v>13.831647936310086</x:v>
      </x:c>
      <x:c r="E91" s="23" t="n">
        <x:f>'两日价格与决策'!E91</x:f>
        <x:v>14.710198829939085</x:v>
      </x:c>
      <x:c r="F91" s="23" t="n">
        <x:f>'两日价格与决策'!F91</x:f>
        <x:v>0</x:v>
      </x:c>
      <x:c r="G91" s="23" t="n">
        <x:f>'两日价格与决策'!G91</x:f>
        <x:v>40.80295932932591</x:v>
      </x:c>
      <x:c r="H91" s="23" t="str">
        <x:f>'两日价格与决策'!H91</x:f>
        <x:v>未模拟</x:v>
      </x:c>
      <x:c r="I91" s="24" t="n">
        <x:f>'两日价格与决策'!I91</x:f>
        <x:v>10</x:v>
      </x:c>
      <x:c r="J91" s="24" t="n">
        <x:f>'两日价格与决策'!J91</x:f>
        <x:v>10</x:v>
      </x:c>
      <x:c r="K91" s="24" t="n">
        <x:f>'两日价格与决策'!K91</x:f>
        <x:v>0</x:v>
      </x:c>
      <x:c r="L91" s="24" t="n">
        <x:f>'两日价格与决策'!L91</x:f>
        <x:v>0</x:v>
      </x:c>
      <x:c r="M91" s="24" t="n">
        <x:f>'两日价格与决策'!M91</x:f>
        <x:v>0</x:v>
      </x:c>
      <x:c r="N91" s="24" t="n">
        <x:f>'两日价格与决策'!N91</x:f>
        <x:v>0</x:v>
      </x:c>
      <x:c r="O91" s="24" t="n">
        <x:f>'两日价格与决策'!O91</x:f>
        <x:v>0</x:v>
      </x:c>
      <x:c r="P91" s="24" t="n">
        <x:f>'两日价格与决策'!P91</x:f>
        <x:v>0</x:v>
      </x:c>
      <x:c r="Q91" s="25" t="n">
        <x:f>'两日价格与决策'!Q91</x:f>
        <x:v>0</x:v>
      </x:c>
      <x:c r="R91" s="25" t="n">
        <x:f>'两日价格与决策'!R91</x:f>
        <x:v>0</x:v>
      </x:c>
      <x:c r="S91" s="25" t="n">
        <x:f>'两日价格与决策'!S91</x:f>
        <x:v>0</x:v>
      </x:c>
      <x:c r="T91" s="25" t="n">
        <x:f>'两日价格与决策'!T91</x:f>
        <x:v>0</x:v>
      </x:c>
      <x:c r="U91" s="25" t="n">
        <x:f>'两日价格与决策'!U91</x:f>
        <x:v>0</x:v>
      </x:c>
      <x:c r="V91" s="25" t="n">
        <x:f>'两日价格与决策'!V91</x:f>
        <x:v>0</x:v>
      </x:c>
      <x:c r="W91" s="25" t="n">
        <x:f>'两日价格与决策'!W91</x:f>
        <x:v>0</x:v>
      </x:c>
      <x:c r="X91" s="18" t="n">
        <x:f>'两日价格与决策'!X91</x:f>
        <x:v>0</x:v>
      </x:c>
      <x:c r="Y91" s="18" t="n">
        <x:f>'两日价格与决策'!Y91</x:f>
        <x:v>0</x:v>
      </x:c>
      <x:c r="Z91" s="18" t="str">
        <x:f>'两日价格与决策'!Z91</x:f>
        <x:v>1月1日执行｜初始化零订单</x:v>
      </x:c>
      <x:c r="AA91" s="19" t="n">
        <x:f>'两日价格与决策'!AA91</x:f>
        <x:v>1</x:v>
      </x:c>
      <x:c r="AB91" s="19" t="n">
        <x:f>'两日价格与决策'!AB91</x:f>
        <x:v>0</x:v>
      </x:c>
      <x:c r="AC91" s="18" t="n">
        <x:f>'两日价格与决策'!AC91</x:f>
        <x:v>0.25</x:v>
      </x:c>
      <x:c r="AD91" s="20" t="n">
        <x:f>'两日价格与决策'!AD91</x:f>
        <x:v>1</x:v>
      </x:c>
      <x:c r="AE91" s="20" t="n">
        <x:f>'两日价格与决策'!AE91</x:f>
        <x:v>0</x:v>
      </x:c>
      <x:c r="AF91" s="20" t="n">
        <x:f>'两日价格与决策'!AF91</x:f>
        <x:v>0.03128</x:v>
      </x:c>
      <x:c r="AG91" s="18" t="n">
        <x:f>'两日价格与决策'!AG91</x:f>
        <x:v>200</x:v>
      </x:c>
      <x:c r="AH91" s="18" t="n">
        <x:f>'两日价格与决策'!AH91</x:f>
        <x:v>200</x:v>
      </x:c>
      <x:c r="AI91" s="18" t="n">
        <x:f>'两日价格与决策'!AI91</x:f>
        <x:v>0</x:v>
      </x:c>
      <x:c r="AJ91" s="18" t="n">
        <x:f>'两日价格与决策'!AJ91</x:f>
        <x:v>1.564</x:v>
      </x:c>
      <x:c r="AK91" s="18" t="str">
        <x:f>'两日价格与决策'!AK91</x:f>
        <x:v>缺失</x:v>
      </x:c>
      <x:c r="AL91" s="18" t="n">
        <x:f>'两日价格与决策'!AL91</x:f>
        <x:v>0</x:v>
      </x:c>
      <x:c r="AM91" s="18" t="n">
        <x:f>'两日价格与决策'!AM91</x:f>
        <x:v>0</x:v>
      </x:c>
      <x:c r="AN91" s="18" t="n">
        <x:f>'两日价格与决策'!AN91</x:f>
        <x:v>0</x:v>
      </x:c>
      <x:c r="AO91" s="18" t="n">
        <x:f>'两日价格与决策'!AO91</x:f>
        <x:v>10</x:v>
      </x:c>
      <x:c r="AP91" s="18" t="n">
        <x:f>'两日价格与决策'!AP91</x:f>
        <x:v>0</x:v>
      </x:c>
      <x:c r="AQ91" s="18" t="n">
        <x:f>'两日价格与决策'!AQ91</x:f>
        <x:v>4.9741</x:v>
      </x:c>
      <x:c r="AR91" s="21" t="n">
        <x:f>'两日价格与决策'!AR91</x:f>
        <x:v>45657</x:v>
      </x:c>
      <x:c r="AS91" s="17" t="n">
        <x:f>'两日价格与决策'!AS91</x:f>
        <x:v>45658.791666666664</x:v>
      </x:c>
      <x:c r="AT91" s="18" t="str">
        <x:f>'两日价格与决策'!AT91</x:f>
        <x:v>2025-01-01_21</x:v>
      </x:c>
      <x:c r="AU91" s="19" t="n">
        <x:f>'两日价格与决策'!AU91</x:f>
        <x:v>60</x:v>
      </x:c>
      <x:c r="AV91" s="18" t="str">
        <x:f>'两日价格与决策'!AV91</x:f>
        <x:v>OK</x:v>
      </x:c>
    </x:row>
    <x:row r="92" ht="21" customHeight="1">
      <x:c r="A92" s="17" t="n">
        <x:f>'两日价格与决策'!A92</x:f>
        <x:v>45658.885416666664</x:v>
      </x:c>
      <x:c r="B92" s="23" t="n">
        <x:f>'两日价格与决策'!B92</x:f>
        <x:v>139.62</x:v>
      </x:c>
      <x:c r="C92" s="23" t="str">
        <x:f>'两日价格与决策'!C92</x:f>
        <x:v>缺失</x:v>
      </x:c>
      <x:c r="D92" s="23" t="n">
        <x:f>'两日价格与决策'!D92</x:f>
        <x:v>13.831647936310086</x:v>
      </x:c>
      <x:c r="E92" s="23" t="n">
        <x:f>'两日价格与决策'!E92</x:f>
        <x:v>14.710198829939085</x:v>
      </x:c>
      <x:c r="F92" s="23" t="n">
        <x:f>'两日价格与决策'!F92</x:f>
        <x:v>0</x:v>
      </x:c>
      <x:c r="G92" s="23" t="n">
        <x:f>'两日价格与决策'!G92</x:f>
        <x:v>57.110029955167775</x:v>
      </x:c>
      <x:c r="H92" s="23" t="str">
        <x:f>'两日价格与决策'!H92</x:f>
        <x:v>未模拟</x:v>
      </x:c>
      <x:c r="I92" s="24" t="n">
        <x:f>'两日价格与决策'!I92</x:f>
        <x:v>10</x:v>
      </x:c>
      <x:c r="J92" s="24" t="n">
        <x:f>'两日价格与决策'!J92</x:f>
        <x:v>10</x:v>
      </x:c>
      <x:c r="K92" s="24" t="n">
        <x:f>'两日价格与决策'!K92</x:f>
        <x:v>0</x:v>
      </x:c>
      <x:c r="L92" s="24" t="n">
        <x:f>'两日价格与决策'!L92</x:f>
        <x:v>0</x:v>
      </x:c>
      <x:c r="M92" s="24" t="n">
        <x:f>'两日价格与决策'!M92</x:f>
        <x:v>0</x:v>
      </x:c>
      <x:c r="N92" s="24" t="n">
        <x:f>'两日价格与决策'!N92</x:f>
        <x:v>0</x:v>
      </x:c>
      <x:c r="O92" s="24" t="n">
        <x:f>'两日价格与决策'!O92</x:f>
        <x:v>0</x:v>
      </x:c>
      <x:c r="P92" s="24" t="n">
        <x:f>'两日价格与决策'!P92</x:f>
        <x:v>0</x:v>
      </x:c>
      <x:c r="Q92" s="25" t="n">
        <x:f>'两日价格与决策'!Q92</x:f>
        <x:v>0</x:v>
      </x:c>
      <x:c r="R92" s="25" t="n">
        <x:f>'两日价格与决策'!R92</x:f>
        <x:v>0</x:v>
      </x:c>
      <x:c r="S92" s="25" t="n">
        <x:f>'两日价格与决策'!S92</x:f>
        <x:v>0</x:v>
      </x:c>
      <x:c r="T92" s="25" t="n">
        <x:f>'两日价格与决策'!T92</x:f>
        <x:v>0</x:v>
      </x:c>
      <x:c r="U92" s="25" t="n">
        <x:f>'两日价格与决策'!U92</x:f>
        <x:v>0</x:v>
      </x:c>
      <x:c r="V92" s="25" t="n">
        <x:f>'两日价格与决策'!V92</x:f>
        <x:v>0</x:v>
      </x:c>
      <x:c r="W92" s="25" t="n">
        <x:f>'两日价格与决策'!W92</x:f>
        <x:v>0</x:v>
      </x:c>
      <x:c r="X92" s="18" t="n">
        <x:f>'两日价格与决策'!X92</x:f>
        <x:v>0</x:v>
      </x:c>
      <x:c r="Y92" s="18" t="n">
        <x:f>'两日价格与决策'!Y92</x:f>
        <x:v>0</x:v>
      </x:c>
      <x:c r="Z92" s="18" t="str">
        <x:f>'两日价格与决策'!Z92</x:f>
        <x:v>1月1日执行｜初始化零订单</x:v>
      </x:c>
      <x:c r="AA92" s="19" t="n">
        <x:f>'两日价格与决策'!AA92</x:f>
        <x:v>1</x:v>
      </x:c>
      <x:c r="AB92" s="19" t="n">
        <x:f>'两日价格与决策'!AB92</x:f>
        <x:v>0</x:v>
      </x:c>
      <x:c r="AC92" s="18" t="n">
        <x:f>'两日价格与决策'!AC92</x:f>
        <x:v>0.25</x:v>
      </x:c>
      <x:c r="AD92" s="20" t="n">
        <x:f>'两日价格与决策'!AD92</x:f>
        <x:v>1</x:v>
      </x:c>
      <x:c r="AE92" s="20" t="n">
        <x:f>'两日价格与决策'!AE92</x:f>
        <x:v>0</x:v>
      </x:c>
      <x:c r="AF92" s="20" t="n">
        <x:f>'两日价格与决策'!AF92</x:f>
        <x:v>0.02854</x:v>
      </x:c>
      <x:c r="AG92" s="18" t="n">
        <x:f>'两日价格与决策'!AG92</x:f>
        <x:v>200</x:v>
      </x:c>
      <x:c r="AH92" s="18" t="n">
        <x:f>'两日价格与决策'!AH92</x:f>
        <x:v>200</x:v>
      </x:c>
      <x:c r="AI92" s="18" t="n">
        <x:f>'两日价格与决策'!AI92</x:f>
        <x:v>0</x:v>
      </x:c>
      <x:c r="AJ92" s="18" t="n">
        <x:f>'两日价格与决策'!AJ92</x:f>
        <x:v>1.427</x:v>
      </x:c>
      <x:c r="AK92" s="18" t="str">
        <x:f>'两日价格与决策'!AK92</x:f>
        <x:v>缺失</x:v>
      </x:c>
      <x:c r="AL92" s="18" t="n">
        <x:f>'两日价格与决策'!AL92</x:f>
        <x:v>0</x:v>
      </x:c>
      <x:c r="AM92" s="18" t="n">
        <x:f>'两日价格与决策'!AM92</x:f>
        <x:v>0</x:v>
      </x:c>
      <x:c r="AN92" s="18" t="n">
        <x:f>'两日价格与决策'!AN92</x:f>
        <x:v>0</x:v>
      </x:c>
      <x:c r="AO92" s="18" t="n">
        <x:f>'两日价格与决策'!AO92</x:f>
        <x:v>10</x:v>
      </x:c>
      <x:c r="AP92" s="18" t="n">
        <x:f>'两日价格与决策'!AP92</x:f>
        <x:v>0</x:v>
      </x:c>
      <x:c r="AQ92" s="18" t="n">
        <x:f>'两日价格与决策'!AQ92</x:f>
        <x:v>4.9741</x:v>
      </x:c>
      <x:c r="AR92" s="21" t="n">
        <x:f>'两日价格与决策'!AR92</x:f>
        <x:v>45657</x:v>
      </x:c>
      <x:c r="AS92" s="17" t="n">
        <x:f>'两日价格与决策'!AS92</x:f>
        <x:v>45658.802083333336</x:v>
      </x:c>
      <x:c r="AT92" s="18" t="str">
        <x:f>'两日价格与决策'!AT92</x:f>
        <x:v>2025-01-01_21</x:v>
      </x:c>
      <x:c r="AU92" s="19" t="n">
        <x:f>'两日价格与决策'!AU92</x:f>
        <x:v>60</x:v>
      </x:c>
      <x:c r="AV92" s="18" t="str">
        <x:f>'两日价格与决策'!AV92</x:f>
        <x:v>OK</x:v>
      </x:c>
    </x:row>
    <x:row r="93" ht="21" customHeight="1">
      <x:c r="A93" s="17" t="n">
        <x:f>'两日价格与决策'!A93</x:f>
        <x:v>45658.895833333336</x:v>
      </x:c>
      <x:c r="B93" s="23" t="n">
        <x:f>'两日价格与决策'!B93</x:f>
        <x:v>139.62</x:v>
      </x:c>
      <x:c r="C93" s="23" t="str">
        <x:f>'两日价格与决策'!C93</x:f>
        <x:v>缺失</x:v>
      </x:c>
      <x:c r="D93" s="23" t="n">
        <x:f>'两日价格与决策'!D93</x:f>
        <x:v>13.831647936310086</x:v>
      </x:c>
      <x:c r="E93" s="23" t="n">
        <x:f>'两日价格与决策'!E93</x:f>
        <x:v>14.710198829939085</x:v>
      </x:c>
      <x:c r="F93" s="23" t="n">
        <x:f>'两日价格与决策'!F93</x:f>
        <x:v>136.70814820771596</x:v>
      </x:c>
      <x:c r="G93" s="23" t="n">
        <x:f>'两日价格与决策'!G93</x:f>
        <x:v>58.3020043827024</x:v>
      </x:c>
      <x:c r="H93" s="23" t="str">
        <x:f>'两日价格与决策'!H93</x:f>
        <x:v>未模拟</x:v>
      </x:c>
      <x:c r="I93" s="24" t="n">
        <x:f>'两日价格与决策'!I93</x:f>
        <x:v>10</x:v>
      </x:c>
      <x:c r="J93" s="24" t="n">
        <x:f>'两日价格与决策'!J93</x:f>
        <x:v>10</x:v>
      </x:c>
      <x:c r="K93" s="24" t="n">
        <x:f>'两日价格与决策'!K93</x:f>
        <x:v>0</x:v>
      </x:c>
      <x:c r="L93" s="24" t="n">
        <x:f>'两日价格与决策'!L93</x:f>
        <x:v>0</x:v>
      </x:c>
      <x:c r="M93" s="24" t="n">
        <x:f>'两日价格与决策'!M93</x:f>
        <x:v>0</x:v>
      </x:c>
      <x:c r="N93" s="24" t="n">
        <x:f>'两日价格与决策'!N93</x:f>
        <x:v>0</x:v>
      </x:c>
      <x:c r="O93" s="24" t="n">
        <x:f>'两日价格与决策'!O93</x:f>
        <x:v>0</x:v>
      </x:c>
      <x:c r="P93" s="24" t="n">
        <x:f>'两日价格与决策'!P93</x:f>
        <x:v>0</x:v>
      </x:c>
      <x:c r="Q93" s="25" t="n">
        <x:f>'两日价格与决策'!Q93</x:f>
        <x:v>0</x:v>
      </x:c>
      <x:c r="R93" s="25" t="n">
        <x:f>'两日价格与决策'!R93</x:f>
        <x:v>0</x:v>
      </x:c>
      <x:c r="S93" s="25" t="n">
        <x:f>'两日价格与决策'!S93</x:f>
        <x:v>0</x:v>
      </x:c>
      <x:c r="T93" s="25" t="n">
        <x:f>'两日价格与决策'!T93</x:f>
        <x:v>0</x:v>
      </x:c>
      <x:c r="U93" s="25" t="n">
        <x:f>'两日价格与决策'!U93</x:f>
        <x:v>0</x:v>
      </x:c>
      <x:c r="V93" s="25" t="n">
        <x:f>'两日价格与决策'!V93</x:f>
        <x:v>0</x:v>
      </x:c>
      <x:c r="W93" s="25" t="n">
        <x:f>'两日价格与决策'!W93</x:f>
        <x:v>0</x:v>
      </x:c>
      <x:c r="X93" s="18" t="n">
        <x:f>'两日价格与决策'!X93</x:f>
        <x:v>0</x:v>
      </x:c>
      <x:c r="Y93" s="18" t="n">
        <x:f>'两日价格与决策'!Y93</x:f>
        <x:v>0</x:v>
      </x:c>
      <x:c r="Z93" s="18" t="str">
        <x:f>'两日价格与决策'!Z93</x:f>
        <x:v>1月1日执行｜初始化零订单</x:v>
      </x:c>
      <x:c r="AA93" s="19" t="n">
        <x:f>'两日价格与决策'!AA93</x:f>
        <x:v>1</x:v>
      </x:c>
      <x:c r="AB93" s="19" t="n">
        <x:f>'两日价格与决策'!AB93</x:f>
        <x:v>0</x:v>
      </x:c>
      <x:c r="AC93" s="18" t="n">
        <x:f>'两日价格与决策'!AC93</x:f>
        <x:v>0.25</x:v>
      </x:c>
      <x:c r="AD93" s="20" t="n">
        <x:f>'两日价格与决策'!AD93</x:f>
        <x:v>1</x:v>
      </x:c>
      <x:c r="AE93" s="20" t="n">
        <x:f>'两日价格与决策'!AE93</x:f>
        <x:v>0.00192</x:v>
      </x:c>
      <x:c r="AF93" s="20" t="n">
        <x:f>'两日价格与决策'!AF93</x:f>
        <x:v>0.00306</x:v>
      </x:c>
      <x:c r="AG93" s="18" t="n">
        <x:f>'两日价格与决策'!AG93</x:f>
        <x:v>200</x:v>
      </x:c>
      <x:c r="AH93" s="18" t="n">
        <x:f>'两日价格与决策'!AH93</x:f>
        <x:v>200</x:v>
      </x:c>
      <x:c r="AI93" s="18" t="n">
        <x:f>'两日价格与决策'!AI93</x:f>
        <x:v>0.096</x:v>
      </x:c>
      <x:c r="AJ93" s="18" t="n">
        <x:f>'两日价格与决策'!AJ93</x:f>
        <x:v>0.153</x:v>
      </x:c>
      <x:c r="AK93" s="18" t="str">
        <x:f>'两日价格与决策'!AK93</x:f>
        <x:v>缺失</x:v>
      </x:c>
      <x:c r="AL93" s="18" t="n">
        <x:f>'两日价格与决策'!AL93</x:f>
        <x:v>0</x:v>
      </x:c>
      <x:c r="AM93" s="18" t="n">
        <x:f>'两日价格与决策'!AM93</x:f>
        <x:v>0</x:v>
      </x:c>
      <x:c r="AN93" s="18" t="n">
        <x:f>'两日价格与决策'!AN93</x:f>
        <x:v>0</x:v>
      </x:c>
      <x:c r="AO93" s="18" t="n">
        <x:f>'两日价格与决策'!AO93</x:f>
        <x:v>10</x:v>
      </x:c>
      <x:c r="AP93" s="18" t="n">
        <x:f>'两日价格与决策'!AP93</x:f>
        <x:v>0</x:v>
      </x:c>
      <x:c r="AQ93" s="18" t="n">
        <x:f>'两日价格与决策'!AQ93</x:f>
        <x:v>4.9741</x:v>
      </x:c>
      <x:c r="AR93" s="21" t="n">
        <x:f>'两日价格与决策'!AR93</x:f>
        <x:v>45657</x:v>
      </x:c>
      <x:c r="AS93" s="17" t="n">
        <x:f>'两日价格与决策'!AS93</x:f>
        <x:v>45658.8125</x:v>
      </x:c>
      <x:c r="AT93" s="18" t="str">
        <x:f>'两日价格与决策'!AT93</x:f>
        <x:v>2025-01-01_21</x:v>
      </x:c>
      <x:c r="AU93" s="19" t="n">
        <x:f>'两日价格与决策'!AU93</x:f>
        <x:v>60</x:v>
      </x:c>
      <x:c r="AV93" s="18" t="str">
        <x:f>'两日价格与决策'!AV93</x:f>
        <x:v>OK</x:v>
      </x:c>
    </x:row>
    <x:row r="94" ht="21" customHeight="1">
      <x:c r="A94" s="17" t="n">
        <x:f>'两日价格与决策'!A94</x:f>
        <x:v>45658.90625</x:v>
      </x:c>
      <x:c r="B94" s="23" t="n">
        <x:f>'两日价格与决策'!B94</x:f>
        <x:v>139.62</x:v>
      </x:c>
      <x:c r="C94" s="23" t="str">
        <x:f>'两日价格与决策'!C94</x:f>
        <x:v>缺失</x:v>
      </x:c>
      <x:c r="D94" s="23" t="n">
        <x:f>'两日价格与决策'!D94</x:f>
        <x:v>13.831647936310086</x:v>
      </x:c>
      <x:c r="E94" s="23" t="n">
        <x:f>'两日价格与决策'!E94</x:f>
        <x:v>14.710198829939085</x:v>
      </x:c>
      <x:c r="F94" s="23" t="n">
        <x:f>'两日价格与决策'!F94</x:f>
        <x:v>136.70814820771596</x:v>
      </x:c>
      <x:c r="G94" s="23" t="n">
        <x:f>'两日价格与决策'!G94</x:f>
        <x:v>58.3020043827024</x:v>
      </x:c>
      <x:c r="H94" s="23" t="str">
        <x:f>'两日价格与决策'!H94</x:f>
        <x:v>未模拟</x:v>
      </x:c>
      <x:c r="I94" s="24" t="n">
        <x:f>'两日价格与决策'!I94</x:f>
        <x:v>10</x:v>
      </x:c>
      <x:c r="J94" s="24" t="n">
        <x:f>'两日价格与决策'!J94</x:f>
        <x:v>10</x:v>
      </x:c>
      <x:c r="K94" s="24" t="n">
        <x:f>'两日价格与决策'!K94</x:f>
        <x:v>0</x:v>
      </x:c>
      <x:c r="L94" s="24" t="n">
        <x:f>'两日价格与决策'!L94</x:f>
        <x:v>0</x:v>
      </x:c>
      <x:c r="M94" s="24" t="n">
        <x:f>'两日价格与决策'!M94</x:f>
        <x:v>0</x:v>
      </x:c>
      <x:c r="N94" s="24" t="n">
        <x:f>'两日价格与决策'!N94</x:f>
        <x:v>0</x:v>
      </x:c>
      <x:c r="O94" s="24" t="n">
        <x:f>'两日价格与决策'!O94</x:f>
        <x:v>0</x:v>
      </x:c>
      <x:c r="P94" s="24" t="n">
        <x:f>'两日价格与决策'!P94</x:f>
        <x:v>0</x:v>
      </x:c>
      <x:c r="Q94" s="25" t="n">
        <x:f>'两日价格与决策'!Q94</x:f>
        <x:v>0</x:v>
      </x:c>
      <x:c r="R94" s="25" t="n">
        <x:f>'两日价格与决策'!R94</x:f>
        <x:v>0</x:v>
      </x:c>
      <x:c r="S94" s="25" t="n">
        <x:f>'两日价格与决策'!S94</x:f>
        <x:v>0</x:v>
      </x:c>
      <x:c r="T94" s="25" t="n">
        <x:f>'两日价格与决策'!T94</x:f>
        <x:v>0</x:v>
      </x:c>
      <x:c r="U94" s="25" t="n">
        <x:f>'两日价格与决策'!U94</x:f>
        <x:v>0</x:v>
      </x:c>
      <x:c r="V94" s="25" t="n">
        <x:f>'两日价格与决策'!V94</x:f>
        <x:v>0</x:v>
      </x:c>
      <x:c r="W94" s="25" t="n">
        <x:f>'两日价格与决策'!W94</x:f>
        <x:v>0</x:v>
      </x:c>
      <x:c r="X94" s="18" t="n">
        <x:f>'两日价格与决策'!X94</x:f>
        <x:v>0</x:v>
      </x:c>
      <x:c r="Y94" s="18" t="n">
        <x:f>'两日价格与决策'!Y94</x:f>
        <x:v>0</x:v>
      </x:c>
      <x:c r="Z94" s="18" t="str">
        <x:f>'两日价格与决策'!Z94</x:f>
        <x:v>1月1日执行｜初始化零订单</x:v>
      </x:c>
      <x:c r="AA94" s="19" t="n">
        <x:f>'两日价格与决策'!AA94</x:f>
        <x:v>1</x:v>
      </x:c>
      <x:c r="AB94" s="19" t="n">
        <x:f>'两日价格与决策'!AB94</x:f>
        <x:v>0</x:v>
      </x:c>
      <x:c r="AC94" s="18" t="n">
        <x:f>'两日价格与决策'!AC94</x:f>
        <x:v>0.25</x:v>
      </x:c>
      <x:c r="AD94" s="20" t="n">
        <x:f>'两日价格与决策'!AD94</x:f>
        <x:v>1</x:v>
      </x:c>
      <x:c r="AE94" s="20" t="n">
        <x:f>'两日价格与决策'!AE94</x:f>
        <x:v>0.013500000000000002</x:v>
      </x:c>
      <x:c r="AF94" s="20" t="n">
        <x:f>'两日价格与决策'!AF94</x:f>
        <x:v>0.00004</x:v>
      </x:c>
      <x:c r="AG94" s="18" t="n">
        <x:f>'两日价格与决策'!AG94</x:f>
        <x:v>200</x:v>
      </x:c>
      <x:c r="AH94" s="18" t="n">
        <x:f>'两日价格与决策'!AH94</x:f>
        <x:v>200</x:v>
      </x:c>
      <x:c r="AI94" s="18" t="n">
        <x:f>'两日价格与决策'!AI94</x:f>
        <x:v>0.675</x:v>
      </x:c>
      <x:c r="AJ94" s="18" t="n">
        <x:f>'两日价格与决策'!AJ94</x:f>
        <x:v>0.002</x:v>
      </x:c>
      <x:c r="AK94" s="18" t="str">
        <x:f>'两日价格与决策'!AK94</x:f>
        <x:v>缺失</x:v>
      </x:c>
      <x:c r="AL94" s="18" t="n">
        <x:f>'两日价格与决策'!AL94</x:f>
        <x:v>0</x:v>
      </x:c>
      <x:c r="AM94" s="18" t="n">
        <x:f>'两日价格与决策'!AM94</x:f>
        <x:v>0</x:v>
      </x:c>
      <x:c r="AN94" s="18" t="n">
        <x:f>'两日价格与决策'!AN94</x:f>
        <x:v>0</x:v>
      </x:c>
      <x:c r="AO94" s="18" t="n">
        <x:f>'两日价格与决策'!AO94</x:f>
        <x:v>10</x:v>
      </x:c>
      <x:c r="AP94" s="18" t="n">
        <x:f>'两日价格与决策'!AP94</x:f>
        <x:v>0</x:v>
      </x:c>
      <x:c r="AQ94" s="18" t="n">
        <x:f>'两日价格与决策'!AQ94</x:f>
        <x:v>4.9741</x:v>
      </x:c>
      <x:c r="AR94" s="21" t="n">
        <x:f>'两日价格与决策'!AR94</x:f>
        <x:v>45657</x:v>
      </x:c>
      <x:c r="AS94" s="17" t="n">
        <x:f>'两日价格与决策'!AS94</x:f>
        <x:v>45658.822916666664</x:v>
      </x:c>
      <x:c r="AT94" s="18" t="str">
        <x:f>'两日价格与决策'!AT94</x:f>
        <x:v>2025-01-01_21</x:v>
      </x:c>
      <x:c r="AU94" s="19" t="n">
        <x:f>'两日价格与决策'!AU94</x:f>
        <x:v>60</x:v>
      </x:c>
      <x:c r="AV94" s="18" t="str">
        <x:f>'两日价格与决策'!AV94</x:f>
        <x:v>OK</x:v>
      </x:c>
    </x:row>
    <x:row r="95" ht="21" customHeight="1">
      <x:c r="A95" s="17" t="n">
        <x:f>'两日价格与决策'!A95</x:f>
        <x:v>45658.916666666664</x:v>
      </x:c>
      <x:c r="B95" s="23" t="n">
        <x:f>'两日价格与决策'!B95</x:f>
        <x:v>131.4</x:v>
      </x:c>
      <x:c r="C95" s="23" t="str">
        <x:f>'两日价格与决策'!C95</x:f>
        <x:v>缺失</x:v>
      </x:c>
      <x:c r="D95" s="23" t="n">
        <x:f>'两日价格与决策'!D95</x:f>
        <x:v>13.831647936310086</x:v>
      </x:c>
      <x:c r="E95" s="23" t="n">
        <x:f>'两日价格与决策'!E95</x:f>
        <x:v>14.710198829939085</x:v>
      </x:c>
      <x:c r="F95" s="23" t="n">
        <x:f>'两日价格与决策'!F95</x:f>
        <x:v>210.29512876701313</x:v>
      </x:c>
      <x:c r="G95" s="23" t="n">
        <x:f>'两日价格与决策'!G95</x:f>
        <x:v>0</x:v>
      </x:c>
      <x:c r="H95" s="23" t="str">
        <x:f>'两日价格与决策'!H95</x:f>
        <x:v>未模拟</x:v>
      </x:c>
      <x:c r="I95" s="24" t="n">
        <x:f>'两日价格与决策'!I95</x:f>
        <x:v>10</x:v>
      </x:c>
      <x:c r="J95" s="24" t="n">
        <x:f>'两日价格与决策'!J95</x:f>
        <x:v>10</x:v>
      </x:c>
      <x:c r="K95" s="24" t="n">
        <x:f>'两日价格与决策'!K95</x:f>
        <x:v>0</x:v>
      </x:c>
      <x:c r="L95" s="24" t="n">
        <x:f>'两日价格与决策'!L95</x:f>
        <x:v>0</x:v>
      </x:c>
      <x:c r="M95" s="24" t="n">
        <x:f>'两日价格与决策'!M95</x:f>
        <x:v>0</x:v>
      </x:c>
      <x:c r="N95" s="24" t="n">
        <x:f>'两日价格与决策'!N95</x:f>
        <x:v>0</x:v>
      </x:c>
      <x:c r="O95" s="24" t="n">
        <x:f>'两日价格与决策'!O95</x:f>
        <x:v>0</x:v>
      </x:c>
      <x:c r="P95" s="24" t="n">
        <x:f>'两日价格与决策'!P95</x:f>
        <x:v>0</x:v>
      </x:c>
      <x:c r="Q95" s="25" t="n">
        <x:f>'两日价格与决策'!Q95</x:f>
        <x:v>0</x:v>
      </x:c>
      <x:c r="R95" s="25" t="n">
        <x:f>'两日价格与决策'!R95</x:f>
        <x:v>0</x:v>
      </x:c>
      <x:c r="S95" s="25" t="n">
        <x:f>'两日价格与决策'!S95</x:f>
        <x:v>0</x:v>
      </x:c>
      <x:c r="T95" s="25" t="n">
        <x:f>'两日价格与决策'!T95</x:f>
        <x:v>0</x:v>
      </x:c>
      <x:c r="U95" s="25" t="n">
        <x:f>'两日价格与决策'!U95</x:f>
        <x:v>0</x:v>
      </x:c>
      <x:c r="V95" s="25" t="n">
        <x:f>'两日价格与决策'!V95</x:f>
        <x:v>0</x:v>
      </x:c>
      <x:c r="W95" s="25" t="n">
        <x:f>'两日价格与决策'!W95</x:f>
        <x:v>0</x:v>
      </x:c>
      <x:c r="X95" s="18" t="n">
        <x:f>'两日价格与决策'!X95</x:f>
        <x:v>0</x:v>
      </x:c>
      <x:c r="Y95" s="18" t="n">
        <x:f>'两日价格与决策'!Y95</x:f>
        <x:v>0</x:v>
      </x:c>
      <x:c r="Z95" s="18" t="str">
        <x:f>'两日价格与决策'!Z95</x:f>
        <x:v>1月1日执行｜初始化零订单</x:v>
      </x:c>
      <x:c r="AA95" s="19" t="n">
        <x:f>'两日价格与决策'!AA95</x:f>
        <x:v>1</x:v>
      </x:c>
      <x:c r="AB95" s="19" t="n">
        <x:f>'两日价格与决策'!AB95</x:f>
        <x:v>0</x:v>
      </x:c>
      <x:c r="AC95" s="18" t="n">
        <x:f>'两日价格与决策'!AC95</x:f>
        <x:v>0.25</x:v>
      </x:c>
      <x:c r="AD95" s="20" t="n">
        <x:f>'两日价格与决策'!AD95</x:f>
        <x:v>1</x:v>
      </x:c>
      <x:c r="AE95" s="20" t="n">
        <x:f>'两日价格与决策'!AE95</x:f>
        <x:v>0.31766</x:v>
      </x:c>
      <x:c r="AF95" s="20" t="n">
        <x:f>'两日价格与决策'!AF95</x:f>
        <x:v>0</x:v>
      </x:c>
      <x:c r="AG95" s="18" t="n">
        <x:f>'两日价格与决策'!AG95</x:f>
        <x:v>200</x:v>
      </x:c>
      <x:c r="AH95" s="18" t="n">
        <x:f>'两日价格与决策'!AH95</x:f>
        <x:v>200</x:v>
      </x:c>
      <x:c r="AI95" s="18" t="n">
        <x:f>'两日价格与决策'!AI95</x:f>
        <x:v>15.883</x:v>
      </x:c>
      <x:c r="AJ95" s="18" t="n">
        <x:f>'两日价格与决策'!AJ95</x:f>
        <x:v>0</x:v>
      </x:c>
      <x:c r="AK95" s="18" t="str">
        <x:f>'两日价格与决策'!AK95</x:f>
        <x:v>缺失</x:v>
      </x:c>
      <x:c r="AL95" s="18" t="n">
        <x:f>'两日价格与决策'!AL95</x:f>
        <x:v>0</x:v>
      </x:c>
      <x:c r="AM95" s="18" t="n">
        <x:f>'两日价格与决策'!AM95</x:f>
        <x:v>0</x:v>
      </x:c>
      <x:c r="AN95" s="18" t="n">
        <x:f>'两日价格与决策'!AN95</x:f>
        <x:v>0</x:v>
      </x:c>
      <x:c r="AO95" s="18" t="n">
        <x:f>'两日价格与决策'!AO95</x:f>
        <x:v>10</x:v>
      </x:c>
      <x:c r="AP95" s="18" t="n">
        <x:f>'两日价格与决策'!AP95</x:f>
        <x:v>0</x:v>
      </x:c>
      <x:c r="AQ95" s="18" t="n">
        <x:f>'两日价格与决策'!AQ95</x:f>
        <x:v>4.9741</x:v>
      </x:c>
      <x:c r="AR95" s="21" t="n">
        <x:f>'两日价格与决策'!AR95</x:f>
        <x:v>45657</x:v>
      </x:c>
      <x:c r="AS95" s="17" t="n">
        <x:f>'两日价格与决策'!AS95</x:f>
        <x:v>45658.833333333336</x:v>
      </x:c>
      <x:c r="AT95" s="18" t="str">
        <x:f>'两日价格与决策'!AT95</x:f>
        <x:v>2025-01-01_22</x:v>
      </x:c>
      <x:c r="AU95" s="19" t="n">
        <x:f>'两日价格与决策'!AU95</x:f>
        <x:v>60</x:v>
      </x:c>
      <x:c r="AV95" s="18" t="str">
        <x:f>'两日价格与决策'!AV95</x:f>
        <x:v>OK</x:v>
      </x:c>
    </x:row>
    <x:row r="96" ht="21" customHeight="1">
      <x:c r="A96" s="17" t="n">
        <x:f>'两日价格与决策'!A96</x:f>
        <x:v>45658.927083333336</x:v>
      </x:c>
      <x:c r="B96" s="23" t="n">
        <x:f>'两日价格与决策'!B96</x:f>
        <x:v>131.4</x:v>
      </x:c>
      <x:c r="C96" s="23" t="str">
        <x:f>'两日价格与决策'!C96</x:f>
        <x:v>缺失</x:v>
      </x:c>
      <x:c r="D96" s="23" t="n">
        <x:f>'两日价格与决策'!D96</x:f>
        <x:v>13.831647936310086</x:v>
      </x:c>
      <x:c r="E96" s="23" t="n">
        <x:f>'两日价格与决策'!E96</x:f>
        <x:v>14.710198829939085</x:v>
      </x:c>
      <x:c r="F96" s="23" t="n">
        <x:f>'两日价格与决策'!F96</x:f>
        <x:v>190.3071912506785</x:v>
      </x:c>
      <x:c r="G96" s="23" t="n">
        <x:f>'两日价格与决策'!G96</x:f>
        <x:v>0</x:v>
      </x:c>
      <x:c r="H96" s="23" t="str">
        <x:f>'两日价格与决策'!H96</x:f>
        <x:v>未模拟</x:v>
      </x:c>
      <x:c r="I96" s="24" t="n">
        <x:f>'两日价格与决策'!I96</x:f>
        <x:v>10</x:v>
      </x:c>
      <x:c r="J96" s="24" t="n">
        <x:f>'两日价格与决策'!J96</x:f>
        <x:v>10</x:v>
      </x:c>
      <x:c r="K96" s="24" t="n">
        <x:f>'两日价格与决策'!K96</x:f>
        <x:v>0</x:v>
      </x:c>
      <x:c r="L96" s="24" t="n">
        <x:f>'两日价格与决策'!L96</x:f>
        <x:v>0</x:v>
      </x:c>
      <x:c r="M96" s="24" t="n">
        <x:f>'两日价格与决策'!M96</x:f>
        <x:v>0</x:v>
      </x:c>
      <x:c r="N96" s="24" t="n">
        <x:f>'两日价格与决策'!N96</x:f>
        <x:v>0</x:v>
      </x:c>
      <x:c r="O96" s="24" t="n">
        <x:f>'两日价格与决策'!O96</x:f>
        <x:v>0</x:v>
      </x:c>
      <x:c r="P96" s="24" t="n">
        <x:f>'两日价格与决策'!P96</x:f>
        <x:v>0</x:v>
      </x:c>
      <x:c r="Q96" s="25" t="n">
        <x:f>'两日价格与决策'!Q96</x:f>
        <x:v>0</x:v>
      </x:c>
      <x:c r="R96" s="25" t="n">
        <x:f>'两日价格与决策'!R96</x:f>
        <x:v>0</x:v>
      </x:c>
      <x:c r="S96" s="25" t="n">
        <x:f>'两日价格与决策'!S96</x:f>
        <x:v>0</x:v>
      </x:c>
      <x:c r="T96" s="25" t="n">
        <x:f>'两日价格与决策'!T96</x:f>
        <x:v>0</x:v>
      </x:c>
      <x:c r="U96" s="25" t="n">
        <x:f>'两日价格与决策'!U96</x:f>
        <x:v>0</x:v>
      </x:c>
      <x:c r="V96" s="25" t="n">
        <x:f>'两日价格与决策'!V96</x:f>
        <x:v>0</x:v>
      </x:c>
      <x:c r="W96" s="25" t="n">
        <x:f>'两日价格与决策'!W96</x:f>
        <x:v>0</x:v>
      </x:c>
      <x:c r="X96" s="18" t="n">
        <x:f>'两日价格与决策'!X96</x:f>
        <x:v>0</x:v>
      </x:c>
      <x:c r="Y96" s="18" t="n">
        <x:f>'两日价格与决策'!Y96</x:f>
        <x:v>0</x:v>
      </x:c>
      <x:c r="Z96" s="18" t="str">
        <x:f>'两日价格与决策'!Z96</x:f>
        <x:v>1月1日执行｜初始化零订单</x:v>
      </x:c>
      <x:c r="AA96" s="19" t="n">
        <x:f>'两日价格与决策'!AA96</x:f>
        <x:v>1</x:v>
      </x:c>
      <x:c r="AB96" s="19" t="n">
        <x:f>'两日价格与决策'!AB96</x:f>
        <x:v>0</x:v>
      </x:c>
      <x:c r="AC96" s="18" t="n">
        <x:f>'两日价格与决策'!AC96</x:f>
        <x:v>0.25</x:v>
      </x:c>
      <x:c r="AD96" s="20" t="n">
        <x:f>'两日价格与决策'!AD96</x:f>
        <x:v>1</x:v>
      </x:c>
      <x:c r="AE96" s="20" t="n">
        <x:f>'两日价格与决策'!AE96</x:f>
        <x:v>0.20132000000000003</x:v>
      </x:c>
      <x:c r="AF96" s="20" t="n">
        <x:f>'两日价格与决策'!AF96</x:f>
        <x:v>0</x:v>
      </x:c>
      <x:c r="AG96" s="18" t="n">
        <x:f>'两日价格与决策'!AG96</x:f>
        <x:v>200</x:v>
      </x:c>
      <x:c r="AH96" s="18" t="n">
        <x:f>'两日价格与决策'!AH96</x:f>
        <x:v>200</x:v>
      </x:c>
      <x:c r="AI96" s="18" t="n">
        <x:f>'两日价格与决策'!AI96</x:f>
        <x:v>10.066</x:v>
      </x:c>
      <x:c r="AJ96" s="18" t="n">
        <x:f>'两日价格与决策'!AJ96</x:f>
        <x:v>0</x:v>
      </x:c>
      <x:c r="AK96" s="18" t="str">
        <x:f>'两日价格与决策'!AK96</x:f>
        <x:v>缺失</x:v>
      </x:c>
      <x:c r="AL96" s="18" t="n">
        <x:f>'两日价格与决策'!AL96</x:f>
        <x:v>0</x:v>
      </x:c>
      <x:c r="AM96" s="18" t="n">
        <x:f>'两日价格与决策'!AM96</x:f>
        <x:v>0</x:v>
      </x:c>
      <x:c r="AN96" s="18" t="n">
        <x:f>'两日价格与决策'!AN96</x:f>
        <x:v>0</x:v>
      </x:c>
      <x:c r="AO96" s="18" t="n">
        <x:f>'两日价格与决策'!AO96</x:f>
        <x:v>10</x:v>
      </x:c>
      <x:c r="AP96" s="18" t="n">
        <x:f>'两日价格与决策'!AP96</x:f>
        <x:v>0</x:v>
      </x:c>
      <x:c r="AQ96" s="18" t="n">
        <x:f>'两日价格与决策'!AQ96</x:f>
        <x:v>4.9741</x:v>
      </x:c>
      <x:c r="AR96" s="21" t="n">
        <x:f>'两日价格与决策'!AR96</x:f>
        <x:v>45657</x:v>
      </x:c>
      <x:c r="AS96" s="17" t="n">
        <x:f>'两日价格与决策'!AS96</x:f>
        <x:v>45658.84375</x:v>
      </x:c>
      <x:c r="AT96" s="18" t="str">
        <x:f>'两日价格与决策'!AT96</x:f>
        <x:v>2025-01-01_22</x:v>
      </x:c>
      <x:c r="AU96" s="19" t="n">
        <x:f>'两日价格与决策'!AU96</x:f>
        <x:v>60</x:v>
      </x:c>
      <x:c r="AV96" s="18" t="str">
        <x:f>'两日价格与决策'!AV96</x:f>
        <x:v>OK</x:v>
      </x:c>
    </x:row>
    <x:row r="97" ht="21" customHeight="1">
      <x:c r="A97" s="17" t="n">
        <x:f>'两日价格与决策'!A97</x:f>
        <x:v>45658.9375</x:v>
      </x:c>
      <x:c r="B97" s="23" t="n">
        <x:f>'两日价格与决策'!B97</x:f>
        <x:v>131.4</x:v>
      </x:c>
      <x:c r="C97" s="23" t="str">
        <x:f>'两日价格与决策'!C97</x:f>
        <x:v>缺失</x:v>
      </x:c>
      <x:c r="D97" s="23" t="n">
        <x:f>'两日价格与决策'!D97</x:f>
        <x:v>13.831647936310086</x:v>
      </x:c>
      <x:c r="E97" s="23" t="n">
        <x:f>'两日价格与决策'!E97</x:f>
        <x:v>14.710198829939085</x:v>
      </x:c>
      <x:c r="F97" s="23" t="n">
        <x:f>'两日价格与决策'!F97</x:f>
        <x:v>136.70814820771596</x:v>
      </x:c>
      <x:c r="G97" s="23" t="n">
        <x:f>'两日价格与决策'!G97</x:f>
        <x:v>58.3020043827024</x:v>
      </x:c>
      <x:c r="H97" s="23" t="str">
        <x:f>'两日价格与决策'!H97</x:f>
        <x:v>未模拟</x:v>
      </x:c>
      <x:c r="I97" s="24" t="n">
        <x:f>'两日价格与决策'!I97</x:f>
        <x:v>10</x:v>
      </x:c>
      <x:c r="J97" s="24" t="n">
        <x:f>'两日价格与决策'!J97</x:f>
        <x:v>10</x:v>
      </x:c>
      <x:c r="K97" s="24" t="n">
        <x:f>'两日价格与决策'!K97</x:f>
        <x:v>0</x:v>
      </x:c>
      <x:c r="L97" s="24" t="n">
        <x:f>'两日价格与决策'!L97</x:f>
        <x:v>0</x:v>
      </x:c>
      <x:c r="M97" s="24" t="n">
        <x:f>'两日价格与决策'!M97</x:f>
        <x:v>0</x:v>
      </x:c>
      <x:c r="N97" s="24" t="n">
        <x:f>'两日价格与决策'!N97</x:f>
        <x:v>0</x:v>
      </x:c>
      <x:c r="O97" s="24" t="n">
        <x:f>'两日价格与决策'!O97</x:f>
        <x:v>0</x:v>
      </x:c>
      <x:c r="P97" s="24" t="n">
        <x:f>'两日价格与决策'!P97</x:f>
        <x:v>0</x:v>
      </x:c>
      <x:c r="Q97" s="25" t="n">
        <x:f>'两日价格与决策'!Q97</x:f>
        <x:v>0</x:v>
      </x:c>
      <x:c r="R97" s="25" t="n">
        <x:f>'两日价格与决策'!R97</x:f>
        <x:v>0</x:v>
      </x:c>
      <x:c r="S97" s="25" t="n">
        <x:f>'两日价格与决策'!S97</x:f>
        <x:v>0</x:v>
      </x:c>
      <x:c r="T97" s="25" t="n">
        <x:f>'两日价格与决策'!T97</x:f>
        <x:v>0</x:v>
      </x:c>
      <x:c r="U97" s="25" t="n">
        <x:f>'两日价格与决策'!U97</x:f>
        <x:v>0</x:v>
      </x:c>
      <x:c r="V97" s="25" t="n">
        <x:f>'两日价格与决策'!V97</x:f>
        <x:v>0</x:v>
      </x:c>
      <x:c r="W97" s="25" t="n">
        <x:f>'两日价格与决策'!W97</x:f>
        <x:v>0</x:v>
      </x:c>
      <x:c r="X97" s="18" t="n">
        <x:f>'两日价格与决策'!X97</x:f>
        <x:v>0</x:v>
      </x:c>
      <x:c r="Y97" s="18" t="n">
        <x:f>'两日价格与决策'!Y97</x:f>
        <x:v>0</x:v>
      </x:c>
      <x:c r="Z97" s="18" t="str">
        <x:f>'两日价格与决策'!Z97</x:f>
        <x:v>1月1日执行｜初始化零订单</x:v>
      </x:c>
      <x:c r="AA97" s="19" t="n">
        <x:f>'两日价格与决策'!AA97</x:f>
        <x:v>1</x:v>
      </x:c>
      <x:c r="AB97" s="19" t="n">
        <x:f>'两日价格与决策'!AB97</x:f>
        <x:v>0</x:v>
      </x:c>
      <x:c r="AC97" s="18" t="n">
        <x:f>'两日价格与决策'!AC97</x:f>
        <x:v>0.25</x:v>
      </x:c>
      <x:c r="AD97" s="20" t="n">
        <x:f>'两日价格与决策'!AD97</x:f>
        <x:v>1</x:v>
      </x:c>
      <x:c r="AE97" s="20" t="n">
        <x:f>'两日价格与决策'!AE97</x:f>
        <x:v>0.06842</x:v>
      </x:c>
      <x:c r="AF97" s="20" t="n">
        <x:f>'两日价格与决策'!AF97</x:f>
        <x:v>0.00092</x:v>
      </x:c>
      <x:c r="AG97" s="18" t="n">
        <x:f>'两日价格与决策'!AG97</x:f>
        <x:v>200</x:v>
      </x:c>
      <x:c r="AH97" s="18" t="n">
        <x:f>'两日价格与决策'!AH97</x:f>
        <x:v>200</x:v>
      </x:c>
      <x:c r="AI97" s="18" t="n">
        <x:f>'两日价格与决策'!AI97</x:f>
        <x:v>3.421</x:v>
      </x:c>
      <x:c r="AJ97" s="18" t="n">
        <x:f>'两日价格与决策'!AJ97</x:f>
        <x:v>0.046</x:v>
      </x:c>
      <x:c r="AK97" s="18" t="str">
        <x:f>'两日价格与决策'!AK97</x:f>
        <x:v>缺失</x:v>
      </x:c>
      <x:c r="AL97" s="18" t="n">
        <x:f>'两日价格与决策'!AL97</x:f>
        <x:v>0</x:v>
      </x:c>
      <x:c r="AM97" s="18" t="n">
        <x:f>'两日价格与决策'!AM97</x:f>
        <x:v>0</x:v>
      </x:c>
      <x:c r="AN97" s="18" t="n">
        <x:f>'两日价格与决策'!AN97</x:f>
        <x:v>0</x:v>
      </x:c>
      <x:c r="AO97" s="18" t="n">
        <x:f>'两日价格与决策'!AO97</x:f>
        <x:v>10</x:v>
      </x:c>
      <x:c r="AP97" s="18" t="n">
        <x:f>'两日价格与决策'!AP97</x:f>
        <x:v>0</x:v>
      </x:c>
      <x:c r="AQ97" s="18" t="n">
        <x:f>'两日价格与决策'!AQ97</x:f>
        <x:v>4.9741</x:v>
      </x:c>
      <x:c r="AR97" s="21" t="n">
        <x:f>'两日价格与决策'!AR97</x:f>
        <x:v>45657</x:v>
      </x:c>
      <x:c r="AS97" s="17" t="n">
        <x:f>'两日价格与决策'!AS97</x:f>
        <x:v>45658.854166666664</x:v>
      </x:c>
      <x:c r="AT97" s="18" t="str">
        <x:f>'两日价格与决策'!AT97</x:f>
        <x:v>2025-01-01_22</x:v>
      </x:c>
      <x:c r="AU97" s="19" t="n">
        <x:f>'两日价格与决策'!AU97</x:f>
        <x:v>60</x:v>
      </x:c>
      <x:c r="AV97" s="18" t="str">
        <x:f>'两日价格与决策'!AV97</x:f>
        <x:v>OK</x:v>
      </x:c>
    </x:row>
    <x:row r="98" ht="21" customHeight="1">
      <x:c r="A98" s="17" t="n">
        <x:f>'两日价格与决策'!A98</x:f>
        <x:v>45658.947916666664</x:v>
      </x:c>
      <x:c r="B98" s="23" t="n">
        <x:f>'两日价格与决策'!B98</x:f>
        <x:v>131.4</x:v>
      </x:c>
      <x:c r="C98" s="23" t="str">
        <x:f>'两日价格与决策'!C98</x:f>
        <x:v>缺失</x:v>
      </x:c>
      <x:c r="D98" s="23" t="n">
        <x:f>'两日价格与决策'!D98</x:f>
        <x:v>13.831647936310086</x:v>
      </x:c>
      <x:c r="E98" s="23" t="n">
        <x:f>'两日价格与决策'!E98</x:f>
        <x:v>14.710198829939085</x:v>
      </x:c>
      <x:c r="F98" s="23" t="n">
        <x:f>'两日价格与决策'!F98</x:f>
        <x:v>0</x:v>
      </x:c>
      <x:c r="G98" s="23" t="n">
        <x:f>'两日价格与决策'!G98</x:f>
        <x:v>20.941476850083433</x:v>
      </x:c>
      <x:c r="H98" s="23" t="str">
        <x:f>'两日价格与决策'!H98</x:f>
        <x:v>未模拟</x:v>
      </x:c>
      <x:c r="I98" s="24" t="n">
        <x:f>'两日价格与决策'!I98</x:f>
        <x:v>10</x:v>
      </x:c>
      <x:c r="J98" s="24" t="n">
        <x:f>'两日价格与决策'!J98</x:f>
        <x:v>10</x:v>
      </x:c>
      <x:c r="K98" s="24" t="n">
        <x:f>'两日价格与决策'!K98</x:f>
        <x:v>0</x:v>
      </x:c>
      <x:c r="L98" s="24" t="n">
        <x:f>'两日价格与决策'!L98</x:f>
        <x:v>0</x:v>
      </x:c>
      <x:c r="M98" s="24" t="n">
        <x:f>'两日价格与决策'!M98</x:f>
        <x:v>0</x:v>
      </x:c>
      <x:c r="N98" s="24" t="n">
        <x:f>'两日价格与决策'!N98</x:f>
        <x:v>0</x:v>
      </x:c>
      <x:c r="O98" s="24" t="n">
        <x:f>'两日价格与决策'!O98</x:f>
        <x:v>0</x:v>
      </x:c>
      <x:c r="P98" s="24" t="n">
        <x:f>'两日价格与决策'!P98</x:f>
        <x:v>0</x:v>
      </x:c>
      <x:c r="Q98" s="25" t="n">
        <x:f>'两日价格与决策'!Q98</x:f>
        <x:v>0</x:v>
      </x:c>
      <x:c r="R98" s="25" t="n">
        <x:f>'两日价格与决策'!R98</x:f>
        <x:v>0</x:v>
      </x:c>
      <x:c r="S98" s="25" t="n">
        <x:f>'两日价格与决策'!S98</x:f>
        <x:v>0</x:v>
      </x:c>
      <x:c r="T98" s="25" t="n">
        <x:f>'两日价格与决策'!T98</x:f>
        <x:v>0</x:v>
      </x:c>
      <x:c r="U98" s="25" t="n">
        <x:f>'两日价格与决策'!U98</x:f>
        <x:v>0</x:v>
      </x:c>
      <x:c r="V98" s="25" t="n">
        <x:f>'两日价格与决策'!V98</x:f>
        <x:v>0</x:v>
      </x:c>
      <x:c r="W98" s="25" t="n">
        <x:f>'两日价格与决策'!W98</x:f>
        <x:v>0</x:v>
      </x:c>
      <x:c r="X98" s="18" t="n">
        <x:f>'两日价格与决策'!X98</x:f>
        <x:v>0</x:v>
      </x:c>
      <x:c r="Y98" s="18" t="n">
        <x:f>'两日价格与决策'!Y98</x:f>
        <x:v>0</x:v>
      </x:c>
      <x:c r="Z98" s="18" t="str">
        <x:f>'两日价格与决策'!Z98</x:f>
        <x:v>1月1日执行｜初始化零订单</x:v>
      </x:c>
      <x:c r="AA98" s="19" t="n">
        <x:f>'两日价格与决策'!AA98</x:f>
        <x:v>1</x:v>
      </x:c>
      <x:c r="AB98" s="19" t="n">
        <x:f>'两日价格与决策'!AB98</x:f>
        <x:v>0</x:v>
      </x:c>
      <x:c r="AC98" s="18" t="n">
        <x:f>'两日价格与决策'!AC98</x:f>
        <x:v>0.25</x:v>
      </x:c>
      <x:c r="AD98" s="20" t="n">
        <x:f>'两日价格与决策'!AD98</x:f>
        <x:v>1</x:v>
      </x:c>
      <x:c r="AE98" s="20" t="n">
        <x:f>'两日价格与决策'!AE98</x:f>
        <x:v>0</x:v>
      </x:c>
      <x:c r="AF98" s="20" t="n">
        <x:f>'两日价格与决策'!AF98</x:f>
        <x:v>0.14032</x:v>
      </x:c>
      <x:c r="AG98" s="18" t="n">
        <x:f>'两日价格与决策'!AG98</x:f>
        <x:v>200</x:v>
      </x:c>
      <x:c r="AH98" s="18" t="n">
        <x:f>'两日价格与决策'!AH98</x:f>
        <x:v>200</x:v>
      </x:c>
      <x:c r="AI98" s="18" t="n">
        <x:f>'两日价格与决策'!AI98</x:f>
        <x:v>0</x:v>
      </x:c>
      <x:c r="AJ98" s="18" t="n">
        <x:f>'两日价格与决策'!AJ98</x:f>
        <x:v>7.016</x:v>
      </x:c>
      <x:c r="AK98" s="18" t="str">
        <x:f>'两日价格与决策'!AK98</x:f>
        <x:v>缺失</x:v>
      </x:c>
      <x:c r="AL98" s="18" t="n">
        <x:f>'两日价格与决策'!AL98</x:f>
        <x:v>0</x:v>
      </x:c>
      <x:c r="AM98" s="18" t="n">
        <x:f>'两日价格与决策'!AM98</x:f>
        <x:v>0</x:v>
      </x:c>
      <x:c r="AN98" s="18" t="n">
        <x:f>'两日价格与决策'!AN98</x:f>
        <x:v>0</x:v>
      </x:c>
      <x:c r="AO98" s="18" t="n">
        <x:f>'两日价格与决策'!AO98</x:f>
        <x:v>10</x:v>
      </x:c>
      <x:c r="AP98" s="18" t="n">
        <x:f>'两日价格与决策'!AP98</x:f>
        <x:v>0</x:v>
      </x:c>
      <x:c r="AQ98" s="18" t="n">
        <x:f>'两日价格与决策'!AQ98</x:f>
        <x:v>4.9741</x:v>
      </x:c>
      <x:c r="AR98" s="21" t="n">
        <x:f>'两日价格与决策'!AR98</x:f>
        <x:v>45657</x:v>
      </x:c>
      <x:c r="AS98" s="17" t="n">
        <x:f>'两日价格与决策'!AS98</x:f>
        <x:v>45658.864583333336</x:v>
      </x:c>
      <x:c r="AT98" s="18" t="str">
        <x:f>'两日价格与决策'!AT98</x:f>
        <x:v>2025-01-01_22</x:v>
      </x:c>
      <x:c r="AU98" s="19" t="n">
        <x:f>'两日价格与决策'!AU98</x:f>
        <x:v>60</x:v>
      </x:c>
      <x:c r="AV98" s="18" t="str">
        <x:f>'两日价格与决策'!AV98</x:f>
        <x:v>OK</x:v>
      </x:c>
    </x:row>
    <x:row r="99" ht="21" customHeight="1">
      <x:c r="A99" s="17" t="n">
        <x:f>'两日价格与决策'!A99</x:f>
        <x:v>45658.958333333336</x:v>
      </x:c>
      <x:c r="B99" s="23" t="n">
        <x:f>'两日价格与决策'!B99</x:f>
        <x:v>107.6</x:v>
      </x:c>
      <x:c r="C99" s="23" t="str">
        <x:f>'两日价格与决策'!C99</x:f>
        <x:v>缺失</x:v>
      </x:c>
      <x:c r="D99" s="23" t="n">
        <x:f>'两日价格与决策'!D99</x:f>
        <x:v>13.831647936310086</x:v>
      </x:c>
      <x:c r="E99" s="23" t="n">
        <x:f>'两日价格与决策'!E99</x:f>
        <x:v>14.710198829939085</x:v>
      </x:c>
      <x:c r="F99" s="23" t="n">
        <x:f>'两日价格与决策'!F99</x:f>
        <x:v>197.61544802074746</x:v>
      </x:c>
      <x:c r="G99" s="23" t="n">
        <x:f>'两日价格与决策'!G99</x:f>
        <x:v>35.34629380189381</x:v>
      </x:c>
      <x:c r="H99" s="23" t="str">
        <x:f>'两日价格与决策'!H99</x:f>
        <x:v>未模拟</x:v>
      </x:c>
      <x:c r="I99" s="24" t="n">
        <x:f>'两日价格与决策'!I99</x:f>
        <x:v>10</x:v>
      </x:c>
      <x:c r="J99" s="24" t="n">
        <x:f>'两日价格与决策'!J99</x:f>
        <x:v>10</x:v>
      </x:c>
      <x:c r="K99" s="24" t="n">
        <x:f>'两日价格与决策'!K99</x:f>
        <x:v>0</x:v>
      </x:c>
      <x:c r="L99" s="24" t="n">
        <x:f>'两日价格与决策'!L99</x:f>
        <x:v>0</x:v>
      </x:c>
      <x:c r="M99" s="24" t="n">
        <x:f>'两日价格与决策'!M99</x:f>
        <x:v>0</x:v>
      </x:c>
      <x:c r="N99" s="24" t="n">
        <x:f>'两日价格与决策'!N99</x:f>
        <x:v>0</x:v>
      </x:c>
      <x:c r="O99" s="24" t="n">
        <x:f>'两日价格与决策'!O99</x:f>
        <x:v>0</x:v>
      </x:c>
      <x:c r="P99" s="24" t="n">
        <x:f>'两日价格与决策'!P99</x:f>
        <x:v>0</x:v>
      </x:c>
      <x:c r="Q99" s="25" t="n">
        <x:f>'两日价格与决策'!Q99</x:f>
        <x:v>0</x:v>
      </x:c>
      <x:c r="R99" s="25" t="n">
        <x:f>'两日价格与决策'!R99</x:f>
        <x:v>0</x:v>
      </x:c>
      <x:c r="S99" s="25" t="n">
        <x:f>'两日价格与决策'!S99</x:f>
        <x:v>0</x:v>
      </x:c>
      <x:c r="T99" s="25" t="n">
        <x:f>'两日价格与决策'!T99</x:f>
        <x:v>0</x:v>
      </x:c>
      <x:c r="U99" s="25" t="n">
        <x:f>'两日价格与决策'!U99</x:f>
        <x:v>0</x:v>
      </x:c>
      <x:c r="V99" s="25" t="n">
        <x:f>'两日价格与决策'!V99</x:f>
        <x:v>0</x:v>
      </x:c>
      <x:c r="W99" s="25" t="n">
        <x:f>'两日价格与决策'!W99</x:f>
        <x:v>0</x:v>
      </x:c>
      <x:c r="X99" s="18" t="n">
        <x:f>'两日价格与决策'!X99</x:f>
        <x:v>0</x:v>
      </x:c>
      <x:c r="Y99" s="18" t="n">
        <x:f>'两日价格与决策'!Y99</x:f>
        <x:v>0</x:v>
      </x:c>
      <x:c r="Z99" s="18" t="str">
        <x:f>'两日价格与决策'!Z99</x:f>
        <x:v>1月1日执行｜初始化零订单</x:v>
      </x:c>
      <x:c r="AA99" s="19" t="n">
        <x:f>'两日价格与决策'!AA99</x:f>
        <x:v>1</x:v>
      </x:c>
      <x:c r="AB99" s="19" t="n">
        <x:f>'两日价格与决策'!AB99</x:f>
        <x:v>0</x:v>
      </x:c>
      <x:c r="AC99" s="18" t="n">
        <x:f>'两日价格与决策'!AC99</x:f>
        <x:v>0.25</x:v>
      </x:c>
      <x:c r="AD99" s="20" t="n">
        <x:f>'两日价格与决策'!AD99</x:f>
        <x:v>1</x:v>
      </x:c>
      <x:c r="AE99" s="20" t="n">
        <x:f>'两日价格与决策'!AE99</x:f>
        <x:v>0.353</x:v>
      </x:c>
      <x:c r="AF99" s="20" t="n">
        <x:f>'两日价格与决策'!AF99</x:f>
        <x:v>0.00456</x:v>
      </x:c>
      <x:c r="AG99" s="18" t="n">
        <x:f>'两日价格与决策'!AG99</x:f>
        <x:v>200</x:v>
      </x:c>
      <x:c r="AH99" s="18" t="n">
        <x:f>'两日价格与决策'!AH99</x:f>
        <x:v>200</x:v>
      </x:c>
      <x:c r="AI99" s="18" t="n">
        <x:f>'两日价格与决策'!AI99</x:f>
        <x:v>17.65</x:v>
      </x:c>
      <x:c r="AJ99" s="18" t="n">
        <x:f>'两日价格与决策'!AJ99</x:f>
        <x:v>0.228</x:v>
      </x:c>
      <x:c r="AK99" s="18" t="str">
        <x:f>'两日价格与决策'!AK99</x:f>
        <x:v>缺失</x:v>
      </x:c>
      <x:c r="AL99" s="18" t="n">
        <x:f>'两日价格与决策'!AL99</x:f>
        <x:v>0</x:v>
      </x:c>
      <x:c r="AM99" s="18" t="n">
        <x:f>'两日价格与决策'!AM99</x:f>
        <x:v>0</x:v>
      </x:c>
      <x:c r="AN99" s="18" t="n">
        <x:f>'两日价格与决策'!AN99</x:f>
        <x:v>0</x:v>
      </x:c>
      <x:c r="AO99" s="18" t="n">
        <x:f>'两日价格与决策'!AO99</x:f>
        <x:v>10</x:v>
      </x:c>
      <x:c r="AP99" s="18" t="n">
        <x:f>'两日价格与决策'!AP99</x:f>
        <x:v>0</x:v>
      </x:c>
      <x:c r="AQ99" s="18" t="n">
        <x:f>'两日价格与决策'!AQ99</x:f>
        <x:v>4.9741</x:v>
      </x:c>
      <x:c r="AR99" s="21" t="n">
        <x:f>'两日价格与决策'!AR99</x:f>
        <x:v>45657</x:v>
      </x:c>
      <x:c r="AS99" s="17" t="n">
        <x:f>'两日价格与决策'!AS99</x:f>
        <x:v>45658.875</x:v>
      </x:c>
      <x:c r="AT99" s="18" t="str">
        <x:f>'两日价格与决策'!AT99</x:f>
        <x:v>2025-01-01_23</x:v>
      </x:c>
      <x:c r="AU99" s="19" t="n">
        <x:f>'两日价格与决策'!AU99</x:f>
        <x:v>60</x:v>
      </x:c>
      <x:c r="AV99" s="18" t="str">
        <x:f>'两日价格与决策'!AV99</x:f>
        <x:v>OK</x:v>
      </x:c>
    </x:row>
    <x:row r="100" ht="21" customHeight="1">
      <x:c r="A100" s="17" t="n">
        <x:f>'两日价格与决策'!A100</x:f>
        <x:v>45658.96875</x:v>
      </x:c>
      <x:c r="B100" s="23" t="n">
        <x:f>'两日价格与决策'!B100</x:f>
        <x:v>107.6</x:v>
      </x:c>
      <x:c r="C100" s="23" t="str">
        <x:f>'两日价格与决策'!C100</x:f>
        <x:v>缺失</x:v>
      </x:c>
      <x:c r="D100" s="23" t="n">
        <x:f>'两日价格与决策'!D100</x:f>
        <x:v>13.831647936310086</x:v>
      </x:c>
      <x:c r="E100" s="23" t="n">
        <x:f>'两日价格与决策'!E100</x:f>
        <x:v>14.710198829939085</x:v>
      </x:c>
      <x:c r="F100" s="23" t="n">
        <x:f>'两日价格与决策'!F100</x:f>
        <x:v>197.85227478337788</x:v>
      </x:c>
      <x:c r="G100" s="23" t="n">
        <x:f>'两日价格与决策'!G100</x:f>
        <x:v>0</x:v>
      </x:c>
      <x:c r="H100" s="23" t="str">
        <x:f>'两日价格与决策'!H100</x:f>
        <x:v>未模拟</x:v>
      </x:c>
      <x:c r="I100" s="24" t="n">
        <x:f>'两日价格与决策'!I100</x:f>
        <x:v>10</x:v>
      </x:c>
      <x:c r="J100" s="24" t="n">
        <x:f>'两日价格与决策'!J100</x:f>
        <x:v>10</x:v>
      </x:c>
      <x:c r="K100" s="24" t="n">
        <x:f>'两日价格与决策'!K100</x:f>
        <x:v>0</x:v>
      </x:c>
      <x:c r="L100" s="24" t="n">
        <x:f>'两日价格与决策'!L100</x:f>
        <x:v>0</x:v>
      </x:c>
      <x:c r="M100" s="24" t="n">
        <x:f>'两日价格与决策'!M100</x:f>
        <x:v>0</x:v>
      </x:c>
      <x:c r="N100" s="24" t="n">
        <x:f>'两日价格与决策'!N100</x:f>
        <x:v>0</x:v>
      </x:c>
      <x:c r="O100" s="24" t="n">
        <x:f>'两日价格与决策'!O100</x:f>
        <x:v>0</x:v>
      </x:c>
      <x:c r="P100" s="24" t="n">
        <x:f>'两日价格与决策'!P100</x:f>
        <x:v>0</x:v>
      </x:c>
      <x:c r="Q100" s="25" t="n">
        <x:f>'两日价格与决策'!Q100</x:f>
        <x:v>0</x:v>
      </x:c>
      <x:c r="R100" s="25" t="n">
        <x:f>'两日价格与决策'!R100</x:f>
        <x:v>0</x:v>
      </x:c>
      <x:c r="S100" s="25" t="n">
        <x:f>'两日价格与决策'!S100</x:f>
        <x:v>0</x:v>
      </x:c>
      <x:c r="T100" s="25" t="n">
        <x:f>'两日价格与决策'!T100</x:f>
        <x:v>0</x:v>
      </x:c>
      <x:c r="U100" s="25" t="n">
        <x:f>'两日价格与决策'!U100</x:f>
        <x:v>0</x:v>
      </x:c>
      <x:c r="V100" s="25" t="n">
        <x:f>'两日价格与决策'!V100</x:f>
        <x:v>0</x:v>
      </x:c>
      <x:c r="W100" s="25" t="n">
        <x:f>'两日价格与决策'!W100</x:f>
        <x:v>0</x:v>
      </x:c>
      <x:c r="X100" s="18" t="n">
        <x:f>'两日价格与决策'!X100</x:f>
        <x:v>0</x:v>
      </x:c>
      <x:c r="Y100" s="18" t="n">
        <x:f>'两日价格与决策'!Y100</x:f>
        <x:v>0</x:v>
      </x:c>
      <x:c r="Z100" s="18" t="str">
        <x:f>'两日价格与决策'!Z100</x:f>
        <x:v>1月1日执行｜初始化零订单</x:v>
      </x:c>
      <x:c r="AA100" s="19" t="n">
        <x:f>'两日价格与决策'!AA100</x:f>
        <x:v>1</x:v>
      </x:c>
      <x:c r="AB100" s="19" t="n">
        <x:f>'两日价格与决策'!AB100</x:f>
        <x:v>0</x:v>
      </x:c>
      <x:c r="AC100" s="18" t="n">
        <x:f>'两日价格与决策'!AC100</x:f>
        <x:v>0.25</x:v>
      </x:c>
      <x:c r="AD100" s="20" t="n">
        <x:f>'两日价格与决策'!AD100</x:f>
        <x:v>1</x:v>
      </x:c>
      <x:c r="AE100" s="20" t="n">
        <x:f>'两日价格与决策'!AE100</x:f>
        <x:v>0.30716</x:v>
      </x:c>
      <x:c r="AF100" s="20" t="n">
        <x:f>'两日价格与决策'!AF100</x:f>
        <x:v>0</x:v>
      </x:c>
      <x:c r="AG100" s="18" t="n">
        <x:f>'两日价格与决策'!AG100</x:f>
        <x:v>200</x:v>
      </x:c>
      <x:c r="AH100" s="18" t="n">
        <x:f>'两日价格与决策'!AH100</x:f>
        <x:v>200</x:v>
      </x:c>
      <x:c r="AI100" s="18" t="n">
        <x:f>'两日价格与决策'!AI100</x:f>
        <x:v>15.358</x:v>
      </x:c>
      <x:c r="AJ100" s="18" t="n">
        <x:f>'两日价格与决策'!AJ100</x:f>
        <x:v>0</x:v>
      </x:c>
      <x:c r="AK100" s="18" t="str">
        <x:f>'两日价格与决策'!AK100</x:f>
        <x:v>缺失</x:v>
      </x:c>
      <x:c r="AL100" s="18" t="n">
        <x:f>'两日价格与决策'!AL100</x:f>
        <x:v>0</x:v>
      </x:c>
      <x:c r="AM100" s="18" t="n">
        <x:f>'两日价格与决策'!AM100</x:f>
        <x:v>0</x:v>
      </x:c>
      <x:c r="AN100" s="18" t="n">
        <x:f>'两日价格与决策'!AN100</x:f>
        <x:v>0</x:v>
      </x:c>
      <x:c r="AO100" s="18" t="n">
        <x:f>'两日价格与决策'!AO100</x:f>
        <x:v>10</x:v>
      </x:c>
      <x:c r="AP100" s="18" t="n">
        <x:f>'两日价格与决策'!AP100</x:f>
        <x:v>0</x:v>
      </x:c>
      <x:c r="AQ100" s="18" t="n">
        <x:f>'两日价格与决策'!AQ100</x:f>
        <x:v>4.9741</x:v>
      </x:c>
      <x:c r="AR100" s="21" t="n">
        <x:f>'两日价格与决策'!AR100</x:f>
        <x:v>45657</x:v>
      </x:c>
      <x:c r="AS100" s="17" t="n">
        <x:f>'两日价格与决策'!AS100</x:f>
        <x:v>45658.885416666664</x:v>
      </x:c>
      <x:c r="AT100" s="18" t="str">
        <x:f>'两日价格与决策'!AT100</x:f>
        <x:v>2025-01-01_23</x:v>
      </x:c>
      <x:c r="AU100" s="19" t="n">
        <x:f>'两日价格与决策'!AU100</x:f>
        <x:v>60</x:v>
      </x:c>
      <x:c r="AV100" s="18" t="str">
        <x:f>'两日价格与决策'!AV100</x:f>
        <x:v>OK</x:v>
      </x:c>
    </x:row>
    <x:row r="101" ht="21" customHeight="1">
      <x:c r="A101" s="17" t="n">
        <x:f>'两日价格与决策'!A101</x:f>
        <x:v>45658.979166666664</x:v>
      </x:c>
      <x:c r="B101" s="23" t="n">
        <x:f>'两日价格与决策'!B101</x:f>
        <x:v>107.6</x:v>
      </x:c>
      <x:c r="C101" s="23" t="str">
        <x:f>'两日价格与决策'!C101</x:f>
        <x:v>缺失</x:v>
      </x:c>
      <x:c r="D101" s="23" t="n">
        <x:f>'两日价格与决策'!D101</x:f>
        <x:v>13.831647936310086</x:v>
      </x:c>
      <x:c r="E101" s="23" t="n">
        <x:f>'两日价格与决策'!E101</x:f>
        <x:v>14.710198829939085</x:v>
      </x:c>
      <x:c r="F101" s="23" t="n">
        <x:f>'两日价格与决策'!F101</x:f>
        <x:v>159.8815866186848</x:v>
      </x:c>
      <x:c r="G101" s="23" t="n">
        <x:f>'两日价格与决策'!G101</x:f>
        <x:v>0</x:v>
      </x:c>
      <x:c r="H101" s="23" t="str">
        <x:f>'两日价格与决策'!H101</x:f>
        <x:v>未模拟</x:v>
      </x:c>
      <x:c r="I101" s="24" t="n">
        <x:f>'两日价格与决策'!I101</x:f>
        <x:v>10</x:v>
      </x:c>
      <x:c r="J101" s="24" t="n">
        <x:f>'两日价格与决策'!J101</x:f>
        <x:v>10</x:v>
      </x:c>
      <x:c r="K101" s="24" t="n">
        <x:f>'两日价格与决策'!K101</x:f>
        <x:v>0</x:v>
      </x:c>
      <x:c r="L101" s="24" t="n">
        <x:f>'两日价格与决策'!L101</x:f>
        <x:v>0</x:v>
      </x:c>
      <x:c r="M101" s="24" t="n">
        <x:f>'两日价格与决策'!M101</x:f>
        <x:v>0</x:v>
      </x:c>
      <x:c r="N101" s="24" t="n">
        <x:f>'两日价格与决策'!N101</x:f>
        <x:v>0</x:v>
      </x:c>
      <x:c r="O101" s="24" t="n">
        <x:f>'两日价格与决策'!O101</x:f>
        <x:v>0</x:v>
      </x:c>
      <x:c r="P101" s="24" t="n">
        <x:f>'两日价格与决策'!P101</x:f>
        <x:v>0</x:v>
      </x:c>
      <x:c r="Q101" s="25" t="n">
        <x:f>'两日价格与决策'!Q101</x:f>
        <x:v>0</x:v>
      </x:c>
      <x:c r="R101" s="25" t="n">
        <x:f>'两日价格与决策'!R101</x:f>
        <x:v>0</x:v>
      </x:c>
      <x:c r="S101" s="25" t="n">
        <x:f>'两日价格与决策'!S101</x:f>
        <x:v>0</x:v>
      </x:c>
      <x:c r="T101" s="25" t="n">
        <x:f>'两日价格与决策'!T101</x:f>
        <x:v>0</x:v>
      </x:c>
      <x:c r="U101" s="25" t="n">
        <x:f>'两日价格与决策'!U101</x:f>
        <x:v>0</x:v>
      </x:c>
      <x:c r="V101" s="25" t="n">
        <x:f>'两日价格与决策'!V101</x:f>
        <x:v>0</x:v>
      </x:c>
      <x:c r="W101" s="25" t="n">
        <x:f>'两日价格与决策'!W101</x:f>
        <x:v>0</x:v>
      </x:c>
      <x:c r="X101" s="18" t="n">
        <x:f>'两日价格与决策'!X101</x:f>
        <x:v>0</x:v>
      </x:c>
      <x:c r="Y101" s="18" t="n">
        <x:f>'两日价格与决策'!Y101</x:f>
        <x:v>0</x:v>
      </x:c>
      <x:c r="Z101" s="18" t="str">
        <x:f>'两日价格与决策'!Z101</x:f>
        <x:v>1月1日执行｜初始化零订单</x:v>
      </x:c>
      <x:c r="AA101" s="19" t="n">
        <x:f>'两日价格与决策'!AA101</x:f>
        <x:v>1</x:v>
      </x:c>
      <x:c r="AB101" s="19" t="n">
        <x:f>'两日价格与决策'!AB101</x:f>
        <x:v>0</x:v>
      </x:c>
      <x:c r="AC101" s="18" t="n">
        <x:f>'两日价格与决策'!AC101</x:f>
        <x:v>0.25</x:v>
      </x:c>
      <x:c r="AD101" s="20" t="n">
        <x:f>'两日价格与决策'!AD101</x:f>
        <x:v>1</x:v>
      </x:c>
      <x:c r="AE101" s="20" t="n">
        <x:f>'两日价格与决策'!AE101</x:f>
        <x:v>0.0892</x:v>
      </x:c>
      <x:c r="AF101" s="20" t="n">
        <x:f>'两日价格与决策'!AF101</x:f>
        <x:v>0</x:v>
      </x:c>
      <x:c r="AG101" s="18" t="n">
        <x:f>'两日价格与决策'!AG101</x:f>
        <x:v>200</x:v>
      </x:c>
      <x:c r="AH101" s="18" t="n">
        <x:f>'两日价格与决策'!AH101</x:f>
        <x:v>200</x:v>
      </x:c>
      <x:c r="AI101" s="18" t="n">
        <x:f>'两日价格与决策'!AI101</x:f>
        <x:v>4.46</x:v>
      </x:c>
      <x:c r="AJ101" s="18" t="n">
        <x:f>'两日价格与决策'!AJ101</x:f>
        <x:v>0</x:v>
      </x:c>
      <x:c r="AK101" s="18" t="str">
        <x:f>'两日价格与决策'!AK101</x:f>
        <x:v>缺失</x:v>
      </x:c>
      <x:c r="AL101" s="18" t="n">
        <x:f>'两日价格与决策'!AL101</x:f>
        <x:v>0</x:v>
      </x:c>
      <x:c r="AM101" s="18" t="n">
        <x:f>'两日价格与决策'!AM101</x:f>
        <x:v>0</x:v>
      </x:c>
      <x:c r="AN101" s="18" t="n">
        <x:f>'两日价格与决策'!AN101</x:f>
        <x:v>0</x:v>
      </x:c>
      <x:c r="AO101" s="18" t="n">
        <x:f>'两日价格与决策'!AO101</x:f>
        <x:v>10</x:v>
      </x:c>
      <x:c r="AP101" s="18" t="n">
        <x:f>'两日价格与决策'!AP101</x:f>
        <x:v>0</x:v>
      </x:c>
      <x:c r="AQ101" s="18" t="n">
        <x:f>'两日价格与决策'!AQ101</x:f>
        <x:v>4.9741</x:v>
      </x:c>
      <x:c r="AR101" s="21" t="n">
        <x:f>'两日价格与决策'!AR101</x:f>
        <x:v>45657</x:v>
      </x:c>
      <x:c r="AS101" s="17" t="n">
        <x:f>'两日价格与决策'!AS101</x:f>
        <x:v>45658.895833333336</x:v>
      </x:c>
      <x:c r="AT101" s="18" t="str">
        <x:f>'两日价格与决策'!AT101</x:f>
        <x:v>2025-01-01_23</x:v>
      </x:c>
      <x:c r="AU101" s="19" t="n">
        <x:f>'两日价格与决策'!AU101</x:f>
        <x:v>60</x:v>
      </x:c>
      <x:c r="AV101" s="18" t="str">
        <x:f>'两日价格与决策'!AV101</x:f>
        <x:v>OK</x:v>
      </x:c>
    </x:row>
    <x:row r="102" ht="21" customHeight="1">
      <x:c r="A102" s="17" t="n">
        <x:f>'两日价格与决策'!A102</x:f>
        <x:v>45658.989583333336</x:v>
      </x:c>
      <x:c r="B102" s="23" t="n">
        <x:f>'两日价格与决策'!B102</x:f>
        <x:v>107.6</x:v>
      </x:c>
      <x:c r="C102" s="23" t="str">
        <x:f>'两日价格与决策'!C102</x:f>
        <x:v>缺失</x:v>
      </x:c>
      <x:c r="D102" s="23" t="n">
        <x:f>'两日价格与决策'!D102</x:f>
        <x:v>13.831647936310086</x:v>
      </x:c>
      <x:c r="E102" s="23" t="n">
        <x:f>'两日价格与决策'!E102</x:f>
        <x:v>14.710198829939085</x:v>
      </x:c>
      <x:c r="F102" s="23" t="n">
        <x:f>'两日价格与决策'!F102</x:f>
        <x:v>138.90090669668885</x:v>
      </x:c>
      <x:c r="G102" s="23" t="n">
        <x:f>'两日价格与决策'!G102</x:f>
        <x:v>48.28833356788163</x:v>
      </x:c>
      <x:c r="H102" s="23" t="str">
        <x:f>'两日价格与决策'!H102</x:f>
        <x:v>未模拟</x:v>
      </x:c>
      <x:c r="I102" s="24" t="n">
        <x:f>'两日价格与决策'!I102</x:f>
        <x:v>10</x:v>
      </x:c>
      <x:c r="J102" s="24" t="n">
        <x:f>'两日价格与决策'!J102</x:f>
        <x:v>10</x:v>
      </x:c>
      <x:c r="K102" s="24" t="n">
        <x:f>'两日价格与决策'!K102</x:f>
        <x:v>0</x:v>
      </x:c>
      <x:c r="L102" s="24" t="n">
        <x:f>'两日价格与决策'!L102</x:f>
        <x:v>0</x:v>
      </x:c>
      <x:c r="M102" s="24" t="n">
        <x:f>'两日价格与决策'!M102</x:f>
        <x:v>0</x:v>
      </x:c>
      <x:c r="N102" s="24" t="n">
        <x:f>'两日价格与决策'!N102</x:f>
        <x:v>0</x:v>
      </x:c>
      <x:c r="O102" s="24" t="n">
        <x:f>'两日价格与决策'!O102</x:f>
        <x:v>0</x:v>
      </x:c>
      <x:c r="P102" s="24" t="n">
        <x:f>'两日价格与决策'!P102</x:f>
        <x:v>0</x:v>
      </x:c>
      <x:c r="Q102" s="25" t="n">
        <x:f>'两日价格与决策'!Q102</x:f>
        <x:v>0</x:v>
      </x:c>
      <x:c r="R102" s="25" t="n">
        <x:f>'两日价格与决策'!R102</x:f>
        <x:v>0</x:v>
      </x:c>
      <x:c r="S102" s="25" t="n">
        <x:f>'两日价格与决策'!S102</x:f>
        <x:v>0</x:v>
      </x:c>
      <x:c r="T102" s="25" t="n">
        <x:f>'两日价格与决策'!T102</x:f>
        <x:v>0</x:v>
      </x:c>
      <x:c r="U102" s="25" t="n">
        <x:f>'两日价格与决策'!U102</x:f>
        <x:v>0</x:v>
      </x:c>
      <x:c r="V102" s="25" t="n">
        <x:f>'两日价格与决策'!V102</x:f>
        <x:v>0</x:v>
      </x:c>
      <x:c r="W102" s="25" t="n">
        <x:f>'两日价格与决策'!W102</x:f>
        <x:v>0</x:v>
      </x:c>
      <x:c r="X102" s="18" t="n">
        <x:f>'两日价格与决策'!X102</x:f>
        <x:v>0</x:v>
      </x:c>
      <x:c r="Y102" s="18" t="n">
        <x:f>'两日价格与决策'!Y102</x:f>
        <x:v>0</x:v>
      </x:c>
      <x:c r="Z102" s="18" t="str">
        <x:f>'两日价格与决策'!Z102</x:f>
        <x:v>1月1日执行｜初始化零订单</x:v>
      </x:c>
      <x:c r="AA102" s="19" t="n">
        <x:f>'两日价格与决策'!AA102</x:f>
        <x:v>1</x:v>
      </x:c>
      <x:c r="AB102" s="19" t="n">
        <x:f>'两日价格与决策'!AB102</x:f>
        <x:v>0</x:v>
      </x:c>
      <x:c r="AC102" s="18" t="n">
        <x:f>'两日价格与决策'!AC102</x:f>
        <x:v>0.25</x:v>
      </x:c>
      <x:c r="AD102" s="20" t="n">
        <x:f>'两日价格与决策'!AD102</x:f>
        <x:v>1</x:v>
      </x:c>
      <x:c r="AE102" s="20" t="n">
        <x:f>'两日价格与决策'!AE102</x:f>
        <x:v>0.016200000000000003</x:v>
      </x:c>
      <x:c r="AF102" s="20" t="n">
        <x:f>'两日价格与决策'!AF102</x:f>
        <x:v>0.0023</x:v>
      </x:c>
      <x:c r="AG102" s="18" t="n">
        <x:f>'两日价格与决策'!AG102</x:f>
        <x:v>200</x:v>
      </x:c>
      <x:c r="AH102" s="18" t="n">
        <x:f>'两日价格与决策'!AH102</x:f>
        <x:v>200</x:v>
      </x:c>
      <x:c r="AI102" s="18" t="n">
        <x:f>'两日价格与决策'!AI102</x:f>
        <x:v>0.81</x:v>
      </x:c>
      <x:c r="AJ102" s="18" t="n">
        <x:f>'两日价格与决策'!AJ102</x:f>
        <x:v>0.115</x:v>
      </x:c>
      <x:c r="AK102" s="18" t="str">
        <x:f>'两日价格与决策'!AK102</x:f>
        <x:v>缺失</x:v>
      </x:c>
      <x:c r="AL102" s="18" t="n">
        <x:f>'两日价格与决策'!AL102</x:f>
        <x:v>0</x:v>
      </x:c>
      <x:c r="AM102" s="18" t="n">
        <x:f>'两日价格与决策'!AM102</x:f>
        <x:v>0</x:v>
      </x:c>
      <x:c r="AN102" s="18" t="n">
        <x:f>'两日价格与决策'!AN102</x:f>
        <x:v>0</x:v>
      </x:c>
      <x:c r="AO102" s="18" t="n">
        <x:f>'两日价格与决策'!AO102</x:f>
        <x:v>10</x:v>
      </x:c>
      <x:c r="AP102" s="18" t="n">
        <x:f>'两日价格与决策'!AP102</x:f>
        <x:v>0</x:v>
      </x:c>
      <x:c r="AQ102" s="18" t="n">
        <x:f>'两日价格与决策'!AQ102</x:f>
        <x:v>4.9741</x:v>
      </x:c>
      <x:c r="AR102" s="21" t="n">
        <x:f>'两日价格与决策'!AR102</x:f>
        <x:v>45657</x:v>
      </x:c>
      <x:c r="AS102" s="17" t="n">
        <x:f>'两日价格与决策'!AS102</x:f>
        <x:v>45658.90625</x:v>
      </x:c>
      <x:c r="AT102" s="18" t="str">
        <x:f>'两日价格与决策'!AT102</x:f>
        <x:v>2025-01-01_23</x:v>
      </x:c>
      <x:c r="AU102" s="19" t="n">
        <x:f>'两日价格与决策'!AU102</x:f>
        <x:v>60</x:v>
      </x:c>
      <x:c r="AV102" s="18" t="str">
        <x:f>'两日价格与决策'!AV102</x:f>
        <x:v>OK</x:v>
      </x:c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</x:row>
    <x:row r="104" ht="21" customHeight="1">
      <x:c r="A104" s="26" t="str">
        <x:v>1月1日合计</x:v>
      </x:c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7" t="n">
        <x:f>SUM(O7:O102)</x:f>
        <x:v>0</x:v>
      </x:c>
      <x:c r="P104" s="27" t="n">
        <x:f>SUM(P7:P102)</x:f>
        <x:v>0</x:v>
      </x:c>
      <x:c r="Q104" s="27" t="n">
        <x:f>SUM(Q7:Q102)</x:f>
        <x:v>0</x:v>
      </x:c>
      <x:c r="R104" s="27" t="n">
        <x:f>SUM(R7:R102)</x:f>
        <x:v>0</x:v>
      </x:c>
      <x:c r="S104" s="27" t="n">
        <x:f>SUM(S7:S102)</x:f>
        <x:v>0</x:v>
      </x:c>
      <x:c r="T104" s="27" t="n">
        <x:f>SUM(T7:T102)</x:f>
        <x:v>0</x:v>
      </x:c>
      <x:c r="U104" s="27" t="n">
        <x:f>SUM(U7:U102)</x:f>
        <x:v>0</x:v>
      </x:c>
      <x:c r="V104" s="27" t="n">
        <x:f>SUM(V7:V102)</x:f>
        <x:v>0</x:v>
      </x:c>
      <x:c r="W104" s="27" t="n">
        <x:f>SUM(W7:W102)</x:f>
        <x:v>0</x:v>
      </x:c>
      <x:c r="X104" s="27" t="n">
        <x:f>SUM(X7:X102)</x:f>
        <x:v>0</x:v>
      </x:c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</x:row>
  </x:sheetData>
  <x:conditionalFormatting sqref="Y7:Y102">
    <x:cfRule type="expression" dxfId="2" priority="1">
      <x:formula>ABS(Y7)&gt;0.00001</x:formula>
    </x:cfRule>
  </x:conditionalFormatting>
  <x:conditionalFormatting sqref="AP7:AP102">
    <x:cfRule type="expression" dxfId="3" priority="2">
      <x:formula>ABS(AP7)&gt;0.000001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77392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31" hidden="0" customWidth="1"/>
    <x:col min="46" max="46" width="31" hidden="0" customWidth="1"/>
    <x:col min="47" max="47" width="31" hidden="0" customWidth="1"/>
    <x:col min="48" max="48" width="31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</x:row>
    <x:row r="2" ht="21" customHeight="1">
      <x:c r="A2" s="3" t="str">
        <x:v>首次MILP｜两日价格与决策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</x:row>
    <x:row r="3" ht="21" customHeight="1">
      <x:c r="A3" s="4" t="str">
        <x:v>2025-01-01—01-02｜192个15分钟时段；公式重算现金，原模型决策保持原值。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</x:row>
    <x:row r="4" ht="21" customHeight="1">
      <x:c r="A4" s="4" t="str">
        <x:v>前96行是1月1日执行；后96行是1月2日计划。缺失价格显示“缺失”；FCR激活显示“未模拟”。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</x:row>
    <x:row r="6" ht="52" customHeight="1">
      <x:c r="A6" s="9" t="str">
        <x:v>时间｜Bucharest</x:v>
      </x:c>
      <x:c r="B6" s="9" t="str">
        <x:v>DA价格
EUR/MWh</x:v>
      </x:c>
      <x:c r="C6" s="9" t="str">
        <x:v>FCR容量价格
EUR/(MW·h)</x:v>
      </x:c>
      <x:c r="D6" s="9" t="str">
        <x:v>aFRR上容量价
EUR/(MW·h)</x:v>
      </x:c>
      <x:c r="E6" s="9" t="str">
        <x:v>aFRR下容量价
EUR/(MW·h)</x:v>
      </x:c>
      <x:c r="F6" s="9" t="str">
        <x:v>aFRR上激活价
EUR/MWh</x:v>
      </x:c>
      <x:c r="G6" s="9" t="str">
        <x:v>aFRR下激活价
EUR/MWh</x:v>
      </x:c>
      <x:c r="H6" s="9" t="str">
        <x:v>FCR激活价
未纳入模型</x:v>
      </x:c>
      <x:c r="I6" s="9" t="str">
        <x:v>起SOC
MWh</x:v>
      </x:c>
      <x:c r="J6" s="9" t="str">
        <x:v>末SOC
MWh</x:v>
      </x:c>
      <x:c r="K6" s="9" t="str">
        <x:v>DA净申报
MW</x:v>
      </x:c>
      <x:c r="L6" s="9" t="str">
        <x:v>FCR申报
MW</x:v>
      </x:c>
      <x:c r="M6" s="9" t="str">
        <x:v>aFRR上申报
MW</x:v>
      </x:c>
      <x:c r="N6" s="9" t="str">
        <x:v>aFRR下申报
MW</x:v>
      </x:c>
      <x:c r="O6" s="9" t="str">
        <x:v>上调激活
MWh</x:v>
      </x:c>
      <x:c r="P6" s="9" t="str">
        <x:v>下调激活
MWh</x:v>
      </x:c>
      <x:c r="Q6" s="9" t="str">
        <x:v>DA现金
EUR</x:v>
      </x:c>
      <x:c r="R6" s="9" t="str">
        <x:v>FCR容量现金
EUR</x:v>
      </x:c>
      <x:c r="S6" s="9" t="str">
        <x:v>aFRR上容量现金
EUR</x:v>
      </x:c>
      <x:c r="T6" s="9" t="str">
        <x:v>aFRR下容量现金
EUR</x:v>
      </x:c>
      <x:c r="U6" s="9" t="str">
        <x:v>aFRR上激活现金
EUR</x:v>
      </x:c>
      <x:c r="V6" s="9" t="str">
        <x:v>aFRR下激活现金
EUR</x:v>
      </x:c>
      <x:c r="W6" s="9" t="str">
        <x:v>总现金
EUR</x:v>
      </x:c>
      <x:c r="X6" s="9" t="str">
        <x:v>原账本总现金
EUR</x:v>
      </x:c>
      <x:c r="Y6" s="9" t="str">
        <x:v>现金差异
EUR</x:v>
      </x:c>
      <x:c r="Z6" s="9" t="str">
        <x:v>执行/计划</x:v>
      </x:c>
      <x:c r="AA6" s="9" t="str">
        <x:v>aFRR小时有效
1/0</x:v>
      </x:c>
      <x:c r="AB6" s="9" t="str">
        <x:v>FCR小时有效
1/0</x:v>
      </x:c>
      <x:c r="AC6" s="9" t="str">
        <x:v>时长h</x:v>
      </x:c>
      <x:c r="AD6" s="9" t="str">
        <x:v>容量系数</x:v>
      </x:c>
      <x:c r="AE6" s="9" t="str">
        <x:v>有效α上</x:v>
      </x:c>
      <x:c r="AF6" s="9" t="str">
        <x:v>有效α下</x:v>
      </x:c>
      <x:c r="AG6" s="9" t="str">
        <x:v>系统上容量
MW</x:v>
      </x:c>
      <x:c r="AH6" s="9" t="str">
        <x:v>系统下容量
MW</x:v>
      </x:c>
      <x:c r="AI6" s="9" t="str">
        <x:v>系统上激活
MWh</x:v>
      </x:c>
      <x:c r="AJ6" s="9" t="str">
        <x:v>系统下激活
MWh</x:v>
      </x:c>
      <x:c r="AK6" s="9" t="str">
        <x:v>系统FCR容量
MW</x:v>
      </x:c>
      <x:c r="AL6" s="9" t="str">
        <x:v>EFC复算</x:v>
      </x:c>
      <x:c r="AM6" s="9" t="str">
        <x:v>AC充电
MWh</x:v>
      </x:c>
      <x:c r="AN6" s="9" t="str">
        <x:v>AC放电
MWh</x:v>
      </x:c>
      <x:c r="AO6" s="9" t="str">
        <x:v>相位复算末SOC
MWh</x:v>
      </x:c>
      <x:c r="AP6" s="9" t="str">
        <x:v>SOC差异
MWh</x:v>
      </x:c>
      <x:c r="AQ6" s="9" t="str">
        <x:v>汇率
RON/EUR</x:v>
      </x:c>
      <x:c r="AR6" s="9" t="str">
        <x:v>汇率日期</x:v>
      </x:c>
      <x:c r="AS6" s="9" t="str">
        <x:v>UTC起点</x:v>
      </x:c>
      <x:c r="AT6" s="9" t="str">
        <x:v>DA原生订单ID</x:v>
      </x:c>
      <x:c r="AU6" s="9" t="str">
        <x:v>原生DA分钟</x:v>
      </x:c>
      <x:c r="AV6" s="9" t="str">
        <x:v>aFRR门禁原因</x:v>
      </x:c>
    </x:row>
    <x:row r="7" ht="21" customHeight="1">
      <x:c r="A7" s="17" t="n">
        <x:f>45658</x:f>
        <x:v>45658</x:v>
      </x:c>
      <x:c r="B7" s="23" t="n">
        <x:f>IF(ISNUMBER('原始输入与口径'!H9),'原始输入与口径'!H9,"缺失")</x:f>
        <x:v>117.75</x:v>
      </x:c>
      <x:c r="C7" s="23" t="str">
        <x:f>IF(ISNUMBER('原始输入与口径'!R9),'原始输入与口径'!R9,"缺失")</x:f>
        <x:v>缺失</x:v>
      </x:c>
      <x:c r="D7" s="23" t="n">
        <x:f>IF(ISNUMBER('原始输入与口径'!W9),'原始输入与口径'!W9,"缺失")</x:f>
        <x:v>13.670814820771596</x:v>
      </x:c>
      <x:c r="E7" s="23" t="n">
        <x:f>IF(ISNUMBER('原始输入与口径'!AB9),'原始输入与口径'!AB9,"缺失")</x:f>
        <x:v>14.710198829939085</x:v>
      </x:c>
      <x:c r="F7" s="23" t="n">
        <x:f>IF(ISNUMBER('原始输入与口径'!AG9),'原始输入与口径'!AG9,"缺失")</x:f>
        <x:v>203.1481071952715</x:v>
      </x:c>
      <x:c r="G7" s="23" t="n">
        <x:f>IF(ISNUMBER('原始输入与口径'!AJ9),'原始输入与口径'!AJ9,"缺失")</x:f>
        <x:v>0</x:v>
      </x:c>
      <x:c r="H7" s="23" t="str">
        <x:f>"未模拟"</x:f>
        <x:v>未模拟</x:v>
      </x:c>
      <x:c r="I7" s="24" t="n">
        <x:f>'原始输入与口径'!BD9</x:f>
        <x:v>10</x:v>
      </x:c>
      <x:c r="J7" s="24" t="n">
        <x:f>'原始输入与口径'!BE9</x:f>
        <x:v>10</x:v>
      </x:c>
      <x:c r="K7" s="24" t="n">
        <x:f>'原始输入与口径'!BF9</x:f>
        <x:v>0</x:v>
      </x:c>
      <x:c r="L7" s="24" t="n">
        <x:f>'原始输入与口径'!BG9</x:f>
        <x:v>0</x:v>
      </x:c>
      <x:c r="M7" s="24" t="n">
        <x:f>'原始输入与口径'!BH9</x:f>
        <x:v>0</x:v>
      </x:c>
      <x:c r="N7" s="24" t="n">
        <x:f>'原始输入与口径'!BI9</x:f>
        <x:v>0</x:v>
      </x:c>
      <x:c r="O7" s="24" t="n">
        <x:f>M7*AE7*AC7</x:f>
        <x:v>0</x:v>
      </x:c>
      <x:c r="P7" s="24" t="n">
        <x:f>N7*AF7*AC7</x:f>
        <x:v>0</x:v>
      </x:c>
      <x:c r="Q7" s="25" t="n">
        <x:f>IF(K7=0,0,IF(ISNUMBER(B7),K7*AC7*B7,NA()))</x:f>
        <x:v>0</x:v>
      </x:c>
      <x:c r="R7" s="25" t="n">
        <x:f>IF(L7=0,0,IF(ISNUMBER(C7),L7*AC7*C7*AD7,NA()))</x:f>
        <x:v>0</x:v>
      </x:c>
      <x:c r="S7" s="25" t="n">
        <x:f>IF(M7=0,0,IF(ISNUMBER(D7),M7*AC7*D7*AD7,NA()))</x:f>
        <x:v>0</x:v>
      </x:c>
      <x:c r="T7" s="25" t="n">
        <x:f>IF(N7=0,0,IF(ISNUMBER(E7),N7*AC7*E7*AD7,NA()))</x:f>
        <x:v>0</x:v>
      </x:c>
      <x:c r="U7" s="25" t="n">
        <x:f>IF(O7=0,0,IF(ISNUMBER(F7),O7*F7,NA()))</x:f>
        <x:v>0</x:v>
      </x:c>
      <x:c r="V7" s="25" t="n">
        <x:f>IF(P7=0,0,IF(ISNUMBER(G7),-P7*G7,NA()))</x:f>
        <x:v>0</x:v>
      </x:c>
      <x:c r="W7" s="25" t="n">
        <x:f>SUM(Q7:V7)</x:f>
        <x:v>0</x:v>
      </x:c>
      <x:c r="X7" s="18" t="n">
        <x:f>'原始输入与口径'!BR9</x:f>
        <x:v>0</x:v>
      </x:c>
      <x:c r="Y7" s="18" t="n">
        <x:f>W7-X7</x:f>
        <x:v>0</x:v>
      </x:c>
      <x:c r="Z7" s="18" t="str">
        <x:f>"1月1日执行｜初始化零订单"</x:f>
        <x:v>1月1日执行｜初始化零订单</x:v>
      </x:c>
      <x:c r="AA7" s="19" t="n">
        <x:f>IF('原始输入与口径'!AW9,1,0)</x:f>
        <x:v>1</x:v>
      </x:c>
      <x:c r="AB7" s="19" t="n">
        <x:f>IF('原始输入与口径'!AY9,1,0)</x:f>
        <x:v>0</x:v>
      </x:c>
      <x:c r="AC7" s="18" t="n">
        <x:f>'原始输入与口径'!E9</x:f>
        <x:v>0.25</x:v>
      </x:c>
      <x:c r="AD7" s="20" t="n">
        <x:f>'原始输入与口径'!$F$5</x:f>
        <x:v>1</x:v>
      </x:c>
      <x:c r="AE7" s="20" t="n">
        <x:f>IF(AA7=0,0,AI7/(AG7*AC7))</x:f>
        <x:v>0.32158000000000003</x:v>
      </x:c>
      <x:c r="AF7" s="20" t="n">
        <x:f>IF(AA7=0,0,AJ7/(AH7*AC7))</x:f>
        <x:v>0</x:v>
      </x:c>
      <x:c r="AG7" s="18" t="n">
        <x:f>IF(ISNUMBER('原始输入与口径'!T9),'原始输入与口径'!T9,"缺失")</x:f>
        <x:v>200</x:v>
      </x:c>
      <x:c r="AH7" s="18" t="n">
        <x:f>IF(ISNUMBER('原始输入与口径'!Y9),'原始输入与口径'!Y9,"缺失")</x:f>
        <x:v>200</x:v>
      </x:c>
      <x:c r="AI7" s="18" t="n">
        <x:f>IF(ISNUMBER('原始输入与口径'!AI9),'原始输入与口径'!AI9,"缺失")</x:f>
        <x:v>16.079</x:v>
      </x:c>
      <x:c r="AJ7" s="18" t="n">
        <x:f>IF(ISNUMBER('原始输入与口径'!AL9),'原始输入与口径'!AL9,"缺失")</x:f>
        <x:v>0</x:v>
      </x:c>
      <x:c r="AK7" s="18" t="str">
        <x:f>IF(ISNUMBER('原始输入与口径'!O9),'原始输入与口径'!O9,"缺失")</x:f>
        <x:v>缺失</x:v>
      </x:c>
      <x:c r="AL7" s="18" t="n">
        <x:f>SUMIFS('相位SOC复算'!$N$7:$N$443,'相位SOC复算'!$S$7:$S$443,1)</x:f>
        <x:v>0</x:v>
      </x:c>
      <x:c r="AM7" s="18" t="n">
        <x:f>SUMIFS('相位SOC复算'!$Q$7:$Q$443,'相位SOC复算'!$S$7:$S$443,1)</x:f>
        <x:v>0</x:v>
      </x:c>
      <x:c r="AN7" s="18" t="n">
        <x:f>SUMIFS('相位SOC复算'!$R$7:$R$443,'相位SOC复算'!$S$7:$S$443,1)</x:f>
        <x:v>0</x:v>
      </x:c>
      <x:c r="AO7" s="18" t="n">
        <x:f>'相位SOC复算'!J8</x:f>
        <x:v>10</x:v>
      </x:c>
      <x:c r="AP7" s="18" t="n">
        <x:f>AO7-J7</x:f>
        <x:v>0</x:v>
      </x:c>
      <x:c r="AQ7" s="18" t="n">
        <x:f>IF(ISBLANK('原始输入与口径'!M9),"",'原始输入与口径'!M9)</x:f>
        <x:v>4.9741</x:v>
      </x:c>
      <x:c r="AR7" s="21" t="n">
        <x:f>IF(ISBLANK('原始输入与口径'!L9),"",'原始输入与口径'!L9)</x:f>
        <x:v>45657</x:v>
      </x:c>
      <x:c r="AS7" s="17" t="n">
        <x:f>IF(ISBLANK('原始输入与口径'!A9),"",'原始输入与口径'!A9)</x:f>
        <x:v>45657.916666666664</x:v>
      </x:c>
      <x:c r="AT7" s="18" t="str">
        <x:f>IF(ISBLANK('原始输入与口径'!I9),"",'原始输入与口径'!I9)</x:f>
        <x:v>2024-12-31_24</x:v>
      </x:c>
      <x:c r="AU7" s="19" t="n">
        <x:f>IF(ISBLANK('原始输入与口径'!J9),"",'原始输入与口径'!J9)</x:f>
        <x:v>60</x:v>
      </x:c>
      <x:c r="AV7" s="18" t="str">
        <x:f>IF(ISBLANK('原始输入与口径'!BB9),"",'原始输入与口径'!BB9)</x:f>
        <x:v>OK</x:v>
      </x:c>
    </x:row>
    <x:row r="8" ht="21" customHeight="1">
      <x:c r="A8" s="17" t="n">
        <x:f>45658.010416666664</x:f>
        <x:v>45658.010416666664</x:v>
      </x:c>
      <x:c r="B8" s="23" t="n">
        <x:f>IF(ISNUMBER('原始输入与口径'!H10),'原始输入与口径'!H10,"缺失")</x:f>
        <x:v>117.75</x:v>
      </x:c>
      <x:c r="C8" s="23" t="str">
        <x:f>IF(ISNUMBER('原始输入与口径'!R10),'原始输入与口径'!R10,"缺失")</x:f>
        <x:v>缺失</x:v>
      </x:c>
      <x:c r="D8" s="23" t="n">
        <x:f>IF(ISNUMBER('原始输入与口径'!W10),'原始输入与口径'!W10,"缺失")</x:f>
        <x:v>13.670814820771596</x:v>
      </x:c>
      <x:c r="E8" s="23" t="n">
        <x:f>IF(ISNUMBER('原始输入与口径'!AB10),'原始输入与口径'!AB10,"缺失")</x:f>
        <x:v>14.710198829939085</x:v>
      </x:c>
      <x:c r="F8" s="23" t="n">
        <x:f>IF(ISNUMBER('原始输入与口径'!AG10),'原始输入与口径'!AG10,"缺失")</x:f>
        <x:v>189.08023562051426</x:v>
      </x:c>
      <x:c r="G8" s="23" t="n">
        <x:f>IF(ISNUMBER('原始输入与口径'!AJ10),'原始输入与口径'!AJ10,"缺失")</x:f>
        <x:v>0</x:v>
      </x:c>
      <x:c r="H8" s="23" t="str">
        <x:f>"未模拟"</x:f>
        <x:v>未模拟</x:v>
      </x:c>
      <x:c r="I8" s="24" t="n">
        <x:f>'原始输入与口径'!BD10</x:f>
        <x:v>10</x:v>
      </x:c>
      <x:c r="J8" s="24" t="n">
        <x:f>'原始输入与口径'!BE10</x:f>
        <x:v>10</x:v>
      </x:c>
      <x:c r="K8" s="24" t="n">
        <x:f>'原始输入与口径'!BF10</x:f>
        <x:v>0</x:v>
      </x:c>
      <x:c r="L8" s="24" t="n">
        <x:f>'原始输入与口径'!BG10</x:f>
        <x:v>0</x:v>
      </x:c>
      <x:c r="M8" s="24" t="n">
        <x:f>'原始输入与口径'!BH10</x:f>
        <x:v>0</x:v>
      </x:c>
      <x:c r="N8" s="24" t="n">
        <x:f>'原始输入与口径'!BI10</x:f>
        <x:v>0</x:v>
      </x:c>
      <x:c r="O8" s="24" t="n">
        <x:f>M8*AE8*AC8</x:f>
        <x:v>0</x:v>
      </x:c>
      <x:c r="P8" s="24" t="n">
        <x:f>N8*AF8*AC8</x:f>
        <x:v>0</x:v>
      </x:c>
      <x:c r="Q8" s="25" t="n">
        <x:f>IF(K8=0,0,IF(ISNUMBER(B8),K8*AC8*B8,NA()))</x:f>
        <x:v>0</x:v>
      </x:c>
      <x:c r="R8" s="25" t="n">
        <x:f>IF(L8=0,0,IF(ISNUMBER(C8),L8*AC8*C8*AD8,NA()))</x:f>
        <x:v>0</x:v>
      </x:c>
      <x:c r="S8" s="25" t="n">
        <x:f>IF(M8=0,0,IF(ISNUMBER(D8),M8*AC8*D8*AD8,NA()))</x:f>
        <x:v>0</x:v>
      </x:c>
      <x:c r="T8" s="25" t="n">
        <x:f>IF(N8=0,0,IF(ISNUMBER(E8),N8*AC8*E8*AD8,NA()))</x:f>
        <x:v>0</x:v>
      </x:c>
      <x:c r="U8" s="25" t="n">
        <x:f>IF(O8=0,0,IF(ISNUMBER(F8),O8*F8,NA()))</x:f>
        <x:v>0</x:v>
      </x:c>
      <x:c r="V8" s="25" t="n">
        <x:f>IF(P8=0,0,IF(ISNUMBER(G8),-P8*G8,NA()))</x:f>
        <x:v>0</x:v>
      </x:c>
      <x:c r="W8" s="25" t="n">
        <x:f>SUM(Q8:V8)</x:f>
        <x:v>0</x:v>
      </x:c>
      <x:c r="X8" s="18" t="n">
        <x:f>'原始输入与口径'!BR10</x:f>
        <x:v>0</x:v>
      </x:c>
      <x:c r="Y8" s="18" t="n">
        <x:f>W8-X8</x:f>
        <x:v>0</x:v>
      </x:c>
      <x:c r="Z8" s="18" t="str">
        <x:f>"1月1日执行｜初始化零订单"</x:f>
        <x:v>1月1日执行｜初始化零订单</x:v>
      </x:c>
      <x:c r="AA8" s="19" t="n">
        <x:f>IF('原始输入与口径'!AW10,1,0)</x:f>
        <x:v>1</x:v>
      </x:c>
      <x:c r="AB8" s="19" t="n">
        <x:f>IF('原始输入与口径'!AY10,1,0)</x:f>
        <x:v>0</x:v>
      </x:c>
      <x:c r="AC8" s="18" t="n">
        <x:f>'原始输入与口径'!E10</x:f>
        <x:v>0.25</x:v>
      </x:c>
      <x:c r="AD8" s="20" t="n">
        <x:f>'原始输入与口径'!$F$5</x:f>
        <x:v>1</x:v>
      </x:c>
      <x:c r="AE8" s="20" t="n">
        <x:f>IF(AA8=0,0,AI8/(AG8*AC8))</x:f>
        <x:v>0.20867999999999998</x:v>
      </x:c>
      <x:c r="AF8" s="20" t="n">
        <x:f>IF(AA8=0,0,AJ8/(AH8*AC8))</x:f>
        <x:v>0</x:v>
      </x:c>
      <x:c r="AG8" s="18" t="n">
        <x:f>IF(ISNUMBER('原始输入与口径'!T10),'原始输入与口径'!T10,"缺失")</x:f>
        <x:v>200</x:v>
      </x:c>
      <x:c r="AH8" s="18" t="n">
        <x:f>IF(ISNUMBER('原始输入与口径'!Y10),'原始输入与口径'!Y10,"缺失")</x:f>
        <x:v>200</x:v>
      </x:c>
      <x:c r="AI8" s="18" t="n">
        <x:f>IF(ISNUMBER('原始输入与口径'!AI10),'原始输入与口径'!AI10,"缺失")</x:f>
        <x:v>10.434</x:v>
      </x:c>
      <x:c r="AJ8" s="18" t="n">
        <x:f>IF(ISNUMBER('原始输入与口径'!AL10),'原始输入与口径'!AL10,"缺失")</x:f>
        <x:v>0</x:v>
      </x:c>
      <x:c r="AK8" s="18" t="str">
        <x:f>IF(ISNUMBER('原始输入与口径'!O10),'原始输入与口径'!O10,"缺失")</x:f>
        <x:v>缺失</x:v>
      </x:c>
      <x:c r="AL8" s="18" t="n">
        <x:f>SUMIFS('相位SOC复算'!$N$7:$N$443,'相位SOC复算'!$S$7:$S$443,2)</x:f>
        <x:v>0</x:v>
      </x:c>
      <x:c r="AM8" s="18" t="n">
        <x:f>SUMIFS('相位SOC复算'!$Q$7:$Q$443,'相位SOC复算'!$S$7:$S$443,2)</x:f>
        <x:v>0</x:v>
      </x:c>
      <x:c r="AN8" s="18" t="n">
        <x:f>SUMIFS('相位SOC复算'!$R$7:$R$443,'相位SOC复算'!$S$7:$S$443,2)</x:f>
        <x:v>0</x:v>
      </x:c>
      <x:c r="AO8" s="18" t="n">
        <x:f>'相位SOC复算'!J10</x:f>
        <x:v>10</x:v>
      </x:c>
      <x:c r="AP8" s="18" t="n">
        <x:f>AO8-J8</x:f>
        <x:v>0</x:v>
      </x:c>
      <x:c r="AQ8" s="18" t="n">
        <x:f>IF(ISBLANK('原始输入与口径'!M10),"",'原始输入与口径'!M10)</x:f>
        <x:v>4.9741</x:v>
      </x:c>
      <x:c r="AR8" s="21" t="n">
        <x:f>IF(ISBLANK('原始输入与口径'!L10),"",'原始输入与口径'!L10)</x:f>
        <x:v>45657</x:v>
      </x:c>
      <x:c r="AS8" s="17" t="n">
        <x:f>IF(ISBLANK('原始输入与口径'!A10),"",'原始输入与口径'!A10)</x:f>
        <x:v>45657.927083333336</x:v>
      </x:c>
      <x:c r="AT8" s="18" t="str">
        <x:f>IF(ISBLANK('原始输入与口径'!I10),"",'原始输入与口径'!I10)</x:f>
        <x:v>2024-12-31_24</x:v>
      </x:c>
      <x:c r="AU8" s="19" t="n">
        <x:f>IF(ISBLANK('原始输入与口径'!J10),"",'原始输入与口径'!J10)</x:f>
        <x:v>60</x:v>
      </x:c>
      <x:c r="AV8" s="18" t="str">
        <x:f>IF(ISBLANK('原始输入与口径'!BB10),"",'原始输入与口径'!BB10)</x:f>
        <x:v>OK</x:v>
      </x:c>
    </x:row>
    <x:row r="9" ht="21" customHeight="1">
      <x:c r="A9" s="17" t="n">
        <x:f>45658.020833333336</x:f>
        <x:v>45658.020833333336</x:v>
      </x:c>
      <x:c r="B9" s="23" t="n">
        <x:f>IF(ISNUMBER('原始输入与口径'!H11),'原始输入与口径'!H11,"缺失")</x:f>
        <x:v>117.75</x:v>
      </x:c>
      <x:c r="C9" s="23" t="str">
        <x:f>IF(ISNUMBER('原始输入与口径'!R11),'原始输入与口径'!R11,"缺失")</x:f>
        <x:v>缺失</x:v>
      </x:c>
      <x:c r="D9" s="23" t="n">
        <x:f>IF(ISNUMBER('原始输入与口径'!W11),'原始输入与口径'!W11,"缺失")</x:f>
        <x:v>13.670814820771596</x:v>
      </x:c>
      <x:c r="E9" s="23" t="n">
        <x:f>IF(ISNUMBER('原始输入与口径'!AB11),'原始输入与口径'!AB11,"缺失")</x:f>
        <x:v>14.710198829939085</x:v>
      </x:c>
      <x:c r="F9" s="23" t="n">
        <x:f>IF(ISNUMBER('原始输入与口径'!AG11),'原始输入与口径'!AG11,"缺失")</x:f>
        <x:v>136.70814820771596</x:v>
      </x:c>
      <x:c r="G9" s="23" t="n">
        <x:f>IF(ISNUMBER('原始输入与口径'!AJ11),'原始输入与口径'!AJ11,"缺失")</x:f>
        <x:v>60.1113769325104</x:v>
      </x:c>
      <x:c r="H9" s="23" t="str">
        <x:f>"未模拟"</x:f>
        <x:v>未模拟</x:v>
      </x:c>
      <x:c r="I9" s="24" t="n">
        <x:f>'原始输入与口径'!BD11</x:f>
        <x:v>10</x:v>
      </x:c>
      <x:c r="J9" s="24" t="n">
        <x:f>'原始输入与口径'!BE11</x:f>
        <x:v>10</x:v>
      </x:c>
      <x:c r="K9" s="24" t="n">
        <x:f>'原始输入与口径'!BF11</x:f>
        <x:v>0</x:v>
      </x:c>
      <x:c r="L9" s="24" t="n">
        <x:f>'原始输入与口径'!BG11</x:f>
        <x:v>0</x:v>
      </x:c>
      <x:c r="M9" s="24" t="n">
        <x:f>'原始输入与口径'!BH11</x:f>
        <x:v>0</x:v>
      </x:c>
      <x:c r="N9" s="24" t="n">
        <x:f>'原始输入与口径'!BI11</x:f>
        <x:v>0</x:v>
      </x:c>
      <x:c r="O9" s="24" t="n">
        <x:f>M9*AE9*AC9</x:f>
        <x:v>0</x:v>
      </x:c>
      <x:c r="P9" s="24" t="n">
        <x:f>N9*AF9*AC9</x:f>
        <x:v>0</x:v>
      </x:c>
      <x:c r="Q9" s="25" t="n">
        <x:f>IF(K9=0,0,IF(ISNUMBER(B9),K9*AC9*B9,NA()))</x:f>
        <x:v>0</x:v>
      </x:c>
      <x:c r="R9" s="25" t="n">
        <x:f>IF(L9=0,0,IF(ISNUMBER(C9),L9*AC9*C9*AD9,NA()))</x:f>
        <x:v>0</x:v>
      </x:c>
      <x:c r="S9" s="25" t="n">
        <x:f>IF(M9=0,0,IF(ISNUMBER(D9),M9*AC9*D9*AD9,NA()))</x:f>
        <x:v>0</x:v>
      </x:c>
      <x:c r="T9" s="25" t="n">
        <x:f>IF(N9=0,0,IF(ISNUMBER(E9),N9*AC9*E9*AD9,NA()))</x:f>
        <x:v>0</x:v>
      </x:c>
      <x:c r="U9" s="25" t="n">
        <x:f>IF(O9=0,0,IF(ISNUMBER(F9),O9*F9,NA()))</x:f>
        <x:v>0</x:v>
      </x:c>
      <x:c r="V9" s="25" t="n">
        <x:f>IF(P9=0,0,IF(ISNUMBER(G9),-P9*G9,NA()))</x:f>
        <x:v>0</x:v>
      </x:c>
      <x:c r="W9" s="25" t="n">
        <x:f>SUM(Q9:V9)</x:f>
        <x:v>0</x:v>
      </x:c>
      <x:c r="X9" s="18" t="n">
        <x:f>'原始输入与口径'!BR11</x:f>
        <x:v>0</x:v>
      </x:c>
      <x:c r="Y9" s="18" t="n">
        <x:f>W9-X9</x:f>
        <x:v>0</x:v>
      </x:c>
      <x:c r="Z9" s="18" t="str">
        <x:f>"1月1日执行｜初始化零订单"</x:f>
        <x:v>1月1日执行｜初始化零订单</x:v>
      </x:c>
      <x:c r="AA9" s="19" t="n">
        <x:f>IF('原始输入与口径'!AW11,1,0)</x:f>
        <x:v>1</x:v>
      </x:c>
      <x:c r="AB9" s="19" t="n">
        <x:f>IF('原始输入与口径'!AY11,1,0)</x:f>
        <x:v>0</x:v>
      </x:c>
      <x:c r="AC9" s="18" t="n">
        <x:f>'原始输入与口径'!E11</x:f>
        <x:v>0.25</x:v>
      </x:c>
      <x:c r="AD9" s="20" t="n">
        <x:f>'原始输入与口径'!$F$5</x:f>
        <x:v>1</x:v>
      </x:c>
      <x:c r="AE9" s="20" t="n">
        <x:f>IF(AA9=0,0,AI9/(AG9*AC9))</x:f>
        <x:v>0.005600000000000001</x:v>
      </x:c>
      <x:c r="AF9" s="20" t="n">
        <x:f>IF(AA9=0,0,AJ9/(AH9*AC9))</x:f>
        <x:v>0.00032</x:v>
      </x:c>
      <x:c r="AG9" s="18" t="n">
        <x:f>IF(ISNUMBER('原始输入与口径'!T11),'原始输入与口径'!T11,"缺失")</x:f>
        <x:v>200</x:v>
      </x:c>
      <x:c r="AH9" s="18" t="n">
        <x:f>IF(ISNUMBER('原始输入与口径'!Y11),'原始输入与口径'!Y11,"缺失")</x:f>
        <x:v>200</x:v>
      </x:c>
      <x:c r="AI9" s="18" t="n">
        <x:f>IF(ISNUMBER('原始输入与口径'!AI11),'原始输入与口径'!AI11,"缺失")</x:f>
        <x:v>0.28</x:v>
      </x:c>
      <x:c r="AJ9" s="18" t="n">
        <x:f>IF(ISNUMBER('原始输入与口径'!AL11),'原始输入与口径'!AL11,"缺失")</x:f>
        <x:v>0.016</x:v>
      </x:c>
      <x:c r="AK9" s="18" t="str">
        <x:f>IF(ISNUMBER('原始输入与口径'!O11),'原始输入与口径'!O11,"缺失")</x:f>
        <x:v>缺失</x:v>
      </x:c>
      <x:c r="AL9" s="18" t="n">
        <x:f>SUMIFS('相位SOC复算'!$N$7:$N$443,'相位SOC复算'!$S$7:$S$443,3)</x:f>
        <x:v>0</x:v>
      </x:c>
      <x:c r="AM9" s="18" t="n">
        <x:f>SUMIFS('相位SOC复算'!$Q$7:$Q$443,'相位SOC复算'!$S$7:$S$443,3)</x:f>
        <x:v>0</x:v>
      </x:c>
      <x:c r="AN9" s="18" t="n">
        <x:f>SUMIFS('相位SOC复算'!$R$7:$R$443,'相位SOC复算'!$S$7:$S$443,3)</x:f>
        <x:v>0</x:v>
      </x:c>
      <x:c r="AO9" s="18" t="n">
        <x:f>'相位SOC复算'!J13</x:f>
        <x:v>10</x:v>
      </x:c>
      <x:c r="AP9" s="18" t="n">
        <x:f>AO9-J9</x:f>
        <x:v>0</x:v>
      </x:c>
      <x:c r="AQ9" s="18" t="n">
        <x:f>IF(ISBLANK('原始输入与口径'!M11),"",'原始输入与口径'!M11)</x:f>
        <x:v>4.9741</x:v>
      </x:c>
      <x:c r="AR9" s="21" t="n">
        <x:f>IF(ISBLANK('原始输入与口径'!L11),"",'原始输入与口径'!L11)</x:f>
        <x:v>45657</x:v>
      </x:c>
      <x:c r="AS9" s="17" t="n">
        <x:f>IF(ISBLANK('原始输入与口径'!A11),"",'原始输入与口径'!A11)</x:f>
        <x:v>45657.9375</x:v>
      </x:c>
      <x:c r="AT9" s="18" t="str">
        <x:f>IF(ISBLANK('原始输入与口径'!I11),"",'原始输入与口径'!I11)</x:f>
        <x:v>2024-12-31_24</x:v>
      </x:c>
      <x:c r="AU9" s="19" t="n">
        <x:f>IF(ISBLANK('原始输入与口径'!J11),"",'原始输入与口径'!J11)</x:f>
        <x:v>60</x:v>
      </x:c>
      <x:c r="AV9" s="18" t="str">
        <x:f>IF(ISBLANK('原始输入与口径'!BB11),"",'原始输入与口径'!BB11)</x:f>
        <x:v>OK</x:v>
      </x:c>
    </x:row>
    <x:row r="10" ht="21" customHeight="1">
      <x:c r="A10" s="17" t="n">
        <x:f>45658.03125</x:f>
        <x:v>45658.03125</x:v>
      </x:c>
      <x:c r="B10" s="23" t="n">
        <x:f>IF(ISNUMBER('原始输入与口径'!H12),'原始输入与口径'!H12,"缺失")</x:f>
        <x:v>117.75</x:v>
      </x:c>
      <x:c r="C10" s="23" t="str">
        <x:f>IF(ISNUMBER('原始输入与口径'!R12),'原始输入与口径'!R12,"缺失")</x:f>
        <x:v>缺失</x:v>
      </x:c>
      <x:c r="D10" s="23" t="n">
        <x:f>IF(ISNUMBER('原始输入与口径'!W12),'原始输入与口径'!W12,"缺失")</x:f>
        <x:v>13.670814820771596</x:v>
      </x:c>
      <x:c r="E10" s="23" t="n">
        <x:f>IF(ISNUMBER('原始输入与口径'!AB12),'原始输入与口径'!AB12,"缺失")</x:f>
        <x:v>14.710198829939085</x:v>
      </x:c>
      <x:c r="F10" s="23" t="n">
        <x:f>IF(ISNUMBER('原始输入与口径'!AG12),'原始输入与口径'!AG12,"缺失")</x:f>
        <x:v>136.70814820771596</x:v>
      </x:c>
      <x:c r="G10" s="23" t="n">
        <x:f>IF(ISNUMBER('原始输入与口径'!AJ12),'原始输入与口径'!AJ12,"缺失")</x:f>
        <x:v>60.1113769325104</x:v>
      </x:c>
      <x:c r="H10" s="23" t="str">
        <x:f>"未模拟"</x:f>
        <x:v>未模拟</x:v>
      </x:c>
      <x:c r="I10" s="24" t="n">
        <x:f>'原始输入与口径'!BD12</x:f>
        <x:v>10</x:v>
      </x:c>
      <x:c r="J10" s="24" t="n">
        <x:f>'原始输入与口径'!BE12</x:f>
        <x:v>10</x:v>
      </x:c>
      <x:c r="K10" s="24" t="n">
        <x:f>'原始输入与口径'!BF12</x:f>
        <x:v>0</x:v>
      </x:c>
      <x:c r="L10" s="24" t="n">
        <x:f>'原始输入与口径'!BG12</x:f>
        <x:v>0</x:v>
      </x:c>
      <x:c r="M10" s="24" t="n">
        <x:f>'原始输入与口径'!BH12</x:f>
        <x:v>0</x:v>
      </x:c>
      <x:c r="N10" s="24" t="n">
        <x:f>'原始输入与口径'!BI12</x:f>
        <x:v>0</x:v>
      </x:c>
      <x:c r="O10" s="24" t="n">
        <x:f>M10*AE10*AC10</x:f>
        <x:v>0</x:v>
      </x:c>
      <x:c r="P10" s="24" t="n">
        <x:f>N10*AF10*AC10</x:f>
        <x:v>0</x:v>
      </x:c>
      <x:c r="Q10" s="25" t="n">
        <x:f>IF(K10=0,0,IF(ISNUMBER(B10),K10*AC10*B10,NA()))</x:f>
        <x:v>0</x:v>
      </x:c>
      <x:c r="R10" s="25" t="n">
        <x:f>IF(L10=0,0,IF(ISNUMBER(C10),L10*AC10*C10*AD10,NA()))</x:f>
        <x:v>0</x:v>
      </x:c>
      <x:c r="S10" s="25" t="n">
        <x:f>IF(M10=0,0,IF(ISNUMBER(D10),M10*AC10*D10*AD10,NA()))</x:f>
        <x:v>0</x:v>
      </x:c>
      <x:c r="T10" s="25" t="n">
        <x:f>IF(N10=0,0,IF(ISNUMBER(E10),N10*AC10*E10*AD10,NA()))</x:f>
        <x:v>0</x:v>
      </x:c>
      <x:c r="U10" s="25" t="n">
        <x:f>IF(O10=0,0,IF(ISNUMBER(F10),O10*F10,NA()))</x:f>
        <x:v>0</x:v>
      </x:c>
      <x:c r="V10" s="25" t="n">
        <x:f>IF(P10=0,0,IF(ISNUMBER(G10),-P10*G10,NA()))</x:f>
        <x:v>0</x:v>
      </x:c>
      <x:c r="W10" s="25" t="n">
        <x:f>SUM(Q10:V10)</x:f>
        <x:v>0</x:v>
      </x:c>
      <x:c r="X10" s="18" t="n">
        <x:f>'原始输入与口径'!BR12</x:f>
        <x:v>0</x:v>
      </x:c>
      <x:c r="Y10" s="18" t="n">
        <x:f>W10-X10</x:f>
        <x:v>0</x:v>
      </x:c>
      <x:c r="Z10" s="18" t="str">
        <x:f>"1月1日执行｜初始化零订单"</x:f>
        <x:v>1月1日执行｜初始化零订单</x:v>
      </x:c>
      <x:c r="AA10" s="19" t="n">
        <x:f>IF('原始输入与口径'!AW12,1,0)</x:f>
        <x:v>1</x:v>
      </x:c>
      <x:c r="AB10" s="19" t="n">
        <x:f>IF('原始输入与口径'!AY12,1,0)</x:f>
        <x:v>0</x:v>
      </x:c>
      <x:c r="AC10" s="18" t="n">
        <x:f>'原始输入与口径'!E12</x:f>
        <x:v>0.25</x:v>
      </x:c>
      <x:c r="AD10" s="20" t="n">
        <x:f>'原始输入与口径'!$F$5</x:f>
        <x:v>1</x:v>
      </x:c>
      <x:c r="AE10" s="20" t="n">
        <x:f>IF(AA10=0,0,AI10/(AG10*AC10))</x:f>
        <x:v>0.00414</x:v>
      </x:c>
      <x:c r="AF10" s="20" t="n">
        <x:f>IF(AA10=0,0,AJ10/(AH10*AC10))</x:f>
        <x:v>0.00064</x:v>
      </x:c>
      <x:c r="AG10" s="18" t="n">
        <x:f>IF(ISNUMBER('原始输入与口径'!T12),'原始输入与口径'!T12,"缺失")</x:f>
        <x:v>200</x:v>
      </x:c>
      <x:c r="AH10" s="18" t="n">
        <x:f>IF(ISNUMBER('原始输入与口径'!Y12),'原始输入与口径'!Y12,"缺失")</x:f>
        <x:v>200</x:v>
      </x:c>
      <x:c r="AI10" s="18" t="n">
        <x:f>IF(ISNUMBER('原始输入与口径'!AI12),'原始输入与口径'!AI12,"缺失")</x:f>
        <x:v>0.207</x:v>
      </x:c>
      <x:c r="AJ10" s="18" t="n">
        <x:f>IF(ISNUMBER('原始输入与口径'!AL12),'原始输入与口径'!AL12,"缺失")</x:f>
        <x:v>0.032</x:v>
      </x:c>
      <x:c r="AK10" s="18" t="str">
        <x:f>IF(ISNUMBER('原始输入与口径'!O12),'原始输入与口径'!O12,"缺失")</x:f>
        <x:v>缺失</x:v>
      </x:c>
      <x:c r="AL10" s="18" t="n">
        <x:f>SUMIFS('相位SOC复算'!$N$7:$N$443,'相位SOC复算'!$S$7:$S$443,4)</x:f>
        <x:v>0</x:v>
      </x:c>
      <x:c r="AM10" s="18" t="n">
        <x:f>SUMIFS('相位SOC复算'!$Q$7:$Q$443,'相位SOC复算'!$S$7:$S$443,4)</x:f>
        <x:v>0</x:v>
      </x:c>
      <x:c r="AN10" s="18" t="n">
        <x:f>SUMIFS('相位SOC复算'!$R$7:$R$443,'相位SOC复算'!$S$7:$S$443,4)</x:f>
        <x:v>0</x:v>
      </x:c>
      <x:c r="AO10" s="18" t="n">
        <x:f>'相位SOC复算'!J16</x:f>
        <x:v>10</x:v>
      </x:c>
      <x:c r="AP10" s="18" t="n">
        <x:f>AO10-J10</x:f>
        <x:v>0</x:v>
      </x:c>
      <x:c r="AQ10" s="18" t="n">
        <x:f>IF(ISBLANK('原始输入与口径'!M12),"",'原始输入与口径'!M12)</x:f>
        <x:v>4.9741</x:v>
      </x:c>
      <x:c r="AR10" s="21" t="n">
        <x:f>IF(ISBLANK('原始输入与口径'!L12),"",'原始输入与口径'!L12)</x:f>
        <x:v>45657</x:v>
      </x:c>
      <x:c r="AS10" s="17" t="n">
        <x:f>IF(ISBLANK('原始输入与口径'!A12),"",'原始输入与口径'!A12)</x:f>
        <x:v>45657.947916666664</x:v>
      </x:c>
      <x:c r="AT10" s="18" t="str">
        <x:f>IF(ISBLANK('原始输入与口径'!I12),"",'原始输入与口径'!I12)</x:f>
        <x:v>2024-12-31_24</x:v>
      </x:c>
      <x:c r="AU10" s="19" t="n">
        <x:f>IF(ISBLANK('原始输入与口径'!J12),"",'原始输入与口径'!J12)</x:f>
        <x:v>60</x:v>
      </x:c>
      <x:c r="AV10" s="18" t="str">
        <x:f>IF(ISBLANK('原始输入与口径'!BB12),"",'原始输入与口径'!BB12)</x:f>
        <x:v>OK</x:v>
      </x:c>
    </x:row>
    <x:row r="11" ht="21" customHeight="1">
      <x:c r="A11" s="17" t="n">
        <x:f>45658.041666666664</x:f>
        <x:v>45658.041666666664</x:v>
      </x:c>
      <x:c r="B11" s="23" t="n">
        <x:f>IF(ISNUMBER('原始输入与口径'!H13),'原始输入与口径'!H13,"缺失")</x:f>
        <x:v>138.7</x:v>
      </x:c>
      <x:c r="C11" s="23" t="str">
        <x:f>IF(ISNUMBER('原始输入与口径'!R13),'原始输入与口径'!R13,"缺失")</x:f>
        <x:v>缺失</x:v>
      </x:c>
      <x:c r="D11" s="23" t="n">
        <x:f>IF(ISNUMBER('原始输入与口径'!W13),'原始输入与口径'!W13,"缺失")</x:f>
        <x:v>13.670814820771596</x:v>
      </x:c>
      <x:c r="E11" s="23" t="n">
        <x:f>IF(ISNUMBER('原始输入与口径'!AB13),'原始输入与口径'!AB13,"缺失")</x:f>
        <x:v>14.710198829939085</x:v>
      </x:c>
      <x:c r="F11" s="23" t="n">
        <x:f>IF(ISNUMBER('原始输入与口径'!AG13),'原始输入与口径'!AG13,"缺失")</x:f>
        <x:v>136.70814820771596</x:v>
      </x:c>
      <x:c r="G11" s="23" t="n">
        <x:f>IF(ISNUMBER('原始输入与口径'!AJ13),'原始输入与口径'!AJ13,"缺失")</x:f>
        <x:v>60.1113769325104</x:v>
      </x:c>
      <x:c r="H11" s="23" t="str">
        <x:f>"未模拟"</x:f>
        <x:v>未模拟</x:v>
      </x:c>
      <x:c r="I11" s="24" t="n">
        <x:f>'原始输入与口径'!BD13</x:f>
        <x:v>10</x:v>
      </x:c>
      <x:c r="J11" s="24" t="n">
        <x:f>'原始输入与口径'!BE13</x:f>
        <x:v>10</x:v>
      </x:c>
      <x:c r="K11" s="24" t="n">
        <x:f>'原始输入与口径'!BF13</x:f>
        <x:v>0</x:v>
      </x:c>
      <x:c r="L11" s="24" t="n">
        <x:f>'原始输入与口径'!BG13</x:f>
        <x:v>0</x:v>
      </x:c>
      <x:c r="M11" s="24" t="n">
        <x:f>'原始输入与口径'!BH13</x:f>
        <x:v>0</x:v>
      </x:c>
      <x:c r="N11" s="24" t="n">
        <x:f>'原始输入与口径'!BI13</x:f>
        <x:v>0</x:v>
      </x:c>
      <x:c r="O11" s="24" t="n">
        <x:f>M11*AE11*AC11</x:f>
        <x:v>0</x:v>
      </x:c>
      <x:c r="P11" s="24" t="n">
        <x:f>N11*AF11*AC11</x:f>
        <x:v>0</x:v>
      </x:c>
      <x:c r="Q11" s="25" t="n">
        <x:f>IF(K11=0,0,IF(ISNUMBER(B11),K11*AC11*B11,NA()))</x:f>
        <x:v>0</x:v>
      </x:c>
      <x:c r="R11" s="25" t="n">
        <x:f>IF(L11=0,0,IF(ISNUMBER(C11),L11*AC11*C11*AD11,NA()))</x:f>
        <x:v>0</x:v>
      </x:c>
      <x:c r="S11" s="25" t="n">
        <x:f>IF(M11=0,0,IF(ISNUMBER(D11),M11*AC11*D11*AD11,NA()))</x:f>
        <x:v>0</x:v>
      </x:c>
      <x:c r="T11" s="25" t="n">
        <x:f>IF(N11=0,0,IF(ISNUMBER(E11),N11*AC11*E11*AD11,NA()))</x:f>
        <x:v>0</x:v>
      </x:c>
      <x:c r="U11" s="25" t="n">
        <x:f>IF(O11=0,0,IF(ISNUMBER(F11),O11*F11,NA()))</x:f>
        <x:v>0</x:v>
      </x:c>
      <x:c r="V11" s="25" t="n">
        <x:f>IF(P11=0,0,IF(ISNUMBER(G11),-P11*G11,NA()))</x:f>
        <x:v>0</x:v>
      </x:c>
      <x:c r="W11" s="25" t="n">
        <x:f>SUM(Q11:V11)</x:f>
        <x:v>0</x:v>
      </x:c>
      <x:c r="X11" s="18" t="n">
        <x:f>'原始输入与口径'!BR13</x:f>
        <x:v>0</x:v>
      </x:c>
      <x:c r="Y11" s="18" t="n">
        <x:f>W11-X11</x:f>
        <x:v>0</x:v>
      </x:c>
      <x:c r="Z11" s="18" t="str">
        <x:f>"1月1日执行｜初始化零订单"</x:f>
        <x:v>1月1日执行｜初始化零订单</x:v>
      </x:c>
      <x:c r="AA11" s="19" t="n">
        <x:f>IF('原始输入与口径'!AW13,1,0)</x:f>
        <x:v>1</x:v>
      </x:c>
      <x:c r="AB11" s="19" t="n">
        <x:f>IF('原始输入与口径'!AY13,1,0)</x:f>
        <x:v>0</x:v>
      </x:c>
      <x:c r="AC11" s="18" t="n">
        <x:f>'原始输入与口径'!E13</x:f>
        <x:v>0.25</x:v>
      </x:c>
      <x:c r="AD11" s="20" t="n">
        <x:f>'原始输入与口径'!$F$5</x:f>
        <x:v>1</x:v>
      </x:c>
      <x:c r="AE11" s="20" t="n">
        <x:f>IF(AA11=0,0,AI11/(AG11*AC11))</x:f>
        <x:v>0.005520000000000001</x:v>
      </x:c>
      <x:c r="AF11" s="20" t="n">
        <x:f>IF(AA11=0,0,AJ11/(AH11*AC11))</x:f>
        <x:v>0.0003</x:v>
      </x:c>
      <x:c r="AG11" s="18" t="n">
        <x:f>IF(ISNUMBER('原始输入与口径'!T13),'原始输入与口径'!T13,"缺失")</x:f>
        <x:v>200</x:v>
      </x:c>
      <x:c r="AH11" s="18" t="n">
        <x:f>IF(ISNUMBER('原始输入与口径'!Y13),'原始输入与口径'!Y13,"缺失")</x:f>
        <x:v>200</x:v>
      </x:c>
      <x:c r="AI11" s="18" t="n">
        <x:f>IF(ISNUMBER('原始输入与口径'!AI13),'原始输入与口径'!AI13,"缺失")</x:f>
        <x:v>0.276</x:v>
      </x:c>
      <x:c r="AJ11" s="18" t="n">
        <x:f>IF(ISNUMBER('原始输入与口径'!AL13),'原始输入与口径'!AL13,"缺失")</x:f>
        <x:v>0.015</x:v>
      </x:c>
      <x:c r="AK11" s="18" t="str">
        <x:f>IF(ISNUMBER('原始输入与口径'!O13),'原始输入与口径'!O13,"缺失")</x:f>
        <x:v>缺失</x:v>
      </x:c>
      <x:c r="AL11" s="18" t="n">
        <x:f>SUMIFS('相位SOC复算'!$N$7:$N$443,'相位SOC复算'!$S$7:$S$443,5)</x:f>
        <x:v>0</x:v>
      </x:c>
      <x:c r="AM11" s="18" t="n">
        <x:f>SUMIFS('相位SOC复算'!$Q$7:$Q$443,'相位SOC复算'!$S$7:$S$443,5)</x:f>
        <x:v>0</x:v>
      </x:c>
      <x:c r="AN11" s="18" t="n">
        <x:f>SUMIFS('相位SOC复算'!$R$7:$R$443,'相位SOC复算'!$S$7:$S$443,5)</x:f>
        <x:v>0</x:v>
      </x:c>
      <x:c r="AO11" s="18" t="n">
        <x:f>'相位SOC复算'!J19</x:f>
        <x:v>10</x:v>
      </x:c>
      <x:c r="AP11" s="18" t="n">
        <x:f>AO11-J11</x:f>
        <x:v>0</x:v>
      </x:c>
      <x:c r="AQ11" s="18" t="n">
        <x:f>IF(ISBLANK('原始输入与口径'!M13),"",'原始输入与口径'!M13)</x:f>
        <x:v>4.9741</x:v>
      </x:c>
      <x:c r="AR11" s="21" t="n">
        <x:f>IF(ISBLANK('原始输入与口径'!L13),"",'原始输入与口径'!L13)</x:f>
        <x:v>45657</x:v>
      </x:c>
      <x:c r="AS11" s="17" t="n">
        <x:f>IF(ISBLANK('原始输入与口径'!A13),"",'原始输入与口径'!A13)</x:f>
        <x:v>45657.958333333336</x:v>
      </x:c>
      <x:c r="AT11" s="18" t="str">
        <x:f>IF(ISBLANK('原始输入与口径'!I13),"",'原始输入与口径'!I13)</x:f>
        <x:v>2025-01-01_1</x:v>
      </x:c>
      <x:c r="AU11" s="19" t="n">
        <x:f>IF(ISBLANK('原始输入与口径'!J13),"",'原始输入与口径'!J13)</x:f>
        <x:v>60</x:v>
      </x:c>
      <x:c r="AV11" s="18" t="str">
        <x:f>IF(ISBLANK('原始输入与口径'!BB13),"",'原始输入与口径'!BB13)</x:f>
        <x:v>OK</x:v>
      </x:c>
    </x:row>
    <x:row r="12" ht="21" customHeight="1">
      <x:c r="A12" s="17" t="n">
        <x:f>45658.052083333336</x:f>
        <x:v>45658.052083333336</x:v>
      </x:c>
      <x:c r="B12" s="23" t="n">
        <x:f>IF(ISNUMBER('原始输入与口径'!H14),'原始输入与口径'!H14,"缺失")</x:f>
        <x:v>138.7</x:v>
      </x:c>
      <x:c r="C12" s="23" t="str">
        <x:f>IF(ISNUMBER('原始输入与口径'!R14),'原始输入与口径'!R14,"缺失")</x:f>
        <x:v>缺失</x:v>
      </x:c>
      <x:c r="D12" s="23" t="n">
        <x:f>IF(ISNUMBER('原始输入与口径'!W14),'原始输入与口径'!W14,"缺失")</x:f>
        <x:v>13.670814820771596</x:v>
      </x:c>
      <x:c r="E12" s="23" t="n">
        <x:f>IF(ISNUMBER('原始输入与口径'!AB14),'原始输入与口径'!AB14,"缺失")</x:f>
        <x:v>14.710198829939085</x:v>
      </x:c>
      <x:c r="F12" s="23" t="n">
        <x:f>IF(ISNUMBER('原始输入与口径'!AG14),'原始输入与口径'!AG14,"缺失")</x:f>
        <x:v>136.70814820771596</x:v>
      </x:c>
      <x:c r="G12" s="23" t="n">
        <x:f>IF(ISNUMBER('原始输入与口径'!AJ14),'原始输入与口径'!AJ14,"缺失")</x:f>
        <x:v>60.1113769325104</x:v>
      </x:c>
      <x:c r="H12" s="23" t="str">
        <x:f>"未模拟"</x:f>
        <x:v>未模拟</x:v>
      </x:c>
      <x:c r="I12" s="24" t="n">
        <x:f>'原始输入与口径'!BD14</x:f>
        <x:v>10</x:v>
      </x:c>
      <x:c r="J12" s="24" t="n">
        <x:f>'原始输入与口径'!BE14</x:f>
        <x:v>10</x:v>
      </x:c>
      <x:c r="K12" s="24" t="n">
        <x:f>'原始输入与口径'!BF14</x:f>
        <x:v>0</x:v>
      </x:c>
      <x:c r="L12" s="24" t="n">
        <x:f>'原始输入与口径'!BG14</x:f>
        <x:v>0</x:v>
      </x:c>
      <x:c r="M12" s="24" t="n">
        <x:f>'原始输入与口径'!BH14</x:f>
        <x:v>0</x:v>
      </x:c>
      <x:c r="N12" s="24" t="n">
        <x:f>'原始输入与口径'!BI14</x:f>
        <x:v>0</x:v>
      </x:c>
      <x:c r="O12" s="24" t="n">
        <x:f>M12*AE12*AC12</x:f>
        <x:v>0</x:v>
      </x:c>
      <x:c r="P12" s="24" t="n">
        <x:f>N12*AF12*AC12</x:f>
        <x:v>0</x:v>
      </x:c>
      <x:c r="Q12" s="25" t="n">
        <x:f>IF(K12=0,0,IF(ISNUMBER(B12),K12*AC12*B12,NA()))</x:f>
        <x:v>0</x:v>
      </x:c>
      <x:c r="R12" s="25" t="n">
        <x:f>IF(L12=0,0,IF(ISNUMBER(C12),L12*AC12*C12*AD12,NA()))</x:f>
        <x:v>0</x:v>
      </x:c>
      <x:c r="S12" s="25" t="n">
        <x:f>IF(M12=0,0,IF(ISNUMBER(D12),M12*AC12*D12*AD12,NA()))</x:f>
        <x:v>0</x:v>
      </x:c>
      <x:c r="T12" s="25" t="n">
        <x:f>IF(N12=0,0,IF(ISNUMBER(E12),N12*AC12*E12*AD12,NA()))</x:f>
        <x:v>0</x:v>
      </x:c>
      <x:c r="U12" s="25" t="n">
        <x:f>IF(O12=0,0,IF(ISNUMBER(F12),O12*F12,NA()))</x:f>
        <x:v>0</x:v>
      </x:c>
      <x:c r="V12" s="25" t="n">
        <x:f>IF(P12=0,0,IF(ISNUMBER(G12),-P12*G12,NA()))</x:f>
        <x:v>0</x:v>
      </x:c>
      <x:c r="W12" s="25" t="n">
        <x:f>SUM(Q12:V12)</x:f>
        <x:v>0</x:v>
      </x:c>
      <x:c r="X12" s="18" t="n">
        <x:f>'原始输入与口径'!BR14</x:f>
        <x:v>0</x:v>
      </x:c>
      <x:c r="Y12" s="18" t="n">
        <x:f>W12-X12</x:f>
        <x:v>0</x:v>
      </x:c>
      <x:c r="Z12" s="18" t="str">
        <x:f>"1月1日执行｜初始化零订单"</x:f>
        <x:v>1月1日执行｜初始化零订单</x:v>
      </x:c>
      <x:c r="AA12" s="19" t="n">
        <x:f>IF('原始输入与口径'!AW14,1,0)</x:f>
        <x:v>1</x:v>
      </x:c>
      <x:c r="AB12" s="19" t="n">
        <x:f>IF('原始输入与口径'!AY14,1,0)</x:f>
        <x:v>0</x:v>
      </x:c>
      <x:c r="AC12" s="18" t="n">
        <x:f>'原始输入与口径'!E14</x:f>
        <x:v>0.25</x:v>
      </x:c>
      <x:c r="AD12" s="20" t="n">
        <x:f>'原始输入与口径'!$F$5</x:f>
        <x:v>1</x:v>
      </x:c>
      <x:c r="AE12" s="20" t="n">
        <x:f>IF(AA12=0,0,AI12/(AG12*AC12))</x:f>
        <x:v>0.00256</x:v>
      </x:c>
      <x:c r="AF12" s="20" t="n">
        <x:f>IF(AA12=0,0,AJ12/(AH12*AC12))</x:f>
        <x:v>0.00028000000000000003</x:v>
      </x:c>
      <x:c r="AG12" s="18" t="n">
        <x:f>IF(ISNUMBER('原始输入与口径'!T14),'原始输入与口径'!T14,"缺失")</x:f>
        <x:v>200</x:v>
      </x:c>
      <x:c r="AH12" s="18" t="n">
        <x:f>IF(ISNUMBER('原始输入与口径'!Y14),'原始输入与口径'!Y14,"缺失")</x:f>
        <x:v>200</x:v>
      </x:c>
      <x:c r="AI12" s="18" t="n">
        <x:f>IF(ISNUMBER('原始输入与口径'!AI14),'原始输入与口径'!AI14,"缺失")</x:f>
        <x:v>0.128</x:v>
      </x:c>
      <x:c r="AJ12" s="18" t="n">
        <x:f>IF(ISNUMBER('原始输入与口径'!AL14),'原始输入与口径'!AL14,"缺失")</x:f>
        <x:v>0.014</x:v>
      </x:c>
      <x:c r="AK12" s="18" t="str">
        <x:f>IF(ISNUMBER('原始输入与口径'!O14),'原始输入与口径'!O14,"缺失")</x:f>
        <x:v>缺失</x:v>
      </x:c>
      <x:c r="AL12" s="18" t="n">
        <x:f>SUMIFS('相位SOC复算'!$N$7:$N$443,'相位SOC复算'!$S$7:$S$443,6)</x:f>
        <x:v>0</x:v>
      </x:c>
      <x:c r="AM12" s="18" t="n">
        <x:f>SUMIFS('相位SOC复算'!$Q$7:$Q$443,'相位SOC复算'!$S$7:$S$443,6)</x:f>
        <x:v>0</x:v>
      </x:c>
      <x:c r="AN12" s="18" t="n">
        <x:f>SUMIFS('相位SOC复算'!$R$7:$R$443,'相位SOC复算'!$S$7:$S$443,6)</x:f>
        <x:v>0</x:v>
      </x:c>
      <x:c r="AO12" s="18" t="n">
        <x:f>'相位SOC复算'!J22</x:f>
        <x:v>10</x:v>
      </x:c>
      <x:c r="AP12" s="18" t="n">
        <x:f>AO12-J12</x:f>
        <x:v>0</x:v>
      </x:c>
      <x:c r="AQ12" s="18" t="n">
        <x:f>IF(ISBLANK('原始输入与口径'!M14),"",'原始输入与口径'!M14)</x:f>
        <x:v>4.9741</x:v>
      </x:c>
      <x:c r="AR12" s="21" t="n">
        <x:f>IF(ISBLANK('原始输入与口径'!L14),"",'原始输入与口径'!L14)</x:f>
        <x:v>45657</x:v>
      </x:c>
      <x:c r="AS12" s="17" t="n">
        <x:f>IF(ISBLANK('原始输入与口径'!A14),"",'原始输入与口径'!A14)</x:f>
        <x:v>45657.96875</x:v>
      </x:c>
      <x:c r="AT12" s="18" t="str">
        <x:f>IF(ISBLANK('原始输入与口径'!I14),"",'原始输入与口径'!I14)</x:f>
        <x:v>2025-01-01_1</x:v>
      </x:c>
      <x:c r="AU12" s="19" t="n">
        <x:f>IF(ISBLANK('原始输入与口径'!J14),"",'原始输入与口径'!J14)</x:f>
        <x:v>60</x:v>
      </x:c>
      <x:c r="AV12" s="18" t="str">
        <x:f>IF(ISBLANK('原始输入与口径'!BB14),"",'原始输入与口径'!BB14)</x:f>
        <x:v>OK</x:v>
      </x:c>
    </x:row>
    <x:row r="13" ht="21" customHeight="1">
      <x:c r="A13" s="17" t="n">
        <x:f>45658.0625</x:f>
        <x:v>45658.0625</x:v>
      </x:c>
      <x:c r="B13" s="23" t="n">
        <x:f>IF(ISNUMBER('原始输入与口径'!H15),'原始输入与口径'!H15,"缺失")</x:f>
        <x:v>138.7</x:v>
      </x:c>
      <x:c r="C13" s="23" t="str">
        <x:f>IF(ISNUMBER('原始输入与口径'!R15),'原始输入与口径'!R15,"缺失")</x:f>
        <x:v>缺失</x:v>
      </x:c>
      <x:c r="D13" s="23" t="n">
        <x:f>IF(ISNUMBER('原始输入与口径'!W15),'原始输入与口径'!W15,"缺失")</x:f>
        <x:v>13.670814820771596</x:v>
      </x:c>
      <x:c r="E13" s="23" t="n">
        <x:f>IF(ISNUMBER('原始输入与口径'!AB15),'原始输入与口径'!AB15,"缺失")</x:f>
        <x:v>14.710198829939085</x:v>
      </x:c>
      <x:c r="F13" s="23" t="n">
        <x:f>IF(ISNUMBER('原始输入与口径'!AG15),'原始输入与口径'!AG15,"缺失")</x:f>
        <x:v>136.70814820771596</x:v>
      </x:c>
      <x:c r="G13" s="23" t="n">
        <x:f>IF(ISNUMBER('原始输入与口径'!AJ15),'原始输入与口径'!AJ15,"缺失")</x:f>
        <x:v>59.9069178343821</x:v>
      </x:c>
      <x:c r="H13" s="23" t="str">
        <x:f>"未模拟"</x:f>
        <x:v>未模拟</x:v>
      </x:c>
      <x:c r="I13" s="24" t="n">
        <x:f>'原始输入与口径'!BD15</x:f>
        <x:v>10</x:v>
      </x:c>
      <x:c r="J13" s="24" t="n">
        <x:f>'原始输入与口径'!BE15</x:f>
        <x:v>10</x:v>
      </x:c>
      <x:c r="K13" s="24" t="n">
        <x:f>'原始输入与口径'!BF15</x:f>
        <x:v>0</x:v>
      </x:c>
      <x:c r="L13" s="24" t="n">
        <x:f>'原始输入与口径'!BG15</x:f>
        <x:v>0</x:v>
      </x:c>
      <x:c r="M13" s="24" t="n">
        <x:f>'原始输入与口径'!BH15</x:f>
        <x:v>0</x:v>
      </x:c>
      <x:c r="N13" s="24" t="n">
        <x:f>'原始输入与口径'!BI15</x:f>
        <x:v>0</x:v>
      </x:c>
      <x:c r="O13" s="24" t="n">
        <x:f>M13*AE13*AC13</x:f>
        <x:v>0</x:v>
      </x:c>
      <x:c r="P13" s="24" t="n">
        <x:f>N13*AF13*AC13</x:f>
        <x:v>0</x:v>
      </x:c>
      <x:c r="Q13" s="25" t="n">
        <x:f>IF(K13=0,0,IF(ISNUMBER(B13),K13*AC13*B13,NA()))</x:f>
        <x:v>0</x:v>
      </x:c>
      <x:c r="R13" s="25" t="n">
        <x:f>IF(L13=0,0,IF(ISNUMBER(C13),L13*AC13*C13*AD13,NA()))</x:f>
        <x:v>0</x:v>
      </x:c>
      <x:c r="S13" s="25" t="n">
        <x:f>IF(M13=0,0,IF(ISNUMBER(D13),M13*AC13*D13*AD13,NA()))</x:f>
        <x:v>0</x:v>
      </x:c>
      <x:c r="T13" s="25" t="n">
        <x:f>IF(N13=0,0,IF(ISNUMBER(E13),N13*AC13*E13*AD13,NA()))</x:f>
        <x:v>0</x:v>
      </x:c>
      <x:c r="U13" s="25" t="n">
        <x:f>IF(O13=0,0,IF(ISNUMBER(F13),O13*F13,NA()))</x:f>
        <x:v>0</x:v>
      </x:c>
      <x:c r="V13" s="25" t="n">
        <x:f>IF(P13=0,0,IF(ISNUMBER(G13),-P13*G13,NA()))</x:f>
        <x:v>0</x:v>
      </x:c>
      <x:c r="W13" s="25" t="n">
        <x:f>SUM(Q13:V13)</x:f>
        <x:v>0</x:v>
      </x:c>
      <x:c r="X13" s="18" t="n">
        <x:f>'原始输入与口径'!BR15</x:f>
        <x:v>0</x:v>
      </x:c>
      <x:c r="Y13" s="18" t="n">
        <x:f>W13-X13</x:f>
        <x:v>0</x:v>
      </x:c>
      <x:c r="Z13" s="18" t="str">
        <x:f>"1月1日执行｜初始化零订单"</x:f>
        <x:v>1月1日执行｜初始化零订单</x:v>
      </x:c>
      <x:c r="AA13" s="19" t="n">
        <x:f>IF('原始输入与口径'!AW15,1,0)</x:f>
        <x:v>1</x:v>
      </x:c>
      <x:c r="AB13" s="19" t="n">
        <x:f>IF('原始输入与口径'!AY15,1,0)</x:f>
        <x:v>0</x:v>
      </x:c>
      <x:c r="AC13" s="18" t="n">
        <x:f>'原始输入与口径'!E15</x:f>
        <x:v>0.25</x:v>
      </x:c>
      <x:c r="AD13" s="20" t="n">
        <x:f>'原始输入与口径'!$F$5</x:f>
        <x:v>1</x:v>
      </x:c>
      <x:c r="AE13" s="20" t="n">
        <x:f>IF(AA13=0,0,AI13/(AG13*AC13))</x:f>
        <x:v>0.00046</x:v>
      </x:c>
      <x:c r="AF13" s="20" t="n">
        <x:f>IF(AA13=0,0,AJ13/(AH13*AC13))</x:f>
        <x:v>0.0023</x:v>
      </x:c>
      <x:c r="AG13" s="18" t="n">
        <x:f>IF(ISNUMBER('原始输入与口径'!T15),'原始输入与口径'!T15,"缺失")</x:f>
        <x:v>200</x:v>
      </x:c>
      <x:c r="AH13" s="18" t="n">
        <x:f>IF(ISNUMBER('原始输入与口径'!Y15),'原始输入与口径'!Y15,"缺失")</x:f>
        <x:v>200</x:v>
      </x:c>
      <x:c r="AI13" s="18" t="n">
        <x:f>IF(ISNUMBER('原始输入与口径'!AI15),'原始输入与口径'!AI15,"缺失")</x:f>
        <x:v>0.023</x:v>
      </x:c>
      <x:c r="AJ13" s="18" t="n">
        <x:f>IF(ISNUMBER('原始输入与口径'!AL15),'原始输入与口径'!AL15,"缺失")</x:f>
        <x:v>0.115</x:v>
      </x:c>
      <x:c r="AK13" s="18" t="str">
        <x:f>IF(ISNUMBER('原始输入与口径'!O15),'原始输入与口径'!O15,"缺失")</x:f>
        <x:v>缺失</x:v>
      </x:c>
      <x:c r="AL13" s="18" t="n">
        <x:f>SUMIFS('相位SOC复算'!$N$7:$N$443,'相位SOC复算'!$S$7:$S$443,7)</x:f>
        <x:v>0</x:v>
      </x:c>
      <x:c r="AM13" s="18" t="n">
        <x:f>SUMIFS('相位SOC复算'!$Q$7:$Q$443,'相位SOC复算'!$S$7:$S$443,7)</x:f>
        <x:v>0</x:v>
      </x:c>
      <x:c r="AN13" s="18" t="n">
        <x:f>SUMIFS('相位SOC复算'!$R$7:$R$443,'相位SOC复算'!$S$7:$S$443,7)</x:f>
        <x:v>0</x:v>
      </x:c>
      <x:c r="AO13" s="18" t="n">
        <x:f>'相位SOC复算'!J25</x:f>
        <x:v>10</x:v>
      </x:c>
      <x:c r="AP13" s="18" t="n">
        <x:f>AO13-J13</x:f>
        <x:v>0</x:v>
      </x:c>
      <x:c r="AQ13" s="18" t="n">
        <x:f>IF(ISBLANK('原始输入与口径'!M15),"",'原始输入与口径'!M15)</x:f>
        <x:v>4.9741</x:v>
      </x:c>
      <x:c r="AR13" s="21" t="n">
        <x:f>IF(ISBLANK('原始输入与口径'!L15),"",'原始输入与口径'!L15)</x:f>
        <x:v>45657</x:v>
      </x:c>
      <x:c r="AS13" s="17" t="n">
        <x:f>IF(ISBLANK('原始输入与口径'!A15),"",'原始输入与口径'!A15)</x:f>
        <x:v>45657.979166666664</x:v>
      </x:c>
      <x:c r="AT13" s="18" t="str">
        <x:f>IF(ISBLANK('原始输入与口径'!I15),"",'原始输入与口径'!I15)</x:f>
        <x:v>2025-01-01_1</x:v>
      </x:c>
      <x:c r="AU13" s="19" t="n">
        <x:f>IF(ISBLANK('原始输入与口径'!J15),"",'原始输入与口径'!J15)</x:f>
        <x:v>60</x:v>
      </x:c>
      <x:c r="AV13" s="18" t="str">
        <x:f>IF(ISBLANK('原始输入与口径'!BB15),"",'原始输入与口径'!BB15)</x:f>
        <x:v>OK</x:v>
      </x:c>
    </x:row>
    <x:row r="14" ht="21" customHeight="1">
      <x:c r="A14" s="17" t="n">
        <x:f>45658.072916666664</x:f>
        <x:v>45658.072916666664</x:v>
      </x:c>
      <x:c r="B14" s="23" t="n">
        <x:f>IF(ISNUMBER('原始输入与口径'!H16),'原始输入与口径'!H16,"缺失")</x:f>
        <x:v>138.7</x:v>
      </x:c>
      <x:c r="C14" s="23" t="str">
        <x:f>IF(ISNUMBER('原始输入与口径'!R16),'原始输入与口径'!R16,"缺失")</x:f>
        <x:v>缺失</x:v>
      </x:c>
      <x:c r="D14" s="23" t="n">
        <x:f>IF(ISNUMBER('原始输入与口径'!W16),'原始输入与口径'!W16,"缺失")</x:f>
        <x:v>13.670814820771596</x:v>
      </x:c>
      <x:c r="E14" s="23" t="n">
        <x:f>IF(ISNUMBER('原始输入与口径'!AB16),'原始输入与口径'!AB16,"缺失")</x:f>
        <x:v>14.710198829939085</x:v>
      </x:c>
      <x:c r="F14" s="23" t="n">
        <x:f>IF(ISNUMBER('原始输入与口径'!AG16),'原始输入与口径'!AG16,"缺失")</x:f>
        <x:v>136.70814820771596</x:v>
      </x:c>
      <x:c r="G14" s="23" t="n">
        <x:f>IF(ISNUMBER('原始输入与口径'!AJ16),'原始输入与口径'!AJ16,"缺失")</x:f>
        <x:v>60.062925956454436</x:v>
      </x:c>
      <x:c r="H14" s="23" t="str">
        <x:f>"未模拟"</x:f>
        <x:v>未模拟</x:v>
      </x:c>
      <x:c r="I14" s="24" t="n">
        <x:f>'原始输入与口径'!BD16</x:f>
        <x:v>10</x:v>
      </x:c>
      <x:c r="J14" s="24" t="n">
        <x:f>'原始输入与口径'!BE16</x:f>
        <x:v>10</x:v>
      </x:c>
      <x:c r="K14" s="24" t="n">
        <x:f>'原始输入与口径'!BF16</x:f>
        <x:v>0</x:v>
      </x:c>
      <x:c r="L14" s="24" t="n">
        <x:f>'原始输入与口径'!BG16</x:f>
        <x:v>0</x:v>
      </x:c>
      <x:c r="M14" s="24" t="n">
        <x:f>'原始输入与口径'!BH16</x:f>
        <x:v>0</x:v>
      </x:c>
      <x:c r="N14" s="24" t="n">
        <x:f>'原始输入与口径'!BI16</x:f>
        <x:v>0</x:v>
      </x:c>
      <x:c r="O14" s="24" t="n">
        <x:f>M14*AE14*AC14</x:f>
        <x:v>0</x:v>
      </x:c>
      <x:c r="P14" s="24" t="n">
        <x:f>N14*AF14*AC14</x:f>
        <x:v>0</x:v>
      </x:c>
      <x:c r="Q14" s="25" t="n">
        <x:f>IF(K14=0,0,IF(ISNUMBER(B14),K14*AC14*B14,NA()))</x:f>
        <x:v>0</x:v>
      </x:c>
      <x:c r="R14" s="25" t="n">
        <x:f>IF(L14=0,0,IF(ISNUMBER(C14),L14*AC14*C14*AD14,NA()))</x:f>
        <x:v>0</x:v>
      </x:c>
      <x:c r="S14" s="25" t="n">
        <x:f>IF(M14=0,0,IF(ISNUMBER(D14),M14*AC14*D14*AD14,NA()))</x:f>
        <x:v>0</x:v>
      </x:c>
      <x:c r="T14" s="25" t="n">
        <x:f>IF(N14=0,0,IF(ISNUMBER(E14),N14*AC14*E14*AD14,NA()))</x:f>
        <x:v>0</x:v>
      </x:c>
      <x:c r="U14" s="25" t="n">
        <x:f>IF(O14=0,0,IF(ISNUMBER(F14),O14*F14,NA()))</x:f>
        <x:v>0</x:v>
      </x:c>
      <x:c r="V14" s="25" t="n">
        <x:f>IF(P14=0,0,IF(ISNUMBER(G14),-P14*G14,NA()))</x:f>
        <x:v>0</x:v>
      </x:c>
      <x:c r="W14" s="25" t="n">
        <x:f>SUM(Q14:V14)</x:f>
        <x:v>0</x:v>
      </x:c>
      <x:c r="X14" s="18" t="n">
        <x:f>'原始输入与口径'!BR16</x:f>
        <x:v>0</x:v>
      </x:c>
      <x:c r="Y14" s="18" t="n">
        <x:f>W14-X14</x:f>
        <x:v>0</x:v>
      </x:c>
      <x:c r="Z14" s="18" t="str">
        <x:f>"1月1日执行｜初始化零订单"</x:f>
        <x:v>1月1日执行｜初始化零订单</x:v>
      </x:c>
      <x:c r="AA14" s="19" t="n">
        <x:f>IF('原始输入与口径'!AW16,1,0)</x:f>
        <x:v>1</x:v>
      </x:c>
      <x:c r="AB14" s="19" t="n">
        <x:f>IF('原始输入与口径'!AY16,1,0)</x:f>
        <x:v>0</x:v>
      </x:c>
      <x:c r="AC14" s="18" t="n">
        <x:f>'原始输入与口径'!E16</x:f>
        <x:v>0.25</x:v>
      </x:c>
      <x:c r="AD14" s="20" t="n">
        <x:f>'原始输入与口径'!$F$5</x:f>
        <x:v>1</x:v>
      </x:c>
      <x:c r="AE14" s="20" t="n">
        <x:f>IF(AA14=0,0,AI14/(AG14*AC14))</x:f>
        <x:v>0.00156</x:v>
      </x:c>
      <x:c r="AF14" s="20" t="n">
        <x:f>IF(AA14=0,0,AJ14/(AH14*AC14))</x:f>
        <x:v>0.0022400000000000002</x:v>
      </x:c>
      <x:c r="AG14" s="18" t="n">
        <x:f>IF(ISNUMBER('原始输入与口径'!T16),'原始输入与口径'!T16,"缺失")</x:f>
        <x:v>200</x:v>
      </x:c>
      <x:c r="AH14" s="18" t="n">
        <x:f>IF(ISNUMBER('原始输入与口径'!Y16),'原始输入与口径'!Y16,"缺失")</x:f>
        <x:v>200</x:v>
      </x:c>
      <x:c r="AI14" s="18" t="n">
        <x:f>IF(ISNUMBER('原始输入与口径'!AI16),'原始输入与口径'!AI16,"缺失")</x:f>
        <x:v>0.078</x:v>
      </x:c>
      <x:c r="AJ14" s="18" t="n">
        <x:f>IF(ISNUMBER('原始输入与口径'!AL16),'原始输入与口径'!AL16,"缺失")</x:f>
        <x:v>0.112</x:v>
      </x:c>
      <x:c r="AK14" s="18" t="str">
        <x:f>IF(ISNUMBER('原始输入与口径'!O16),'原始输入与口径'!O16,"缺失")</x:f>
        <x:v>缺失</x:v>
      </x:c>
      <x:c r="AL14" s="18" t="n">
        <x:f>SUMIFS('相位SOC复算'!$N$7:$N$443,'相位SOC复算'!$S$7:$S$443,8)</x:f>
        <x:v>0</x:v>
      </x:c>
      <x:c r="AM14" s="18" t="n">
        <x:f>SUMIFS('相位SOC复算'!$Q$7:$Q$443,'相位SOC复算'!$S$7:$S$443,8)</x:f>
        <x:v>0</x:v>
      </x:c>
      <x:c r="AN14" s="18" t="n">
        <x:f>SUMIFS('相位SOC复算'!$R$7:$R$443,'相位SOC复算'!$S$7:$S$443,8)</x:f>
        <x:v>0</x:v>
      </x:c>
      <x:c r="AO14" s="18" t="n">
        <x:f>'相位SOC复算'!J28</x:f>
        <x:v>10</x:v>
      </x:c>
      <x:c r="AP14" s="18" t="n">
        <x:f>AO14-J14</x:f>
        <x:v>0</x:v>
      </x:c>
      <x:c r="AQ14" s="18" t="n">
        <x:f>IF(ISBLANK('原始输入与口径'!M16),"",'原始输入与口径'!M16)</x:f>
        <x:v>4.9741</x:v>
      </x:c>
      <x:c r="AR14" s="21" t="n">
        <x:f>IF(ISBLANK('原始输入与口径'!L16),"",'原始输入与口径'!L16)</x:f>
        <x:v>45657</x:v>
      </x:c>
      <x:c r="AS14" s="17" t="n">
        <x:f>IF(ISBLANK('原始输入与口径'!A16),"",'原始输入与口径'!A16)</x:f>
        <x:v>45657.989583333336</x:v>
      </x:c>
      <x:c r="AT14" s="18" t="str">
        <x:f>IF(ISBLANK('原始输入与口径'!I16),"",'原始输入与口径'!I16)</x:f>
        <x:v>2025-01-01_1</x:v>
      </x:c>
      <x:c r="AU14" s="19" t="n">
        <x:f>IF(ISBLANK('原始输入与口径'!J16),"",'原始输入与口径'!J16)</x:f>
        <x:v>60</x:v>
      </x:c>
      <x:c r="AV14" s="18" t="str">
        <x:f>IF(ISBLANK('原始输入与口径'!BB16),"",'原始输入与口径'!BB16)</x:f>
        <x:v>OK</x:v>
      </x:c>
    </x:row>
    <x:row r="15" ht="21" customHeight="1">
      <x:c r="A15" s="17" t="n">
        <x:f>45658.083333333336</x:f>
        <x:v>45658.083333333336</x:v>
      </x:c>
      <x:c r="B15" s="23" t="n">
        <x:f>IF(ISNUMBER('原始输入与口径'!H17),'原始输入与口径'!H17,"缺失")</x:f>
        <x:v>134.06</x:v>
      </x:c>
      <x:c r="C15" s="23" t="str">
        <x:f>IF(ISNUMBER('原始输入与口径'!R17),'原始输入与口径'!R17,"缺失")</x:f>
        <x:v>缺失</x:v>
      </x:c>
      <x:c r="D15" s="23" t="n">
        <x:f>IF(ISNUMBER('原始输入与口径'!W17),'原始输入与口径'!W17,"缺失")</x:f>
        <x:v>13.71102309965622</x:v>
      </x:c>
      <x:c r="E15" s="23" t="n">
        <x:f>IF(ISNUMBER('原始输入与口径'!AB17),'原始输入与口径'!AB17,"缺失")</x:f>
        <x:v>14.710198829939085</x:v>
      </x:c>
      <x:c r="F15" s="23" t="n">
        <x:f>IF(ISNUMBER('原始输入与口径'!AG17),'原始输入与口径'!AG17,"缺失")</x:f>
        <x:v>166.07647614643855</x:v>
      </x:c>
      <x:c r="G15" s="23" t="n">
        <x:f>IF(ISNUMBER('原始输入与口径'!AJ17),'原始输入与口径'!AJ17,"缺失")</x:f>
        <x:v>0</x:v>
      </x:c>
      <x:c r="H15" s="23" t="str">
        <x:f>"未模拟"</x:f>
        <x:v>未模拟</x:v>
      </x:c>
      <x:c r="I15" s="24" t="n">
        <x:f>'原始输入与口径'!BD17</x:f>
        <x:v>10</x:v>
      </x:c>
      <x:c r="J15" s="24" t="n">
        <x:f>'原始输入与口径'!BE17</x:f>
        <x:v>10</x:v>
      </x:c>
      <x:c r="K15" s="24" t="n">
        <x:f>'原始输入与口径'!BF17</x:f>
        <x:v>0</x:v>
      </x:c>
      <x:c r="L15" s="24" t="n">
        <x:f>'原始输入与口径'!BG17</x:f>
        <x:v>0</x:v>
      </x:c>
      <x:c r="M15" s="24" t="n">
        <x:f>'原始输入与口径'!BH17</x:f>
        <x:v>0</x:v>
      </x:c>
      <x:c r="N15" s="24" t="n">
        <x:f>'原始输入与口径'!BI17</x:f>
        <x:v>0</x:v>
      </x:c>
      <x:c r="O15" s="24" t="n">
        <x:f>M15*AE15*AC15</x:f>
        <x:v>0</x:v>
      </x:c>
      <x:c r="P15" s="24" t="n">
        <x:f>N15*AF15*AC15</x:f>
        <x:v>0</x:v>
      </x:c>
      <x:c r="Q15" s="25" t="n">
        <x:f>IF(K15=0,0,IF(ISNUMBER(B15),K15*AC15*B15,NA()))</x:f>
        <x:v>0</x:v>
      </x:c>
      <x:c r="R15" s="25" t="n">
        <x:f>IF(L15=0,0,IF(ISNUMBER(C15),L15*AC15*C15*AD15,NA()))</x:f>
        <x:v>0</x:v>
      </x:c>
      <x:c r="S15" s="25" t="n">
        <x:f>IF(M15=0,0,IF(ISNUMBER(D15),M15*AC15*D15*AD15,NA()))</x:f>
        <x:v>0</x:v>
      </x:c>
      <x:c r="T15" s="25" t="n">
        <x:f>IF(N15=0,0,IF(ISNUMBER(E15),N15*AC15*E15*AD15,NA()))</x:f>
        <x:v>0</x:v>
      </x:c>
      <x:c r="U15" s="25" t="n">
        <x:f>IF(O15=0,0,IF(ISNUMBER(F15),O15*F15,NA()))</x:f>
        <x:v>0</x:v>
      </x:c>
      <x:c r="V15" s="25" t="n">
        <x:f>IF(P15=0,0,IF(ISNUMBER(G15),-P15*G15,NA()))</x:f>
        <x:v>0</x:v>
      </x:c>
      <x:c r="W15" s="25" t="n">
        <x:f>SUM(Q15:V15)</x:f>
        <x:v>0</x:v>
      </x:c>
      <x:c r="X15" s="18" t="n">
        <x:f>'原始输入与口径'!BR17</x:f>
        <x:v>0</x:v>
      </x:c>
      <x:c r="Y15" s="18" t="n">
        <x:f>W15-X15</x:f>
        <x:v>0</x:v>
      </x:c>
      <x:c r="Z15" s="18" t="str">
        <x:f>"1月1日执行｜初始化零订单"</x:f>
        <x:v>1月1日执行｜初始化零订单</x:v>
      </x:c>
      <x:c r="AA15" s="19" t="n">
        <x:f>IF('原始输入与口径'!AW17,1,0)</x:f>
        <x:v>1</x:v>
      </x:c>
      <x:c r="AB15" s="19" t="n">
        <x:f>IF('原始输入与口径'!AY17,1,0)</x:f>
        <x:v>0</x:v>
      </x:c>
      <x:c r="AC15" s="18" t="n">
        <x:f>'原始输入与口径'!E17</x:f>
        <x:v>0.25</x:v>
      </x:c>
      <x:c r="AD15" s="20" t="n">
        <x:f>'原始输入与口径'!$F$5</x:f>
        <x:v>1</x:v>
      </x:c>
      <x:c r="AE15" s="20" t="n">
        <x:f>IF(AA15=0,0,AI15/(AG15*AC15))</x:f>
        <x:v>0.10674</x:v>
      </x:c>
      <x:c r="AF15" s="20" t="n">
        <x:f>IF(AA15=0,0,AJ15/(AH15*AC15))</x:f>
        <x:v>0</x:v>
      </x:c>
      <x:c r="AG15" s="18" t="n">
        <x:f>IF(ISNUMBER('原始输入与口径'!T17),'原始输入与口径'!T17,"缺失")</x:f>
        <x:v>200</x:v>
      </x:c>
      <x:c r="AH15" s="18" t="n">
        <x:f>IF(ISNUMBER('原始输入与口径'!Y17),'原始输入与口径'!Y17,"缺失")</x:f>
        <x:v>200</x:v>
      </x:c>
      <x:c r="AI15" s="18" t="n">
        <x:f>IF(ISNUMBER('原始输入与口径'!AI17),'原始输入与口径'!AI17,"缺失")</x:f>
        <x:v>5.337</x:v>
      </x:c>
      <x:c r="AJ15" s="18" t="n">
        <x:f>IF(ISNUMBER('原始输入与口径'!AL17),'原始输入与口径'!AL17,"缺失")</x:f>
        <x:v>0</x:v>
      </x:c>
      <x:c r="AK15" s="18" t="str">
        <x:f>IF(ISNUMBER('原始输入与口径'!O17),'原始输入与口径'!O17,"缺失")</x:f>
        <x:v>缺失</x:v>
      </x:c>
      <x:c r="AL15" s="18" t="n">
        <x:f>SUMIFS('相位SOC复算'!$N$7:$N$443,'相位SOC复算'!$S$7:$S$443,9)</x:f>
        <x:v>0</x:v>
      </x:c>
      <x:c r="AM15" s="18" t="n">
        <x:f>SUMIFS('相位SOC复算'!$Q$7:$Q$443,'相位SOC复算'!$S$7:$S$443,9)</x:f>
        <x:v>0</x:v>
      </x:c>
      <x:c r="AN15" s="18" t="n">
        <x:f>SUMIFS('相位SOC复算'!$R$7:$R$443,'相位SOC复算'!$S$7:$S$443,9)</x:f>
        <x:v>0</x:v>
      </x:c>
      <x:c r="AO15" s="18" t="n">
        <x:f>'相位SOC复算'!J30</x:f>
        <x:v>10</x:v>
      </x:c>
      <x:c r="AP15" s="18" t="n">
        <x:f>AO15-J15</x:f>
        <x:v>0</x:v>
      </x:c>
      <x:c r="AQ15" s="18" t="n">
        <x:f>IF(ISBLANK('原始输入与口径'!M17),"",'原始输入与口径'!M17)</x:f>
        <x:v>4.9741</x:v>
      </x:c>
      <x:c r="AR15" s="21" t="n">
        <x:f>IF(ISBLANK('原始输入与口径'!L17),"",'原始输入与口径'!L17)</x:f>
        <x:v>45657</x:v>
      </x:c>
      <x:c r="AS15" s="17" t="n">
        <x:f>IF(ISBLANK('原始输入与口径'!A17),"",'原始输入与口径'!A17)</x:f>
        <x:v>45658</x:v>
      </x:c>
      <x:c r="AT15" s="18" t="str">
        <x:f>IF(ISBLANK('原始输入与口径'!I17),"",'原始输入与口径'!I17)</x:f>
        <x:v>2025-01-01_2</x:v>
      </x:c>
      <x:c r="AU15" s="19" t="n">
        <x:f>IF(ISBLANK('原始输入与口径'!J17),"",'原始输入与口径'!J17)</x:f>
        <x:v>60</x:v>
      </x:c>
      <x:c r="AV15" s="18" t="str">
        <x:f>IF(ISBLANK('原始输入与口径'!BB17),"",'原始输入与口径'!BB17)</x:f>
        <x:v>OK</x:v>
      </x:c>
    </x:row>
    <x:row r="16" ht="21" customHeight="1">
      <x:c r="A16" s="17" t="n">
        <x:f>45658.09375</x:f>
        <x:v>45658.09375</x:v>
      </x:c>
      <x:c r="B16" s="23" t="n">
        <x:f>IF(ISNUMBER('原始输入与口径'!H18),'原始输入与口径'!H18,"缺失")</x:f>
        <x:v>134.06</x:v>
      </x:c>
      <x:c r="C16" s="23" t="str">
        <x:f>IF(ISNUMBER('原始输入与口径'!R18),'原始输入与口径'!R18,"缺失")</x:f>
        <x:v>缺失</x:v>
      </x:c>
      <x:c r="D16" s="23" t="n">
        <x:f>IF(ISNUMBER('原始输入与口径'!W18),'原始输入与口径'!W18,"缺失")</x:f>
        <x:v>13.71102309965622</x:v>
      </x:c>
      <x:c r="E16" s="23" t="n">
        <x:f>IF(ISNUMBER('原始输入与口径'!AB18),'原始输入与口径'!AB18,"缺失")</x:f>
        <x:v>14.710198829939085</x:v>
      </x:c>
      <x:c r="F16" s="23" t="n">
        <x:f>IF(ISNUMBER('原始输入与口径'!AG18),'原始输入与口径'!AG18,"缺失")</x:f>
        <x:v>136.70814820771596</x:v>
      </x:c>
      <x:c r="G16" s="23" t="n">
        <x:f>IF(ISNUMBER('原始输入与口径'!AJ18),'原始输入与口径'!AJ18,"缺失")</x:f>
        <x:v>0</x:v>
      </x:c>
      <x:c r="H16" s="23" t="str">
        <x:f>"未模拟"</x:f>
        <x:v>未模拟</x:v>
      </x:c>
      <x:c r="I16" s="24" t="n">
        <x:f>'原始输入与口径'!BD18</x:f>
        <x:v>10</x:v>
      </x:c>
      <x:c r="J16" s="24" t="n">
        <x:f>'原始输入与口径'!BE18</x:f>
        <x:v>10</x:v>
      </x:c>
      <x:c r="K16" s="24" t="n">
        <x:f>'原始输入与口径'!BF18</x:f>
        <x:v>0</x:v>
      </x:c>
      <x:c r="L16" s="24" t="n">
        <x:f>'原始输入与口径'!BG18</x:f>
        <x:v>0</x:v>
      </x:c>
      <x:c r="M16" s="24" t="n">
        <x:f>'原始输入与口径'!BH18</x:f>
        <x:v>0</x:v>
      </x:c>
      <x:c r="N16" s="24" t="n">
        <x:f>'原始输入与口径'!BI18</x:f>
        <x:v>0</x:v>
      </x:c>
      <x:c r="O16" s="24" t="n">
        <x:f>M16*AE16*AC16</x:f>
        <x:v>0</x:v>
      </x:c>
      <x:c r="P16" s="24" t="n">
        <x:f>N16*AF16*AC16</x:f>
        <x:v>0</x:v>
      </x:c>
      <x:c r="Q16" s="25" t="n">
        <x:f>IF(K16=0,0,IF(ISNUMBER(B16),K16*AC16*B16,NA()))</x:f>
        <x:v>0</x:v>
      </x:c>
      <x:c r="R16" s="25" t="n">
        <x:f>IF(L16=0,0,IF(ISNUMBER(C16),L16*AC16*C16*AD16,NA()))</x:f>
        <x:v>0</x:v>
      </x:c>
      <x:c r="S16" s="25" t="n">
        <x:f>IF(M16=0,0,IF(ISNUMBER(D16),M16*AC16*D16*AD16,NA()))</x:f>
        <x:v>0</x:v>
      </x:c>
      <x:c r="T16" s="25" t="n">
        <x:f>IF(N16=0,0,IF(ISNUMBER(E16),N16*AC16*E16*AD16,NA()))</x:f>
        <x:v>0</x:v>
      </x:c>
      <x:c r="U16" s="25" t="n">
        <x:f>IF(O16=0,0,IF(ISNUMBER(F16),O16*F16,NA()))</x:f>
        <x:v>0</x:v>
      </x:c>
      <x:c r="V16" s="25" t="n">
        <x:f>IF(P16=0,0,IF(ISNUMBER(G16),-P16*G16,NA()))</x:f>
        <x:v>0</x:v>
      </x:c>
      <x:c r="W16" s="25" t="n">
        <x:f>SUM(Q16:V16)</x:f>
        <x:v>0</x:v>
      </x:c>
      <x:c r="X16" s="18" t="n">
        <x:f>'原始输入与口径'!BR18</x:f>
        <x:v>0</x:v>
      </x:c>
      <x:c r="Y16" s="18" t="n">
        <x:f>W16-X16</x:f>
        <x:v>0</x:v>
      </x:c>
      <x:c r="Z16" s="18" t="str">
        <x:f>"1月1日执行｜初始化零订单"</x:f>
        <x:v>1月1日执行｜初始化零订单</x:v>
      </x:c>
      <x:c r="AA16" s="19" t="n">
        <x:f>IF('原始输入与口径'!AW18,1,0)</x:f>
        <x:v>1</x:v>
      </x:c>
      <x:c r="AB16" s="19" t="n">
        <x:f>IF('原始输入与口径'!AY18,1,0)</x:f>
        <x:v>0</x:v>
      </x:c>
      <x:c r="AC16" s="18" t="n">
        <x:f>'原始输入与口径'!E18</x:f>
        <x:v>0.25</x:v>
      </x:c>
      <x:c r="AD16" s="20" t="n">
        <x:f>'原始输入与口径'!$F$5</x:f>
        <x:v>1</x:v>
      </x:c>
      <x:c r="AE16" s="20" t="n">
        <x:f>IF(AA16=0,0,AI16/(AG16*AC16))</x:f>
        <x:v>0.018680000000000002</x:v>
      </x:c>
      <x:c r="AF16" s="20" t="n">
        <x:f>IF(AA16=0,0,AJ16/(AH16*AC16))</x:f>
        <x:v>0</x:v>
      </x:c>
      <x:c r="AG16" s="18" t="n">
        <x:f>IF(ISNUMBER('原始输入与口径'!T18),'原始输入与口径'!T18,"缺失")</x:f>
        <x:v>200</x:v>
      </x:c>
      <x:c r="AH16" s="18" t="n">
        <x:f>IF(ISNUMBER('原始输入与口径'!Y18),'原始输入与口径'!Y18,"缺失")</x:f>
        <x:v>200</x:v>
      </x:c>
      <x:c r="AI16" s="18" t="n">
        <x:f>IF(ISNUMBER('原始输入与口径'!AI18),'原始输入与口径'!AI18,"缺失")</x:f>
        <x:v>0.934</x:v>
      </x:c>
      <x:c r="AJ16" s="18" t="n">
        <x:f>IF(ISNUMBER('原始输入与口径'!AL18),'原始输入与口径'!AL18,"缺失")</x:f>
        <x:v>0</x:v>
      </x:c>
      <x:c r="AK16" s="18" t="str">
        <x:f>IF(ISNUMBER('原始输入与口径'!O18),'原始输入与口径'!O18,"缺失")</x:f>
        <x:v>缺失</x:v>
      </x:c>
      <x:c r="AL16" s="18" t="n">
        <x:f>SUMIFS('相位SOC复算'!$N$7:$N$443,'相位SOC复算'!$S$7:$S$443,10)</x:f>
        <x:v>0</x:v>
      </x:c>
      <x:c r="AM16" s="18" t="n">
        <x:f>SUMIFS('相位SOC复算'!$Q$7:$Q$443,'相位SOC复算'!$S$7:$S$443,10)</x:f>
        <x:v>0</x:v>
      </x:c>
      <x:c r="AN16" s="18" t="n">
        <x:f>SUMIFS('相位SOC复算'!$R$7:$R$443,'相位SOC复算'!$S$7:$S$443,10)</x:f>
        <x:v>0</x:v>
      </x:c>
      <x:c r="AO16" s="18" t="n">
        <x:f>'相位SOC复算'!J32</x:f>
        <x:v>10</x:v>
      </x:c>
      <x:c r="AP16" s="18" t="n">
        <x:f>AO16-J16</x:f>
        <x:v>0</x:v>
      </x:c>
      <x:c r="AQ16" s="18" t="n">
        <x:f>IF(ISBLANK('原始输入与口径'!M18),"",'原始输入与口径'!M18)</x:f>
        <x:v>4.9741</x:v>
      </x:c>
      <x:c r="AR16" s="21" t="n">
        <x:f>IF(ISBLANK('原始输入与口径'!L18),"",'原始输入与口径'!L18)</x:f>
        <x:v>45657</x:v>
      </x:c>
      <x:c r="AS16" s="17" t="n">
        <x:f>IF(ISBLANK('原始输入与口径'!A18),"",'原始输入与口径'!A18)</x:f>
        <x:v>45658.010416666664</x:v>
      </x:c>
      <x:c r="AT16" s="18" t="str">
        <x:f>IF(ISBLANK('原始输入与口径'!I18),"",'原始输入与口径'!I18)</x:f>
        <x:v>2025-01-01_2</x:v>
      </x:c>
      <x:c r="AU16" s="19" t="n">
        <x:f>IF(ISBLANK('原始输入与口径'!J18),"",'原始输入与口径'!J18)</x:f>
        <x:v>60</x:v>
      </x:c>
      <x:c r="AV16" s="18" t="str">
        <x:f>IF(ISBLANK('原始输入与口径'!BB18),"",'原始输入与口径'!BB18)</x:f>
        <x:v>OK</x:v>
      </x:c>
    </x:row>
    <x:row r="17" ht="21" customHeight="1">
      <x:c r="A17" s="17" t="n">
        <x:f>45658.104166666664</x:f>
        <x:v>45658.104166666664</x:v>
      </x:c>
      <x:c r="B17" s="23" t="n">
        <x:f>IF(ISNUMBER('原始输入与口径'!H19),'原始输入与口径'!H19,"缺失")</x:f>
        <x:v>134.06</x:v>
      </x:c>
      <x:c r="C17" s="23" t="str">
        <x:f>IF(ISNUMBER('原始输入与口径'!R19),'原始输入与口径'!R19,"缺失")</x:f>
        <x:v>缺失</x:v>
      </x:c>
      <x:c r="D17" s="23" t="n">
        <x:f>IF(ISNUMBER('原始输入与口径'!W19),'原始输入与口径'!W19,"缺失")</x:f>
        <x:v>13.71102309965622</x:v>
      </x:c>
      <x:c r="E17" s="23" t="n">
        <x:f>IF(ISNUMBER('原始输入与口径'!AB19),'原始输入与口径'!AB19,"缺失")</x:f>
        <x:v>14.710198829939085</x:v>
      </x:c>
      <x:c r="F17" s="23" t="n">
        <x:f>IF(ISNUMBER('原始输入与口径'!AG19),'原始输入与口径'!AG19,"缺失")</x:f>
        <x:v>136.70814820771596</x:v>
      </x:c>
      <x:c r="G17" s="23" t="n">
        <x:f>IF(ISNUMBER('原始输入与口径'!AJ19),'原始输入与口径'!AJ19,"缺失")</x:f>
        <x:v>60.1113769325104</x:v>
      </x:c>
      <x:c r="H17" s="23" t="str">
        <x:f>"未模拟"</x:f>
        <x:v>未模拟</x:v>
      </x:c>
      <x:c r="I17" s="24" t="n">
        <x:f>'原始输入与口径'!BD19</x:f>
        <x:v>10</x:v>
      </x:c>
      <x:c r="J17" s="24" t="n">
        <x:f>'原始输入与口径'!BE19</x:f>
        <x:v>10</x:v>
      </x:c>
      <x:c r="K17" s="24" t="n">
        <x:f>'原始输入与口径'!BF19</x:f>
        <x:v>0</x:v>
      </x:c>
      <x:c r="L17" s="24" t="n">
        <x:f>'原始输入与口径'!BG19</x:f>
        <x:v>0</x:v>
      </x:c>
      <x:c r="M17" s="24" t="n">
        <x:f>'原始输入与口径'!BH19</x:f>
        <x:v>0</x:v>
      </x:c>
      <x:c r="N17" s="24" t="n">
        <x:f>'原始输入与口径'!BI19</x:f>
        <x:v>0</x:v>
      </x:c>
      <x:c r="O17" s="24" t="n">
        <x:f>M17*AE17*AC17</x:f>
        <x:v>0</x:v>
      </x:c>
      <x:c r="P17" s="24" t="n">
        <x:f>N17*AF17*AC17</x:f>
        <x:v>0</x:v>
      </x:c>
      <x:c r="Q17" s="25" t="n">
        <x:f>IF(K17=0,0,IF(ISNUMBER(B17),K17*AC17*B17,NA()))</x:f>
        <x:v>0</x:v>
      </x:c>
      <x:c r="R17" s="25" t="n">
        <x:f>IF(L17=0,0,IF(ISNUMBER(C17),L17*AC17*C17*AD17,NA()))</x:f>
        <x:v>0</x:v>
      </x:c>
      <x:c r="S17" s="25" t="n">
        <x:f>IF(M17=0,0,IF(ISNUMBER(D17),M17*AC17*D17*AD17,NA()))</x:f>
        <x:v>0</x:v>
      </x:c>
      <x:c r="T17" s="25" t="n">
        <x:f>IF(N17=0,0,IF(ISNUMBER(E17),N17*AC17*E17*AD17,NA()))</x:f>
        <x:v>0</x:v>
      </x:c>
      <x:c r="U17" s="25" t="n">
        <x:f>IF(O17=0,0,IF(ISNUMBER(F17),O17*F17,NA()))</x:f>
        <x:v>0</x:v>
      </x:c>
      <x:c r="V17" s="25" t="n">
        <x:f>IF(P17=0,0,IF(ISNUMBER(G17),-P17*G17,NA()))</x:f>
        <x:v>0</x:v>
      </x:c>
      <x:c r="W17" s="25" t="n">
        <x:f>SUM(Q17:V17)</x:f>
        <x:v>0</x:v>
      </x:c>
      <x:c r="X17" s="18" t="n">
        <x:f>'原始输入与口径'!BR19</x:f>
        <x:v>0</x:v>
      </x:c>
      <x:c r="Y17" s="18" t="n">
        <x:f>W17-X17</x:f>
        <x:v>0</x:v>
      </x:c>
      <x:c r="Z17" s="18" t="str">
        <x:f>"1月1日执行｜初始化零订单"</x:f>
        <x:v>1月1日执行｜初始化零订单</x:v>
      </x:c>
      <x:c r="AA17" s="19" t="n">
        <x:f>IF('原始输入与口径'!AW19,1,0)</x:f>
        <x:v>1</x:v>
      </x:c>
      <x:c r="AB17" s="19" t="n">
        <x:f>IF('原始输入与口径'!AY19,1,0)</x:f>
        <x:v>0</x:v>
      </x:c>
      <x:c r="AC17" s="18" t="n">
        <x:f>'原始输入与口径'!E19</x:f>
        <x:v>0.25</x:v>
      </x:c>
      <x:c r="AD17" s="20" t="n">
        <x:f>'原始输入与口径'!$F$5</x:f>
        <x:v>1</x:v>
      </x:c>
      <x:c r="AE17" s="20" t="n">
        <x:f>IF(AA17=0,0,AI17/(AG17*AC17))</x:f>
        <x:v>0.0028399999999999996</x:v>
      </x:c>
      <x:c r="AF17" s="20" t="n">
        <x:f>IF(AA17=0,0,AJ17/(AH17*AC17))</x:f>
        <x:v>0.00016</x:v>
      </x:c>
      <x:c r="AG17" s="18" t="n">
        <x:f>IF(ISNUMBER('原始输入与口径'!T19),'原始输入与口径'!T19,"缺失")</x:f>
        <x:v>200</x:v>
      </x:c>
      <x:c r="AH17" s="18" t="n">
        <x:f>IF(ISNUMBER('原始输入与口径'!Y19),'原始输入与口径'!Y19,"缺失")</x:f>
        <x:v>200</x:v>
      </x:c>
      <x:c r="AI17" s="18" t="n">
        <x:f>IF(ISNUMBER('原始输入与口径'!AI19),'原始输入与口径'!AI19,"缺失")</x:f>
        <x:v>0.142</x:v>
      </x:c>
      <x:c r="AJ17" s="18" t="n">
        <x:f>IF(ISNUMBER('原始输入与口径'!AL19),'原始输入与口径'!AL19,"缺失")</x:f>
        <x:v>0.008</x:v>
      </x:c>
      <x:c r="AK17" s="18" t="str">
        <x:f>IF(ISNUMBER('原始输入与口径'!O19),'原始输入与口径'!O19,"缺失")</x:f>
        <x:v>缺失</x:v>
      </x:c>
      <x:c r="AL17" s="18" t="n">
        <x:f>SUMIFS('相位SOC复算'!$N$7:$N$443,'相位SOC复算'!$S$7:$S$443,11)</x:f>
        <x:v>0</x:v>
      </x:c>
      <x:c r="AM17" s="18" t="n">
        <x:f>SUMIFS('相位SOC复算'!$Q$7:$Q$443,'相位SOC复算'!$S$7:$S$443,11)</x:f>
        <x:v>0</x:v>
      </x:c>
      <x:c r="AN17" s="18" t="n">
        <x:f>SUMIFS('相位SOC复算'!$R$7:$R$443,'相位SOC复算'!$S$7:$S$443,11)</x:f>
        <x:v>0</x:v>
      </x:c>
      <x:c r="AO17" s="18" t="n">
        <x:f>'相位SOC复算'!J35</x:f>
        <x:v>10</x:v>
      </x:c>
      <x:c r="AP17" s="18" t="n">
        <x:f>AO17-J17</x:f>
        <x:v>0</x:v>
      </x:c>
      <x:c r="AQ17" s="18" t="n">
        <x:f>IF(ISBLANK('原始输入与口径'!M19),"",'原始输入与口径'!M19)</x:f>
        <x:v>4.9741</x:v>
      </x:c>
      <x:c r="AR17" s="21" t="n">
        <x:f>IF(ISBLANK('原始输入与口径'!L19),"",'原始输入与口径'!L19)</x:f>
        <x:v>45657</x:v>
      </x:c>
      <x:c r="AS17" s="17" t="n">
        <x:f>IF(ISBLANK('原始输入与口径'!A19),"",'原始输入与口径'!A19)</x:f>
        <x:v>45658.020833333336</x:v>
      </x:c>
      <x:c r="AT17" s="18" t="str">
        <x:f>IF(ISBLANK('原始输入与口径'!I19),"",'原始输入与口径'!I19)</x:f>
        <x:v>2025-01-01_2</x:v>
      </x:c>
      <x:c r="AU17" s="19" t="n">
        <x:f>IF(ISBLANK('原始输入与口径'!J19),"",'原始输入与口径'!J19)</x:f>
        <x:v>60</x:v>
      </x:c>
      <x:c r="AV17" s="18" t="str">
        <x:f>IF(ISBLANK('原始输入与口径'!BB19),"",'原始输入与口径'!BB19)</x:f>
        <x:v>OK</x:v>
      </x:c>
    </x:row>
    <x:row r="18" ht="21" customHeight="1">
      <x:c r="A18" s="17" t="n">
        <x:f>45658.114583333336</x:f>
        <x:v>45658.114583333336</x:v>
      </x:c>
      <x:c r="B18" s="23" t="n">
        <x:f>IF(ISNUMBER('原始输入与口径'!H20),'原始输入与口径'!H20,"缺失")</x:f>
        <x:v>134.06</x:v>
      </x:c>
      <x:c r="C18" s="23" t="str">
        <x:f>IF(ISNUMBER('原始输入与口径'!R20),'原始输入与口径'!R20,"缺失")</x:f>
        <x:v>缺失</x:v>
      </x:c>
      <x:c r="D18" s="23" t="n">
        <x:f>IF(ISNUMBER('原始输入与口径'!W20),'原始输入与口径'!W20,"缺失")</x:f>
        <x:v>13.71102309965622</x:v>
      </x:c>
      <x:c r="E18" s="23" t="n">
        <x:f>IF(ISNUMBER('原始输入与口径'!AB20),'原始输入与口径'!AB20,"缺失")</x:f>
        <x:v>14.710198829939085</x:v>
      </x:c>
      <x:c r="F18" s="23" t="n">
        <x:f>IF(ISNUMBER('原始输入与口径'!AG20),'原始输入与口径'!AG20,"缺失")</x:f>
        <x:v>136.70814820771596</x:v>
      </x:c>
      <x:c r="G18" s="23" t="n">
        <x:f>IF(ISNUMBER('原始输入与口径'!AJ20),'原始输入与口径'!AJ20,"缺失")</x:f>
        <x:v>58.3020043827024</x:v>
      </x:c>
      <x:c r="H18" s="23" t="str">
        <x:f>"未模拟"</x:f>
        <x:v>未模拟</x:v>
      </x:c>
      <x:c r="I18" s="24" t="n">
        <x:f>'原始输入与口径'!BD20</x:f>
        <x:v>10</x:v>
      </x:c>
      <x:c r="J18" s="24" t="n">
        <x:f>'原始输入与口径'!BE20</x:f>
        <x:v>10</x:v>
      </x:c>
      <x:c r="K18" s="24" t="n">
        <x:f>'原始输入与口径'!BF20</x:f>
        <x:v>0</x:v>
      </x:c>
      <x:c r="L18" s="24" t="n">
        <x:f>'原始输入与口径'!BG20</x:f>
        <x:v>0</x:v>
      </x:c>
      <x:c r="M18" s="24" t="n">
        <x:f>'原始输入与口径'!BH20</x:f>
        <x:v>0</x:v>
      </x:c>
      <x:c r="N18" s="24" t="n">
        <x:f>'原始输入与口径'!BI20</x:f>
        <x:v>0</x:v>
      </x:c>
      <x:c r="O18" s="24" t="n">
        <x:f>M18*AE18*AC18</x:f>
        <x:v>0</x:v>
      </x:c>
      <x:c r="P18" s="24" t="n">
        <x:f>N18*AF18*AC18</x:f>
        <x:v>0</x:v>
      </x:c>
      <x:c r="Q18" s="25" t="n">
        <x:f>IF(K18=0,0,IF(ISNUMBER(B18),K18*AC18*B18,NA()))</x:f>
        <x:v>0</x:v>
      </x:c>
      <x:c r="R18" s="25" t="n">
        <x:f>IF(L18=0,0,IF(ISNUMBER(C18),L18*AC18*C18*AD18,NA()))</x:f>
        <x:v>0</x:v>
      </x:c>
      <x:c r="S18" s="25" t="n">
        <x:f>IF(M18=0,0,IF(ISNUMBER(D18),M18*AC18*D18*AD18,NA()))</x:f>
        <x:v>0</x:v>
      </x:c>
      <x:c r="T18" s="25" t="n">
        <x:f>IF(N18=0,0,IF(ISNUMBER(E18),N18*AC18*E18*AD18,NA()))</x:f>
        <x:v>0</x:v>
      </x:c>
      <x:c r="U18" s="25" t="n">
        <x:f>IF(O18=0,0,IF(ISNUMBER(F18),O18*F18,NA()))</x:f>
        <x:v>0</x:v>
      </x:c>
      <x:c r="V18" s="25" t="n">
        <x:f>IF(P18=0,0,IF(ISNUMBER(G18),-P18*G18,NA()))</x:f>
        <x:v>0</x:v>
      </x:c>
      <x:c r="W18" s="25" t="n">
        <x:f>SUM(Q18:V18)</x:f>
        <x:v>0</x:v>
      </x:c>
      <x:c r="X18" s="18" t="n">
        <x:f>'原始输入与口径'!BR20</x:f>
        <x:v>0</x:v>
      </x:c>
      <x:c r="Y18" s="18" t="n">
        <x:f>W18-X18</x:f>
        <x:v>0</x:v>
      </x:c>
      <x:c r="Z18" s="18" t="str">
        <x:f>"1月1日执行｜初始化零订单"</x:f>
        <x:v>1月1日执行｜初始化零订单</x:v>
      </x:c>
      <x:c r="AA18" s="19" t="n">
        <x:f>IF('原始输入与口径'!AW20,1,0)</x:f>
        <x:v>1</x:v>
      </x:c>
      <x:c r="AB18" s="19" t="n">
        <x:f>IF('原始输入与口径'!AY20,1,0)</x:f>
        <x:v>0</x:v>
      </x:c>
      <x:c r="AC18" s="18" t="n">
        <x:f>'原始输入与口径'!E20</x:f>
        <x:v>0.25</x:v>
      </x:c>
      <x:c r="AD18" s="20" t="n">
        <x:f>'原始输入与口径'!$F$5</x:f>
        <x:v>1</x:v>
      </x:c>
      <x:c r="AE18" s="20" t="n">
        <x:f>IF(AA18=0,0,AI18/(AG18*AC18))</x:f>
        <x:v>0.00166</x:v>
      </x:c>
      <x:c r="AF18" s="20" t="n">
        <x:f>IF(AA18=0,0,AJ18/(AH18*AC18))</x:f>
        <x:v>0.0011799999999999998</x:v>
      </x:c>
      <x:c r="AG18" s="18" t="n">
        <x:f>IF(ISNUMBER('原始输入与口径'!T20),'原始输入与口径'!T20,"缺失")</x:f>
        <x:v>200</x:v>
      </x:c>
      <x:c r="AH18" s="18" t="n">
        <x:f>IF(ISNUMBER('原始输入与口径'!Y20),'原始输入与口径'!Y20,"缺失")</x:f>
        <x:v>200</x:v>
      </x:c>
      <x:c r="AI18" s="18" t="n">
        <x:f>IF(ISNUMBER('原始输入与口径'!AI20),'原始输入与口径'!AI20,"缺失")</x:f>
        <x:v>0.083</x:v>
      </x:c>
      <x:c r="AJ18" s="18" t="n">
        <x:f>IF(ISNUMBER('原始输入与口径'!AL20),'原始输入与口径'!AL20,"缺失")</x:f>
        <x:v>0.059</x:v>
      </x:c>
      <x:c r="AK18" s="18" t="str">
        <x:f>IF(ISNUMBER('原始输入与口径'!O20),'原始输入与口径'!O20,"缺失")</x:f>
        <x:v>缺失</x:v>
      </x:c>
      <x:c r="AL18" s="18" t="n">
        <x:f>SUMIFS('相位SOC复算'!$N$7:$N$443,'相位SOC复算'!$S$7:$S$443,12)</x:f>
        <x:v>0</x:v>
      </x:c>
      <x:c r="AM18" s="18" t="n">
        <x:f>SUMIFS('相位SOC复算'!$Q$7:$Q$443,'相位SOC复算'!$S$7:$S$443,12)</x:f>
        <x:v>0</x:v>
      </x:c>
      <x:c r="AN18" s="18" t="n">
        <x:f>SUMIFS('相位SOC复算'!$R$7:$R$443,'相位SOC复算'!$S$7:$S$443,12)</x:f>
        <x:v>0</x:v>
      </x:c>
      <x:c r="AO18" s="18" t="n">
        <x:f>'相位SOC复算'!J38</x:f>
        <x:v>10</x:v>
      </x:c>
      <x:c r="AP18" s="18" t="n">
        <x:f>AO18-J18</x:f>
        <x:v>0</x:v>
      </x:c>
      <x:c r="AQ18" s="18" t="n">
        <x:f>IF(ISBLANK('原始输入与口径'!M20),"",'原始输入与口径'!M20)</x:f>
        <x:v>4.9741</x:v>
      </x:c>
      <x:c r="AR18" s="21" t="n">
        <x:f>IF(ISBLANK('原始输入与口径'!L20),"",'原始输入与口径'!L20)</x:f>
        <x:v>45657</x:v>
      </x:c>
      <x:c r="AS18" s="17" t="n">
        <x:f>IF(ISBLANK('原始输入与口径'!A20),"",'原始输入与口径'!A20)</x:f>
        <x:v>45658.03125</x:v>
      </x:c>
      <x:c r="AT18" s="18" t="str">
        <x:f>IF(ISBLANK('原始输入与口径'!I20),"",'原始输入与口径'!I20)</x:f>
        <x:v>2025-01-01_2</x:v>
      </x:c>
      <x:c r="AU18" s="19" t="n">
        <x:f>IF(ISBLANK('原始输入与口径'!J20),"",'原始输入与口径'!J20)</x:f>
        <x:v>60</x:v>
      </x:c>
      <x:c r="AV18" s="18" t="str">
        <x:f>IF(ISBLANK('原始输入与口径'!BB20),"",'原始输入与口径'!BB20)</x:f>
        <x:v>OK</x:v>
      </x:c>
    </x:row>
    <x:row r="19" ht="21" customHeight="1">
      <x:c r="A19" s="17" t="n">
        <x:f>45658.125</x:f>
        <x:v>45658.125</x:v>
      </x:c>
      <x:c r="B19" s="23" t="n">
        <x:f>IF(ISNUMBER('原始输入与口径'!H21),'原始输入与口径'!H21,"缺失")</x:f>
        <x:v>124.42</x:v>
      </x:c>
      <x:c r="C19" s="23" t="str">
        <x:f>IF(ISNUMBER('原始输入与口径'!R21),'原始输入与口径'!R21,"缺失")</x:f>
        <x:v>缺失</x:v>
      </x:c>
      <x:c r="D19" s="23" t="n">
        <x:f>IF(ISNUMBER('原始输入与口径'!W21),'原始输入与口径'!W21,"缺失")</x:f>
        <x:v>13.71102309965622</x:v>
      </x:c>
      <x:c r="E19" s="23" t="n">
        <x:f>IF(ISNUMBER('原始输入与口径'!AB21),'原始输入与口径'!AB21,"缺失")</x:f>
        <x:v>14.710198829939085</x:v>
      </x:c>
      <x:c r="F19" s="23" t="n">
        <x:f>IF(ISNUMBER('原始输入与口径'!AG21),'原始输入与口径'!AG21,"缺失")</x:f>
        <x:v>136.70814820771596</x:v>
      </x:c>
      <x:c r="G19" s="23" t="n">
        <x:f>IF(ISNUMBER('原始输入与口径'!AJ21),'原始输入与口径'!AJ21,"缺失")</x:f>
        <x:v>60.1113769325104</x:v>
      </x:c>
      <x:c r="H19" s="23" t="str">
        <x:f>"未模拟"</x:f>
        <x:v>未模拟</x:v>
      </x:c>
      <x:c r="I19" s="24" t="n">
        <x:f>'原始输入与口径'!BD21</x:f>
        <x:v>10</x:v>
      </x:c>
      <x:c r="J19" s="24" t="n">
        <x:f>'原始输入与口径'!BE21</x:f>
        <x:v>10</x:v>
      </x:c>
      <x:c r="K19" s="24" t="n">
        <x:f>'原始输入与口径'!BF21</x:f>
        <x:v>0</x:v>
      </x:c>
      <x:c r="L19" s="24" t="n">
        <x:f>'原始输入与口径'!BG21</x:f>
        <x:v>0</x:v>
      </x:c>
      <x:c r="M19" s="24" t="n">
        <x:f>'原始输入与口径'!BH21</x:f>
        <x:v>0</x:v>
      </x:c>
      <x:c r="N19" s="24" t="n">
        <x:f>'原始输入与口径'!BI21</x:f>
        <x:v>0</x:v>
      </x:c>
      <x:c r="O19" s="24" t="n">
        <x:f>M19*AE19*AC19</x:f>
        <x:v>0</x:v>
      </x:c>
      <x:c r="P19" s="24" t="n">
        <x:f>N19*AF19*AC19</x:f>
        <x:v>0</x:v>
      </x:c>
      <x:c r="Q19" s="25" t="n">
        <x:f>IF(K19=0,0,IF(ISNUMBER(B19),K19*AC19*B19,NA()))</x:f>
        <x:v>0</x:v>
      </x:c>
      <x:c r="R19" s="25" t="n">
        <x:f>IF(L19=0,0,IF(ISNUMBER(C19),L19*AC19*C19*AD19,NA()))</x:f>
        <x:v>0</x:v>
      </x:c>
      <x:c r="S19" s="25" t="n">
        <x:f>IF(M19=0,0,IF(ISNUMBER(D19),M19*AC19*D19*AD19,NA()))</x:f>
        <x:v>0</x:v>
      </x:c>
      <x:c r="T19" s="25" t="n">
        <x:f>IF(N19=0,0,IF(ISNUMBER(E19),N19*AC19*E19*AD19,NA()))</x:f>
        <x:v>0</x:v>
      </x:c>
      <x:c r="U19" s="25" t="n">
        <x:f>IF(O19=0,0,IF(ISNUMBER(F19),O19*F19,NA()))</x:f>
        <x:v>0</x:v>
      </x:c>
      <x:c r="V19" s="25" t="n">
        <x:f>IF(P19=0,0,IF(ISNUMBER(G19),-P19*G19,NA()))</x:f>
        <x:v>0</x:v>
      </x:c>
      <x:c r="W19" s="25" t="n">
        <x:f>SUM(Q19:V19)</x:f>
        <x:v>0</x:v>
      </x:c>
      <x:c r="X19" s="18" t="n">
        <x:f>'原始输入与口径'!BR21</x:f>
        <x:v>0</x:v>
      </x:c>
      <x:c r="Y19" s="18" t="n">
        <x:f>W19-X19</x:f>
        <x:v>0</x:v>
      </x:c>
      <x:c r="Z19" s="18" t="str">
        <x:f>"1月1日执行｜初始化零订单"</x:f>
        <x:v>1月1日执行｜初始化零订单</x:v>
      </x:c>
      <x:c r="AA19" s="19" t="n">
        <x:f>IF('原始输入与口径'!AW21,1,0)</x:f>
        <x:v>1</x:v>
      </x:c>
      <x:c r="AB19" s="19" t="n">
        <x:f>IF('原始输入与口径'!AY21,1,0)</x:f>
        <x:v>0</x:v>
      </x:c>
      <x:c r="AC19" s="18" t="n">
        <x:f>'原始输入与口径'!E21</x:f>
        <x:v>0.25</x:v>
      </x:c>
      <x:c r="AD19" s="20" t="n">
        <x:f>'原始输入与口径'!$F$5</x:f>
        <x:v>1</x:v>
      </x:c>
      <x:c r="AE19" s="20" t="n">
        <x:f>IF(AA19=0,0,AI19/(AG19*AC19))</x:f>
        <x:v>0.03078</x:v>
      </x:c>
      <x:c r="AF19" s="20" t="n">
        <x:f>IF(AA19=0,0,AJ19/(AH19*AC19))</x:f>
        <x:v>0.0001</x:v>
      </x:c>
      <x:c r="AG19" s="18" t="n">
        <x:f>IF(ISNUMBER('原始输入与口径'!T21),'原始输入与口径'!T21,"缺失")</x:f>
        <x:v>200</x:v>
      </x:c>
      <x:c r="AH19" s="18" t="n">
        <x:f>IF(ISNUMBER('原始输入与口径'!Y21),'原始输入与口径'!Y21,"缺失")</x:f>
        <x:v>200</x:v>
      </x:c>
      <x:c r="AI19" s="18" t="n">
        <x:f>IF(ISNUMBER('原始输入与口径'!AI21),'原始输入与口径'!AI21,"缺失")</x:f>
        <x:v>1.539</x:v>
      </x:c>
      <x:c r="AJ19" s="18" t="n">
        <x:f>IF(ISNUMBER('原始输入与口径'!AL21),'原始输入与口径'!AL21,"缺失")</x:f>
        <x:v>0.005</x:v>
      </x:c>
      <x:c r="AK19" s="18" t="str">
        <x:f>IF(ISNUMBER('原始输入与口径'!O21),'原始输入与口径'!O21,"缺失")</x:f>
        <x:v>缺失</x:v>
      </x:c>
      <x:c r="AL19" s="18" t="n">
        <x:f>SUMIFS('相位SOC复算'!$N$7:$N$443,'相位SOC复算'!$S$7:$S$443,13)</x:f>
        <x:v>0</x:v>
      </x:c>
      <x:c r="AM19" s="18" t="n">
        <x:f>SUMIFS('相位SOC复算'!$Q$7:$Q$443,'相位SOC复算'!$S$7:$S$443,13)</x:f>
        <x:v>0</x:v>
      </x:c>
      <x:c r="AN19" s="18" t="n">
        <x:f>SUMIFS('相位SOC复算'!$R$7:$R$443,'相位SOC复算'!$S$7:$S$443,13)</x:f>
        <x:v>0</x:v>
      </x:c>
      <x:c r="AO19" s="18" t="n">
        <x:f>'相位SOC复算'!J41</x:f>
        <x:v>10</x:v>
      </x:c>
      <x:c r="AP19" s="18" t="n">
        <x:f>AO19-J19</x:f>
        <x:v>0</x:v>
      </x:c>
      <x:c r="AQ19" s="18" t="n">
        <x:f>IF(ISBLANK('原始输入与口径'!M21),"",'原始输入与口径'!M21)</x:f>
        <x:v>4.9741</x:v>
      </x:c>
      <x:c r="AR19" s="21" t="n">
        <x:f>IF(ISBLANK('原始输入与口径'!L21),"",'原始输入与口径'!L21)</x:f>
        <x:v>45657</x:v>
      </x:c>
      <x:c r="AS19" s="17" t="n">
        <x:f>IF(ISBLANK('原始输入与口径'!A21),"",'原始输入与口径'!A21)</x:f>
        <x:v>45658.041666666664</x:v>
      </x:c>
      <x:c r="AT19" s="18" t="str">
        <x:f>IF(ISBLANK('原始输入与口径'!I21),"",'原始输入与口径'!I21)</x:f>
        <x:v>2025-01-01_3</x:v>
      </x:c>
      <x:c r="AU19" s="19" t="n">
        <x:f>IF(ISBLANK('原始输入与口径'!J21),"",'原始输入与口径'!J21)</x:f>
        <x:v>60</x:v>
      </x:c>
      <x:c r="AV19" s="18" t="str">
        <x:f>IF(ISBLANK('原始输入与口径'!BB21),"",'原始输入与口径'!BB21)</x:f>
        <x:v>OK</x:v>
      </x:c>
    </x:row>
    <x:row r="20" ht="21" customHeight="1">
      <x:c r="A20" s="17" t="n">
        <x:f>45658.135416666664</x:f>
        <x:v>45658.135416666664</x:v>
      </x:c>
      <x:c r="B20" s="23" t="n">
        <x:f>IF(ISNUMBER('原始输入与口径'!H22),'原始输入与口径'!H22,"缺失")</x:f>
        <x:v>124.42</x:v>
      </x:c>
      <x:c r="C20" s="23" t="str">
        <x:f>IF(ISNUMBER('原始输入与口径'!R22),'原始输入与口径'!R22,"缺失")</x:f>
        <x:v>缺失</x:v>
      </x:c>
      <x:c r="D20" s="23" t="n">
        <x:f>IF(ISNUMBER('原始输入与口径'!W22),'原始输入与口径'!W22,"缺失")</x:f>
        <x:v>13.71102309965622</x:v>
      </x:c>
      <x:c r="E20" s="23" t="n">
        <x:f>IF(ISNUMBER('原始输入与口径'!AB22),'原始输入与口径'!AB22,"缺失")</x:f>
        <x:v>14.710198829939085</x:v>
      </x:c>
      <x:c r="F20" s="23" t="n">
        <x:f>IF(ISNUMBER('原始输入与口径'!AG22),'原始输入与口径'!AG22,"缺失")</x:f>
        <x:v>136.70814820771596</x:v>
      </x:c>
      <x:c r="G20" s="23" t="n">
        <x:f>IF(ISNUMBER('原始输入与口径'!AJ22),'原始输入与口径'!AJ22,"缺失")</x:f>
        <x:v>60.1113769325104</x:v>
      </x:c>
      <x:c r="H20" s="23" t="str">
        <x:f>"未模拟"</x:f>
        <x:v>未模拟</x:v>
      </x:c>
      <x:c r="I20" s="24" t="n">
        <x:f>'原始输入与口径'!BD22</x:f>
        <x:v>10</x:v>
      </x:c>
      <x:c r="J20" s="24" t="n">
        <x:f>'原始输入与口径'!BE22</x:f>
        <x:v>10</x:v>
      </x:c>
      <x:c r="K20" s="24" t="n">
        <x:f>'原始输入与口径'!BF22</x:f>
        <x:v>0</x:v>
      </x:c>
      <x:c r="L20" s="24" t="n">
        <x:f>'原始输入与口径'!BG22</x:f>
        <x:v>0</x:v>
      </x:c>
      <x:c r="M20" s="24" t="n">
        <x:f>'原始输入与口径'!BH22</x:f>
        <x:v>0</x:v>
      </x:c>
      <x:c r="N20" s="24" t="n">
        <x:f>'原始输入与口径'!BI22</x:f>
        <x:v>0</x:v>
      </x:c>
      <x:c r="O20" s="24" t="n">
        <x:f>M20*AE20*AC20</x:f>
        <x:v>0</x:v>
      </x:c>
      <x:c r="P20" s="24" t="n">
        <x:f>N20*AF20*AC20</x:f>
        <x:v>0</x:v>
      </x:c>
      <x:c r="Q20" s="25" t="n">
        <x:f>IF(K20=0,0,IF(ISNUMBER(B20),K20*AC20*B20,NA()))</x:f>
        <x:v>0</x:v>
      </x:c>
      <x:c r="R20" s="25" t="n">
        <x:f>IF(L20=0,0,IF(ISNUMBER(C20),L20*AC20*C20*AD20,NA()))</x:f>
        <x:v>0</x:v>
      </x:c>
      <x:c r="S20" s="25" t="n">
        <x:f>IF(M20=0,0,IF(ISNUMBER(D20),M20*AC20*D20*AD20,NA()))</x:f>
        <x:v>0</x:v>
      </x:c>
      <x:c r="T20" s="25" t="n">
        <x:f>IF(N20=0,0,IF(ISNUMBER(E20),N20*AC20*E20*AD20,NA()))</x:f>
        <x:v>0</x:v>
      </x:c>
      <x:c r="U20" s="25" t="n">
        <x:f>IF(O20=0,0,IF(ISNUMBER(F20),O20*F20,NA()))</x:f>
        <x:v>0</x:v>
      </x:c>
      <x:c r="V20" s="25" t="n">
        <x:f>IF(P20=0,0,IF(ISNUMBER(G20),-P20*G20,NA()))</x:f>
        <x:v>0</x:v>
      </x:c>
      <x:c r="W20" s="25" t="n">
        <x:f>SUM(Q20:V20)</x:f>
        <x:v>0</x:v>
      </x:c>
      <x:c r="X20" s="18" t="n">
        <x:f>'原始输入与口径'!BR22</x:f>
        <x:v>0</x:v>
      </x:c>
      <x:c r="Y20" s="18" t="n">
        <x:f>W20-X20</x:f>
        <x:v>0</x:v>
      </x:c>
      <x:c r="Z20" s="18" t="str">
        <x:f>"1月1日执行｜初始化零订单"</x:f>
        <x:v>1月1日执行｜初始化零订单</x:v>
      </x:c>
      <x:c r="AA20" s="19" t="n">
        <x:f>IF('原始输入与口径'!AW22,1,0)</x:f>
        <x:v>1</x:v>
      </x:c>
      <x:c r="AB20" s="19" t="n">
        <x:f>IF('原始输入与口径'!AY22,1,0)</x:f>
        <x:v>0</x:v>
      </x:c>
      <x:c r="AC20" s="18" t="n">
        <x:f>'原始输入与口径'!E22</x:f>
        <x:v>0.25</x:v>
      </x:c>
      <x:c r="AD20" s="20" t="n">
        <x:f>'原始输入与口径'!$F$5</x:f>
        <x:v>1</x:v>
      </x:c>
      <x:c r="AE20" s="20" t="n">
        <x:f>IF(AA20=0,0,AI20/(AG20*AC20))</x:f>
        <x:v>0.00124</x:v>
      </x:c>
      <x:c r="AF20" s="20" t="n">
        <x:f>IF(AA20=0,0,AJ20/(AH20*AC20))</x:f>
        <x:v>0.0005600000000000001</x:v>
      </x:c>
      <x:c r="AG20" s="18" t="n">
        <x:f>IF(ISNUMBER('原始输入与口径'!T22),'原始输入与口径'!T22,"缺失")</x:f>
        <x:v>200</x:v>
      </x:c>
      <x:c r="AH20" s="18" t="n">
        <x:f>IF(ISNUMBER('原始输入与口径'!Y22),'原始输入与口径'!Y22,"缺失")</x:f>
        <x:v>200</x:v>
      </x:c>
      <x:c r="AI20" s="18" t="n">
        <x:f>IF(ISNUMBER('原始输入与口径'!AI22),'原始输入与口径'!AI22,"缺失")</x:f>
        <x:v>0.062</x:v>
      </x:c>
      <x:c r="AJ20" s="18" t="n">
        <x:f>IF(ISNUMBER('原始输入与口径'!AL22),'原始输入与口径'!AL22,"缺失")</x:f>
        <x:v>0.028</x:v>
      </x:c>
      <x:c r="AK20" s="18" t="str">
        <x:f>IF(ISNUMBER('原始输入与口径'!O22),'原始输入与口径'!O22,"缺失")</x:f>
        <x:v>缺失</x:v>
      </x:c>
      <x:c r="AL20" s="18" t="n">
        <x:f>SUMIFS('相位SOC复算'!$N$7:$N$443,'相位SOC复算'!$S$7:$S$443,14)</x:f>
        <x:v>0</x:v>
      </x:c>
      <x:c r="AM20" s="18" t="n">
        <x:f>SUMIFS('相位SOC复算'!$Q$7:$Q$443,'相位SOC复算'!$S$7:$S$443,14)</x:f>
        <x:v>0</x:v>
      </x:c>
      <x:c r="AN20" s="18" t="n">
        <x:f>SUMIFS('相位SOC复算'!$R$7:$R$443,'相位SOC复算'!$S$7:$S$443,14)</x:f>
        <x:v>0</x:v>
      </x:c>
      <x:c r="AO20" s="18" t="n">
        <x:f>'相位SOC复算'!J44</x:f>
        <x:v>10</x:v>
      </x:c>
      <x:c r="AP20" s="18" t="n">
        <x:f>AO20-J20</x:f>
        <x:v>0</x:v>
      </x:c>
      <x:c r="AQ20" s="18" t="n">
        <x:f>IF(ISBLANK('原始输入与口径'!M22),"",'原始输入与口径'!M22)</x:f>
        <x:v>4.9741</x:v>
      </x:c>
      <x:c r="AR20" s="21" t="n">
        <x:f>IF(ISBLANK('原始输入与口径'!L22),"",'原始输入与口径'!L22)</x:f>
        <x:v>45657</x:v>
      </x:c>
      <x:c r="AS20" s="17" t="n">
        <x:f>IF(ISBLANK('原始输入与口径'!A22),"",'原始输入与口径'!A22)</x:f>
        <x:v>45658.052083333336</x:v>
      </x:c>
      <x:c r="AT20" s="18" t="str">
        <x:f>IF(ISBLANK('原始输入与口径'!I22),"",'原始输入与口径'!I22)</x:f>
        <x:v>2025-01-01_3</x:v>
      </x:c>
      <x:c r="AU20" s="19" t="n">
        <x:f>IF(ISBLANK('原始输入与口径'!J22),"",'原始输入与口径'!J22)</x:f>
        <x:v>60</x:v>
      </x:c>
      <x:c r="AV20" s="18" t="str">
        <x:f>IF(ISBLANK('原始输入与口径'!BB22),"",'原始输入与口径'!BB22)</x:f>
        <x:v>OK</x:v>
      </x:c>
    </x:row>
    <x:row r="21" ht="21" customHeight="1">
      <x:c r="A21" s="17" t="n">
        <x:f>45658.145833333336</x:f>
        <x:v>45658.145833333336</x:v>
      </x:c>
      <x:c r="B21" s="23" t="n">
        <x:f>IF(ISNUMBER('原始输入与口径'!H23),'原始输入与口径'!H23,"缺失")</x:f>
        <x:v>124.42</x:v>
      </x:c>
      <x:c r="C21" s="23" t="str">
        <x:f>IF(ISNUMBER('原始输入与口径'!R23),'原始输入与口径'!R23,"缺失")</x:f>
        <x:v>缺失</x:v>
      </x:c>
      <x:c r="D21" s="23" t="n">
        <x:f>IF(ISNUMBER('原始输入与口径'!W23),'原始输入与口径'!W23,"缺失")</x:f>
        <x:v>13.71102309965622</x:v>
      </x:c>
      <x:c r="E21" s="23" t="n">
        <x:f>IF(ISNUMBER('原始输入与口径'!AB23),'原始输入与口径'!AB23,"缺失")</x:f>
        <x:v>14.710198829939085</x:v>
      </x:c>
      <x:c r="F21" s="23" t="n">
        <x:f>IF(ISNUMBER('原始输入与口径'!AG23),'原始输入与口径'!AG23,"缺失")</x:f>
        <x:v>136.70814820771596</x:v>
      </x:c>
      <x:c r="G21" s="23" t="n">
        <x:f>IF(ISNUMBER('原始输入与口径'!AJ23),'原始输入与口径'!AJ23,"缺失")</x:f>
        <x:v>60.1113769325104</x:v>
      </x:c>
      <x:c r="H21" s="23" t="str">
        <x:f>"未模拟"</x:f>
        <x:v>未模拟</x:v>
      </x:c>
      <x:c r="I21" s="24" t="n">
        <x:f>'原始输入与口径'!BD23</x:f>
        <x:v>10</x:v>
      </x:c>
      <x:c r="J21" s="24" t="n">
        <x:f>'原始输入与口径'!BE23</x:f>
        <x:v>10</x:v>
      </x:c>
      <x:c r="K21" s="24" t="n">
        <x:f>'原始输入与口径'!BF23</x:f>
        <x:v>0</x:v>
      </x:c>
      <x:c r="L21" s="24" t="n">
        <x:f>'原始输入与口径'!BG23</x:f>
        <x:v>0</x:v>
      </x:c>
      <x:c r="M21" s="24" t="n">
        <x:f>'原始输入与口径'!BH23</x:f>
        <x:v>0</x:v>
      </x:c>
      <x:c r="N21" s="24" t="n">
        <x:f>'原始输入与口径'!BI23</x:f>
        <x:v>0</x:v>
      </x:c>
      <x:c r="O21" s="24" t="n">
        <x:f>M21*AE21*AC21</x:f>
        <x:v>0</x:v>
      </x:c>
      <x:c r="P21" s="24" t="n">
        <x:f>N21*AF21*AC21</x:f>
        <x:v>0</x:v>
      </x:c>
      <x:c r="Q21" s="25" t="n">
        <x:f>IF(K21=0,0,IF(ISNUMBER(B21),K21*AC21*B21,NA()))</x:f>
        <x:v>0</x:v>
      </x:c>
      <x:c r="R21" s="25" t="n">
        <x:f>IF(L21=0,0,IF(ISNUMBER(C21),L21*AC21*C21*AD21,NA()))</x:f>
        <x:v>0</x:v>
      </x:c>
      <x:c r="S21" s="25" t="n">
        <x:f>IF(M21=0,0,IF(ISNUMBER(D21),M21*AC21*D21*AD21,NA()))</x:f>
        <x:v>0</x:v>
      </x:c>
      <x:c r="T21" s="25" t="n">
        <x:f>IF(N21=0,0,IF(ISNUMBER(E21),N21*AC21*E21*AD21,NA()))</x:f>
        <x:v>0</x:v>
      </x:c>
      <x:c r="U21" s="25" t="n">
        <x:f>IF(O21=0,0,IF(ISNUMBER(F21),O21*F21,NA()))</x:f>
        <x:v>0</x:v>
      </x:c>
      <x:c r="V21" s="25" t="n">
        <x:f>IF(P21=0,0,IF(ISNUMBER(G21),-P21*G21,NA()))</x:f>
        <x:v>0</x:v>
      </x:c>
      <x:c r="W21" s="25" t="n">
        <x:f>SUM(Q21:V21)</x:f>
        <x:v>0</x:v>
      </x:c>
      <x:c r="X21" s="18" t="n">
        <x:f>'原始输入与口径'!BR23</x:f>
        <x:v>0</x:v>
      </x:c>
      <x:c r="Y21" s="18" t="n">
        <x:f>W21-X21</x:f>
        <x:v>0</x:v>
      </x:c>
      <x:c r="Z21" s="18" t="str">
        <x:f>"1月1日执行｜初始化零订单"</x:f>
        <x:v>1月1日执行｜初始化零订单</x:v>
      </x:c>
      <x:c r="AA21" s="19" t="n">
        <x:f>IF('原始输入与口径'!AW23,1,0)</x:f>
        <x:v>1</x:v>
      </x:c>
      <x:c r="AB21" s="19" t="n">
        <x:f>IF('原始输入与口径'!AY23,1,0)</x:f>
        <x:v>0</x:v>
      </x:c>
      <x:c r="AC21" s="18" t="n">
        <x:f>'原始输入与口径'!E23</x:f>
        <x:v>0.25</x:v>
      </x:c>
      <x:c r="AD21" s="20" t="n">
        <x:f>'原始输入与口径'!$F$5</x:f>
        <x:v>1</x:v>
      </x:c>
      <x:c r="AE21" s="20" t="n">
        <x:f>IF(AA21=0,0,AI21/(AG21*AC21))</x:f>
        <x:v>0.00016</x:v>
      </x:c>
      <x:c r="AF21" s="20" t="n">
        <x:f>IF(AA21=0,0,AJ21/(AH21*AC21))</x:f>
        <x:v>0.0166</x:v>
      </x:c>
      <x:c r="AG21" s="18" t="n">
        <x:f>IF(ISNUMBER('原始输入与口径'!T23),'原始输入与口径'!T23,"缺失")</x:f>
        <x:v>200</x:v>
      </x:c>
      <x:c r="AH21" s="18" t="n">
        <x:f>IF(ISNUMBER('原始输入与口径'!Y23),'原始输入与口径'!Y23,"缺失")</x:f>
        <x:v>200</x:v>
      </x:c>
      <x:c r="AI21" s="18" t="n">
        <x:f>IF(ISNUMBER('原始输入与口径'!AI23),'原始输入与口径'!AI23,"缺失")</x:f>
        <x:v>0.008</x:v>
      </x:c>
      <x:c r="AJ21" s="18" t="n">
        <x:f>IF(ISNUMBER('原始输入与口径'!AL23),'原始输入与口径'!AL23,"缺失")</x:f>
        <x:v>0.83</x:v>
      </x:c>
      <x:c r="AK21" s="18" t="str">
        <x:f>IF(ISNUMBER('原始输入与口径'!O23),'原始输入与口径'!O23,"缺失")</x:f>
        <x:v>缺失</x:v>
      </x:c>
      <x:c r="AL21" s="18" t="n">
        <x:f>SUMIFS('相位SOC复算'!$N$7:$N$443,'相位SOC复算'!$S$7:$S$443,15)</x:f>
        <x:v>0</x:v>
      </x:c>
      <x:c r="AM21" s="18" t="n">
        <x:f>SUMIFS('相位SOC复算'!$Q$7:$Q$443,'相位SOC复算'!$S$7:$S$443,15)</x:f>
        <x:v>0</x:v>
      </x:c>
      <x:c r="AN21" s="18" t="n">
        <x:f>SUMIFS('相位SOC复算'!$R$7:$R$443,'相位SOC复算'!$S$7:$S$443,15)</x:f>
        <x:v>0</x:v>
      </x:c>
      <x:c r="AO21" s="18" t="n">
        <x:f>'相位SOC复算'!J47</x:f>
        <x:v>10</x:v>
      </x:c>
      <x:c r="AP21" s="18" t="n">
        <x:f>AO21-J21</x:f>
        <x:v>0</x:v>
      </x:c>
      <x:c r="AQ21" s="18" t="n">
        <x:f>IF(ISBLANK('原始输入与口径'!M23),"",'原始输入与口径'!M23)</x:f>
        <x:v>4.9741</x:v>
      </x:c>
      <x:c r="AR21" s="21" t="n">
        <x:f>IF(ISBLANK('原始输入与口径'!L23),"",'原始输入与口径'!L23)</x:f>
        <x:v>45657</x:v>
      </x:c>
      <x:c r="AS21" s="17" t="n">
        <x:f>IF(ISBLANK('原始输入与口径'!A23),"",'原始输入与口径'!A23)</x:f>
        <x:v>45658.0625</x:v>
      </x:c>
      <x:c r="AT21" s="18" t="str">
        <x:f>IF(ISBLANK('原始输入与口径'!I23),"",'原始输入与口径'!I23)</x:f>
        <x:v>2025-01-01_3</x:v>
      </x:c>
      <x:c r="AU21" s="19" t="n">
        <x:f>IF(ISBLANK('原始输入与口径'!J23),"",'原始输入与口径'!J23)</x:f>
        <x:v>60</x:v>
      </x:c>
      <x:c r="AV21" s="18" t="str">
        <x:f>IF(ISBLANK('原始输入与口径'!BB23),"",'原始输入与口径'!BB23)</x:f>
        <x:v>OK</x:v>
      </x:c>
    </x:row>
    <x:row r="22" ht="21" customHeight="1">
      <x:c r="A22" s="17" t="n">
        <x:f>45658.15625</x:f>
        <x:v>45658.15625</x:v>
      </x:c>
      <x:c r="B22" s="23" t="n">
        <x:f>IF(ISNUMBER('原始输入与口径'!H24),'原始输入与口径'!H24,"缺失")</x:f>
        <x:v>124.42</x:v>
      </x:c>
      <x:c r="C22" s="23" t="str">
        <x:f>IF(ISNUMBER('原始输入与口径'!R24),'原始输入与口径'!R24,"缺失")</x:f>
        <x:v>缺失</x:v>
      </x:c>
      <x:c r="D22" s="23" t="n">
        <x:f>IF(ISNUMBER('原始输入与口径'!W24),'原始输入与口径'!W24,"缺失")</x:f>
        <x:v>13.71102309965622</x:v>
      </x:c>
      <x:c r="E22" s="23" t="n">
        <x:f>IF(ISNUMBER('原始输入与口径'!AB24),'原始输入与口径'!AB24,"缺失")</x:f>
        <x:v>14.710198829939085</x:v>
      </x:c>
      <x:c r="F22" s="23" t="n">
        <x:f>IF(ISNUMBER('原始输入与口径'!AG24),'原始输入与口径'!AG24,"缺失")</x:f>
        <x:v>136.70814820771596</x:v>
      </x:c>
      <x:c r="G22" s="23" t="n">
        <x:f>IF(ISNUMBER('原始输入与口径'!AJ24),'原始输入与口径'!AJ24,"缺失")</x:f>
        <x:v>56.34305703544359</x:v>
      </x:c>
      <x:c r="H22" s="23" t="str">
        <x:f>"未模拟"</x:f>
        <x:v>未模拟</x:v>
      </x:c>
      <x:c r="I22" s="24" t="n">
        <x:f>'原始输入与口径'!BD24</x:f>
        <x:v>10</x:v>
      </x:c>
      <x:c r="J22" s="24" t="n">
        <x:f>'原始输入与口径'!BE24</x:f>
        <x:v>10</x:v>
      </x:c>
      <x:c r="K22" s="24" t="n">
        <x:f>'原始输入与口径'!BF24</x:f>
        <x:v>0</x:v>
      </x:c>
      <x:c r="L22" s="24" t="n">
        <x:f>'原始输入与口径'!BG24</x:f>
        <x:v>0</x:v>
      </x:c>
      <x:c r="M22" s="24" t="n">
        <x:f>'原始输入与口径'!BH24</x:f>
        <x:v>0</x:v>
      </x:c>
      <x:c r="N22" s="24" t="n">
        <x:f>'原始输入与口径'!BI24</x:f>
        <x:v>0</x:v>
      </x:c>
      <x:c r="O22" s="24" t="n">
        <x:f>M22*AE22*AC22</x:f>
        <x:v>0</x:v>
      </x:c>
      <x:c r="P22" s="24" t="n">
        <x:f>N22*AF22*AC22</x:f>
        <x:v>0</x:v>
      </x:c>
      <x:c r="Q22" s="25" t="n">
        <x:f>IF(K22=0,0,IF(ISNUMBER(B22),K22*AC22*B22,NA()))</x:f>
        <x:v>0</x:v>
      </x:c>
      <x:c r="R22" s="25" t="n">
        <x:f>IF(L22=0,0,IF(ISNUMBER(C22),L22*AC22*C22*AD22,NA()))</x:f>
        <x:v>0</x:v>
      </x:c>
      <x:c r="S22" s="25" t="n">
        <x:f>IF(M22=0,0,IF(ISNUMBER(D22),M22*AC22*D22*AD22,NA()))</x:f>
        <x:v>0</x:v>
      </x:c>
      <x:c r="T22" s="25" t="n">
        <x:f>IF(N22=0,0,IF(ISNUMBER(E22),N22*AC22*E22*AD22,NA()))</x:f>
        <x:v>0</x:v>
      </x:c>
      <x:c r="U22" s="25" t="n">
        <x:f>IF(O22=0,0,IF(ISNUMBER(F22),O22*F22,NA()))</x:f>
        <x:v>0</x:v>
      </x:c>
      <x:c r="V22" s="25" t="n">
        <x:f>IF(P22=0,0,IF(ISNUMBER(G22),-P22*G22,NA()))</x:f>
        <x:v>0</x:v>
      </x:c>
      <x:c r="W22" s="25" t="n">
        <x:f>SUM(Q22:V22)</x:f>
        <x:v>0</x:v>
      </x:c>
      <x:c r="X22" s="18" t="n">
        <x:f>'原始输入与口径'!BR24</x:f>
        <x:v>0</x:v>
      </x:c>
      <x:c r="Y22" s="18" t="n">
        <x:f>W22-X22</x:f>
        <x:v>0</x:v>
      </x:c>
      <x:c r="Z22" s="18" t="str">
        <x:f>"1月1日执行｜初始化零订单"</x:f>
        <x:v>1月1日执行｜初始化零订单</x:v>
      </x:c>
      <x:c r="AA22" s="19" t="n">
        <x:f>IF('原始输入与口径'!AW24,1,0)</x:f>
        <x:v>1</x:v>
      </x:c>
      <x:c r="AB22" s="19" t="n">
        <x:f>IF('原始输入与口径'!AY24,1,0)</x:f>
        <x:v>0</x:v>
      </x:c>
      <x:c r="AC22" s="18" t="n">
        <x:f>'原始输入与口径'!E24</x:f>
        <x:v>0.25</x:v>
      </x:c>
      <x:c r="AD22" s="20" t="n">
        <x:f>'原始输入与口径'!$F$5</x:f>
        <x:v>1</x:v>
      </x:c>
      <x:c r="AE22" s="20" t="n">
        <x:f>IF(AA22=0,0,AI22/(AG22*AC22))</x:f>
        <x:v>0.00006</x:v>
      </x:c>
      <x:c r="AF22" s="20" t="n">
        <x:f>IF(AA22=0,0,AJ22/(AH22*AC22))</x:f>
        <x:v>0.00508</x:v>
      </x:c>
      <x:c r="AG22" s="18" t="n">
        <x:f>IF(ISNUMBER('原始输入与口径'!T24),'原始输入与口径'!T24,"缺失")</x:f>
        <x:v>200</x:v>
      </x:c>
      <x:c r="AH22" s="18" t="n">
        <x:f>IF(ISNUMBER('原始输入与口径'!Y24),'原始输入与口径'!Y24,"缺失")</x:f>
        <x:v>200</x:v>
      </x:c>
      <x:c r="AI22" s="18" t="n">
        <x:f>IF(ISNUMBER('原始输入与口径'!AI24),'原始输入与口径'!AI24,"缺失")</x:f>
        <x:v>0.003</x:v>
      </x:c>
      <x:c r="AJ22" s="18" t="n">
        <x:f>IF(ISNUMBER('原始输入与口径'!AL24),'原始输入与口径'!AL24,"缺失")</x:f>
        <x:v>0.254</x:v>
      </x:c>
      <x:c r="AK22" s="18" t="str">
        <x:f>IF(ISNUMBER('原始输入与口径'!O24),'原始输入与口径'!O24,"缺失")</x:f>
        <x:v>缺失</x:v>
      </x:c>
      <x:c r="AL22" s="18" t="n">
        <x:f>SUMIFS('相位SOC复算'!$N$7:$N$443,'相位SOC复算'!$S$7:$S$443,16)</x:f>
        <x:v>0</x:v>
      </x:c>
      <x:c r="AM22" s="18" t="n">
        <x:f>SUMIFS('相位SOC复算'!$Q$7:$Q$443,'相位SOC复算'!$S$7:$S$443,16)</x:f>
        <x:v>0</x:v>
      </x:c>
      <x:c r="AN22" s="18" t="n">
        <x:f>SUMIFS('相位SOC复算'!$R$7:$R$443,'相位SOC复算'!$S$7:$S$443,16)</x:f>
        <x:v>0</x:v>
      </x:c>
      <x:c r="AO22" s="18" t="n">
        <x:f>'相位SOC复算'!J50</x:f>
        <x:v>10</x:v>
      </x:c>
      <x:c r="AP22" s="18" t="n">
        <x:f>AO22-J22</x:f>
        <x:v>0</x:v>
      </x:c>
      <x:c r="AQ22" s="18" t="n">
        <x:f>IF(ISBLANK('原始输入与口径'!M24),"",'原始输入与口径'!M24)</x:f>
        <x:v>4.9741</x:v>
      </x:c>
      <x:c r="AR22" s="21" t="n">
        <x:f>IF(ISBLANK('原始输入与口径'!L24),"",'原始输入与口径'!L24)</x:f>
        <x:v>45657</x:v>
      </x:c>
      <x:c r="AS22" s="17" t="n">
        <x:f>IF(ISBLANK('原始输入与口径'!A24),"",'原始输入与口径'!A24)</x:f>
        <x:v>45658.072916666664</x:v>
      </x:c>
      <x:c r="AT22" s="18" t="str">
        <x:f>IF(ISBLANK('原始输入与口径'!I24),"",'原始输入与口径'!I24)</x:f>
        <x:v>2025-01-01_3</x:v>
      </x:c>
      <x:c r="AU22" s="19" t="n">
        <x:f>IF(ISBLANK('原始输入与口径'!J24),"",'原始输入与口径'!J24)</x:f>
        <x:v>60</x:v>
      </x:c>
      <x:c r="AV22" s="18" t="str">
        <x:f>IF(ISBLANK('原始输入与口径'!BB24),"",'原始输入与口径'!BB24)</x:f>
        <x:v>OK</x:v>
      </x:c>
    </x:row>
    <x:row r="23" ht="21" customHeight="1">
      <x:c r="A23" s="17" t="n">
        <x:f>45658.166666666664</x:f>
        <x:v>45658.166666666664</x:v>
      </x:c>
      <x:c r="B23" s="23" t="n">
        <x:f>IF(ISNUMBER('原始输入与口径'!H25),'原始输入与口径'!H25,"缺失")</x:f>
        <x:v>84.48</x:v>
      </x:c>
      <x:c r="C23" s="23" t="str">
        <x:f>IF(ISNUMBER('原始输入与口径'!R25),'原始输入与口径'!R25,"缺失")</x:f>
        <x:v>缺失</x:v>
      </x:c>
      <x:c r="D23" s="23" t="n">
        <x:f>IF(ISNUMBER('原始输入与口径'!W25),'原始输入与口径'!W25,"缺失")</x:f>
        <x:v>13.71102309965622</x:v>
      </x:c>
      <x:c r="E23" s="23" t="n">
        <x:f>IF(ISNUMBER('原始输入与口径'!AB25),'原始输入与口径'!AB25,"缺失")</x:f>
        <x:v>14.710198829939085</x:v>
      </x:c>
      <x:c r="F23" s="23" t="n">
        <x:f>IF(ISNUMBER('原始输入与口径'!AG25),'原始输入与口径'!AG25,"缺失")</x:f>
        <x:v>0</x:v>
      </x:c>
      <x:c r="G23" s="23" t="n">
        <x:f>IF(ISNUMBER('原始输入与口径'!AJ25),'原始输入与口径'!AJ25,"缺失")</x:f>
        <x:v>59.99195834422308</x:v>
      </x:c>
      <x:c r="H23" s="23" t="str">
        <x:f>"未模拟"</x:f>
        <x:v>未模拟</x:v>
      </x:c>
      <x:c r="I23" s="24" t="n">
        <x:f>'原始输入与口径'!BD25</x:f>
        <x:v>10</x:v>
      </x:c>
      <x:c r="J23" s="24" t="n">
        <x:f>'原始输入与口径'!BE25</x:f>
        <x:v>10</x:v>
      </x:c>
      <x:c r="K23" s="24" t="n">
        <x:f>'原始输入与口径'!BF25</x:f>
        <x:v>0</x:v>
      </x:c>
      <x:c r="L23" s="24" t="n">
        <x:f>'原始输入与口径'!BG25</x:f>
        <x:v>0</x:v>
      </x:c>
      <x:c r="M23" s="24" t="n">
        <x:f>'原始输入与口径'!BH25</x:f>
        <x:v>0</x:v>
      </x:c>
      <x:c r="N23" s="24" t="n">
        <x:f>'原始输入与口径'!BI25</x:f>
        <x:v>0</x:v>
      </x:c>
      <x:c r="O23" s="24" t="n">
        <x:f>M23*AE23*AC23</x:f>
        <x:v>0</x:v>
      </x:c>
      <x:c r="P23" s="24" t="n">
        <x:f>N23*AF23*AC23</x:f>
        <x:v>0</x:v>
      </x:c>
      <x:c r="Q23" s="25" t="n">
        <x:f>IF(K23=0,0,IF(ISNUMBER(B23),K23*AC23*B23,NA()))</x:f>
        <x:v>0</x:v>
      </x:c>
      <x:c r="R23" s="25" t="n">
        <x:f>IF(L23=0,0,IF(ISNUMBER(C23),L23*AC23*C23*AD23,NA()))</x:f>
        <x:v>0</x:v>
      </x:c>
      <x:c r="S23" s="25" t="n">
        <x:f>IF(M23=0,0,IF(ISNUMBER(D23),M23*AC23*D23*AD23,NA()))</x:f>
        <x:v>0</x:v>
      </x:c>
      <x:c r="T23" s="25" t="n">
        <x:f>IF(N23=0,0,IF(ISNUMBER(E23),N23*AC23*E23*AD23,NA()))</x:f>
        <x:v>0</x:v>
      </x:c>
      <x:c r="U23" s="25" t="n">
        <x:f>IF(O23=0,0,IF(ISNUMBER(F23),O23*F23,NA()))</x:f>
        <x:v>0</x:v>
      </x:c>
      <x:c r="V23" s="25" t="n">
        <x:f>IF(P23=0,0,IF(ISNUMBER(G23),-P23*G23,NA()))</x:f>
        <x:v>0</x:v>
      </x:c>
      <x:c r="W23" s="25" t="n">
        <x:f>SUM(Q23:V23)</x:f>
        <x:v>0</x:v>
      </x:c>
      <x:c r="X23" s="18" t="n">
        <x:f>'原始输入与口径'!BR25</x:f>
        <x:v>0</x:v>
      </x:c>
      <x:c r="Y23" s="18" t="n">
        <x:f>W23-X23</x:f>
        <x:v>0</x:v>
      </x:c>
      <x:c r="Z23" s="18" t="str">
        <x:f>"1月1日执行｜初始化零订单"</x:f>
        <x:v>1月1日执行｜初始化零订单</x:v>
      </x:c>
      <x:c r="AA23" s="19" t="n">
        <x:f>IF('原始输入与口径'!AW25,1,0)</x:f>
        <x:v>1</x:v>
      </x:c>
      <x:c r="AB23" s="19" t="n">
        <x:f>IF('原始输入与口径'!AY25,1,0)</x:f>
        <x:v>0</x:v>
      </x:c>
      <x:c r="AC23" s="18" t="n">
        <x:f>'原始输入与口径'!E25</x:f>
        <x:v>0.25</x:v>
      </x:c>
      <x:c r="AD23" s="20" t="n">
        <x:f>'原始输入与口径'!$F$5</x:f>
        <x:v>1</x:v>
      </x:c>
      <x:c r="AE23" s="20" t="n">
        <x:f>IF(AA23=0,0,AI23/(AG23*AC23))</x:f>
        <x:v>0</x:v>
      </x:c>
      <x:c r="AF23" s="20" t="n">
        <x:f>IF(AA23=0,0,AJ23/(AH23*AC23))</x:f>
        <x:v>0.013340000000000001</x:v>
      </x:c>
      <x:c r="AG23" s="18" t="n">
        <x:f>IF(ISNUMBER('原始输入与口径'!T25),'原始输入与口径'!T25,"缺失")</x:f>
        <x:v>200</x:v>
      </x:c>
      <x:c r="AH23" s="18" t="n">
        <x:f>IF(ISNUMBER('原始输入与口径'!Y25),'原始输入与口径'!Y25,"缺失")</x:f>
        <x:v>200</x:v>
      </x:c>
      <x:c r="AI23" s="18" t="n">
        <x:f>IF(ISNUMBER('原始输入与口径'!AI25),'原始输入与口径'!AI25,"缺失")</x:f>
        <x:v>0</x:v>
      </x:c>
      <x:c r="AJ23" s="18" t="n">
        <x:f>IF(ISNUMBER('原始输入与口径'!AL25),'原始输入与口径'!AL25,"缺失")</x:f>
        <x:v>0.667</x:v>
      </x:c>
      <x:c r="AK23" s="18" t="str">
        <x:f>IF(ISNUMBER('原始输入与口径'!O25),'原始输入与口径'!O25,"缺失")</x:f>
        <x:v>缺失</x:v>
      </x:c>
      <x:c r="AL23" s="18" t="n">
        <x:f>SUMIFS('相位SOC复算'!$N$7:$N$443,'相位SOC复算'!$S$7:$S$443,17)</x:f>
        <x:v>0</x:v>
      </x:c>
      <x:c r="AM23" s="18" t="n">
        <x:f>SUMIFS('相位SOC复算'!$Q$7:$Q$443,'相位SOC复算'!$S$7:$S$443,17)</x:f>
        <x:v>0</x:v>
      </x:c>
      <x:c r="AN23" s="18" t="n">
        <x:f>SUMIFS('相位SOC复算'!$R$7:$R$443,'相位SOC复算'!$S$7:$S$443,17)</x:f>
        <x:v>0</x:v>
      </x:c>
      <x:c r="AO23" s="18" t="n">
        <x:f>'相位SOC复算'!J52</x:f>
        <x:v>10</x:v>
      </x:c>
      <x:c r="AP23" s="18" t="n">
        <x:f>AO23-J23</x:f>
        <x:v>0</x:v>
      </x:c>
      <x:c r="AQ23" s="18" t="n">
        <x:f>IF(ISBLANK('原始输入与口径'!M25),"",'原始输入与口径'!M25)</x:f>
        <x:v>4.9741</x:v>
      </x:c>
      <x:c r="AR23" s="21" t="n">
        <x:f>IF(ISBLANK('原始输入与口径'!L25),"",'原始输入与口径'!L25)</x:f>
        <x:v>45657</x:v>
      </x:c>
      <x:c r="AS23" s="17" t="n">
        <x:f>IF(ISBLANK('原始输入与口径'!A25),"",'原始输入与口径'!A25)</x:f>
        <x:v>45658.083333333336</x:v>
      </x:c>
      <x:c r="AT23" s="18" t="str">
        <x:f>IF(ISBLANK('原始输入与口径'!I25),"",'原始输入与口径'!I25)</x:f>
        <x:v>2025-01-01_4</x:v>
      </x:c>
      <x:c r="AU23" s="19" t="n">
        <x:f>IF(ISBLANK('原始输入与口径'!J25),"",'原始输入与口径'!J25)</x:f>
        <x:v>60</x:v>
      </x:c>
      <x:c r="AV23" s="18" t="str">
        <x:f>IF(ISBLANK('原始输入与口径'!BB25),"",'原始输入与口径'!BB25)</x:f>
        <x:v>OK</x:v>
      </x:c>
    </x:row>
    <x:row r="24" ht="21" customHeight="1">
      <x:c r="A24" s="17" t="n">
        <x:f>45658.177083333336</x:f>
        <x:v>45658.177083333336</x:v>
      </x:c>
      <x:c r="B24" s="23" t="n">
        <x:f>IF(ISNUMBER('原始输入与口径'!H26),'原始输入与口径'!H26,"缺失")</x:f>
        <x:v>84.48</x:v>
      </x:c>
      <x:c r="C24" s="23" t="str">
        <x:f>IF(ISNUMBER('原始输入与口径'!R26),'原始输入与口径'!R26,"缺失")</x:f>
        <x:v>缺失</x:v>
      </x:c>
      <x:c r="D24" s="23" t="n">
        <x:f>IF(ISNUMBER('原始输入与口径'!W26),'原始输入与口径'!W26,"缺失")</x:f>
        <x:v>13.71102309965622</x:v>
      </x:c>
      <x:c r="E24" s="23" t="n">
        <x:f>IF(ISNUMBER('原始输入与口径'!AB26),'原始输入与口径'!AB26,"缺失")</x:f>
        <x:v>14.710198829939085</x:v>
      </x:c>
      <x:c r="F24" s="23" t="n">
        <x:f>IF(ISNUMBER('原始输入与口径'!AG26),'原始输入与口径'!AG26,"缺失")</x:f>
        <x:v>136.70814820771596</x:v>
      </x:c>
      <x:c r="G24" s="23" t="n">
        <x:f>IF(ISNUMBER('原始输入与口径'!AJ26),'原始输入与口径'!AJ26,"缺失")</x:f>
        <x:v>59.1240626444985</x:v>
      </x:c>
      <x:c r="H24" s="23" t="str">
        <x:f>"未模拟"</x:f>
        <x:v>未模拟</x:v>
      </x:c>
      <x:c r="I24" s="24" t="n">
        <x:f>'原始输入与口径'!BD26</x:f>
        <x:v>10</x:v>
      </x:c>
      <x:c r="J24" s="24" t="n">
        <x:f>'原始输入与口径'!BE26</x:f>
        <x:v>10</x:v>
      </x:c>
      <x:c r="K24" s="24" t="n">
        <x:f>'原始输入与口径'!BF26</x:f>
        <x:v>0</x:v>
      </x:c>
      <x:c r="L24" s="24" t="n">
        <x:f>'原始输入与口径'!BG26</x:f>
        <x:v>0</x:v>
      </x:c>
      <x:c r="M24" s="24" t="n">
        <x:f>'原始输入与口径'!BH26</x:f>
        <x:v>0</x:v>
      </x:c>
      <x:c r="N24" s="24" t="n">
        <x:f>'原始输入与口径'!BI26</x:f>
        <x:v>0</x:v>
      </x:c>
      <x:c r="O24" s="24" t="n">
        <x:f>M24*AE24*AC24</x:f>
        <x:v>0</x:v>
      </x:c>
      <x:c r="P24" s="24" t="n">
        <x:f>N24*AF24*AC24</x:f>
        <x:v>0</x:v>
      </x:c>
      <x:c r="Q24" s="25" t="n">
        <x:f>IF(K24=0,0,IF(ISNUMBER(B24),K24*AC24*B24,NA()))</x:f>
        <x:v>0</x:v>
      </x:c>
      <x:c r="R24" s="25" t="n">
        <x:f>IF(L24=0,0,IF(ISNUMBER(C24),L24*AC24*C24*AD24,NA()))</x:f>
        <x:v>0</x:v>
      </x:c>
      <x:c r="S24" s="25" t="n">
        <x:f>IF(M24=0,0,IF(ISNUMBER(D24),M24*AC24*D24*AD24,NA()))</x:f>
        <x:v>0</x:v>
      </x:c>
      <x:c r="T24" s="25" t="n">
        <x:f>IF(N24=0,0,IF(ISNUMBER(E24),N24*AC24*E24*AD24,NA()))</x:f>
        <x:v>0</x:v>
      </x:c>
      <x:c r="U24" s="25" t="n">
        <x:f>IF(O24=0,0,IF(ISNUMBER(F24),O24*F24,NA()))</x:f>
        <x:v>0</x:v>
      </x:c>
      <x:c r="V24" s="25" t="n">
        <x:f>IF(P24=0,0,IF(ISNUMBER(G24),-P24*G24,NA()))</x:f>
        <x:v>0</x:v>
      </x:c>
      <x:c r="W24" s="25" t="n">
        <x:f>SUM(Q24:V24)</x:f>
        <x:v>0</x:v>
      </x:c>
      <x:c r="X24" s="18" t="n">
        <x:f>'原始输入与口径'!BR26</x:f>
        <x:v>0</x:v>
      </x:c>
      <x:c r="Y24" s="18" t="n">
        <x:f>W24-X24</x:f>
        <x:v>0</x:v>
      </x:c>
      <x:c r="Z24" s="18" t="str">
        <x:f>"1月1日执行｜初始化零订单"</x:f>
        <x:v>1月1日执行｜初始化零订单</x:v>
      </x:c>
      <x:c r="AA24" s="19" t="n">
        <x:f>IF('原始输入与口径'!AW26,1,0)</x:f>
        <x:v>1</x:v>
      </x:c>
      <x:c r="AB24" s="19" t="n">
        <x:f>IF('原始输入与口径'!AY26,1,0)</x:f>
        <x:v>0</x:v>
      </x:c>
      <x:c r="AC24" s="18" t="n">
        <x:f>'原始输入与口径'!E26</x:f>
        <x:v>0.25</x:v>
      </x:c>
      <x:c r="AD24" s="20" t="n">
        <x:f>'原始输入与口径'!$F$5</x:f>
        <x:v>1</x:v>
      </x:c>
      <x:c r="AE24" s="20" t="n">
        <x:f>IF(AA24=0,0,AI24/(AG24*AC24))</x:f>
        <x:v>0.02004</x:v>
      </x:c>
      <x:c r="AF24" s="20" t="n">
        <x:f>IF(AA24=0,0,AJ24/(AH24*AC24))</x:f>
        <x:v>0.01576</x:v>
      </x:c>
      <x:c r="AG24" s="18" t="n">
        <x:f>IF(ISNUMBER('原始输入与口径'!T26),'原始输入与口径'!T26,"缺失")</x:f>
        <x:v>200</x:v>
      </x:c>
      <x:c r="AH24" s="18" t="n">
        <x:f>IF(ISNUMBER('原始输入与口径'!Y26),'原始输入与口径'!Y26,"缺失")</x:f>
        <x:v>200</x:v>
      </x:c>
      <x:c r="AI24" s="18" t="n">
        <x:f>IF(ISNUMBER('原始输入与口径'!AI26),'原始输入与口径'!AI26,"缺失")</x:f>
        <x:v>1.002</x:v>
      </x:c>
      <x:c r="AJ24" s="18" t="n">
        <x:f>IF(ISNUMBER('原始输入与口径'!AL26),'原始输入与口径'!AL26,"缺失")</x:f>
        <x:v>0.788</x:v>
      </x:c>
      <x:c r="AK24" s="18" t="str">
        <x:f>IF(ISNUMBER('原始输入与口径'!O26),'原始输入与口径'!O26,"缺失")</x:f>
        <x:v>缺失</x:v>
      </x:c>
      <x:c r="AL24" s="18" t="n">
        <x:f>SUMIFS('相位SOC复算'!$N$7:$N$443,'相位SOC复算'!$S$7:$S$443,18)</x:f>
        <x:v>0</x:v>
      </x:c>
      <x:c r="AM24" s="18" t="n">
        <x:f>SUMIFS('相位SOC复算'!$Q$7:$Q$443,'相位SOC复算'!$S$7:$S$443,18)</x:f>
        <x:v>0</x:v>
      </x:c>
      <x:c r="AN24" s="18" t="n">
        <x:f>SUMIFS('相位SOC复算'!$R$7:$R$443,'相位SOC复算'!$S$7:$S$443,18)</x:f>
        <x:v>0</x:v>
      </x:c>
      <x:c r="AO24" s="18" t="n">
        <x:f>'相位SOC复算'!J55</x:f>
        <x:v>10</x:v>
      </x:c>
      <x:c r="AP24" s="18" t="n">
        <x:f>AO24-J24</x:f>
        <x:v>0</x:v>
      </x:c>
      <x:c r="AQ24" s="18" t="n">
        <x:f>IF(ISBLANK('原始输入与口径'!M26),"",'原始输入与口径'!M26)</x:f>
        <x:v>4.9741</x:v>
      </x:c>
      <x:c r="AR24" s="21" t="n">
        <x:f>IF(ISBLANK('原始输入与口径'!L26),"",'原始输入与口径'!L26)</x:f>
        <x:v>45657</x:v>
      </x:c>
      <x:c r="AS24" s="17" t="n">
        <x:f>IF(ISBLANK('原始输入与口径'!A26),"",'原始输入与口径'!A26)</x:f>
        <x:v>45658.09375</x:v>
      </x:c>
      <x:c r="AT24" s="18" t="str">
        <x:f>IF(ISBLANK('原始输入与口径'!I26),"",'原始输入与口径'!I26)</x:f>
        <x:v>2025-01-01_4</x:v>
      </x:c>
      <x:c r="AU24" s="19" t="n">
        <x:f>IF(ISBLANK('原始输入与口径'!J26),"",'原始输入与口径'!J26)</x:f>
        <x:v>60</x:v>
      </x:c>
      <x:c r="AV24" s="18" t="str">
        <x:f>IF(ISBLANK('原始输入与口径'!BB26),"",'原始输入与口径'!BB26)</x:f>
        <x:v>OK</x:v>
      </x:c>
    </x:row>
    <x:row r="25" ht="21" customHeight="1">
      <x:c r="A25" s="17" t="n">
        <x:f>45658.1875</x:f>
        <x:v>45658.1875</x:v>
      </x:c>
      <x:c r="B25" s="23" t="n">
        <x:f>IF(ISNUMBER('原始输入与口径'!H27),'原始输入与口径'!H27,"缺失")</x:f>
        <x:v>84.48</x:v>
      </x:c>
      <x:c r="C25" s="23" t="str">
        <x:f>IF(ISNUMBER('原始输入与口径'!R27),'原始输入与口径'!R27,"缺失")</x:f>
        <x:v>缺失</x:v>
      </x:c>
      <x:c r="D25" s="23" t="n">
        <x:f>IF(ISNUMBER('原始输入与口径'!W27),'原始输入与口径'!W27,"缺失")</x:f>
        <x:v>13.71102309965622</x:v>
      </x:c>
      <x:c r="E25" s="23" t="n">
        <x:f>IF(ISNUMBER('原始输入与口径'!AB27),'原始输入与口径'!AB27,"缺失")</x:f>
        <x:v>14.710198829939085</x:v>
      </x:c>
      <x:c r="F25" s="23" t="n">
        <x:f>IF(ISNUMBER('原始输入与口径'!AG27),'原始输入与口径'!AG27,"缺失")</x:f>
        <x:v>136.70814820771596</x:v>
      </x:c>
      <x:c r="G25" s="23" t="n">
        <x:f>IF(ISNUMBER('原始输入与口径'!AJ27),'原始输入与口径'!AJ27,"缺失")</x:f>
        <x:v>0</x:v>
      </x:c>
      <x:c r="H25" s="23" t="str">
        <x:f>"未模拟"</x:f>
        <x:v>未模拟</x:v>
      </x:c>
      <x:c r="I25" s="24" t="n">
        <x:f>'原始输入与口径'!BD27</x:f>
        <x:v>10</x:v>
      </x:c>
      <x:c r="J25" s="24" t="n">
        <x:f>'原始输入与口径'!BE27</x:f>
        <x:v>10</x:v>
      </x:c>
      <x:c r="K25" s="24" t="n">
        <x:f>'原始输入与口径'!BF27</x:f>
        <x:v>0</x:v>
      </x:c>
      <x:c r="L25" s="24" t="n">
        <x:f>'原始输入与口径'!BG27</x:f>
        <x:v>0</x:v>
      </x:c>
      <x:c r="M25" s="24" t="n">
        <x:f>'原始输入与口径'!BH27</x:f>
        <x:v>0</x:v>
      </x:c>
      <x:c r="N25" s="24" t="n">
        <x:f>'原始输入与口径'!BI27</x:f>
        <x:v>0</x:v>
      </x:c>
      <x:c r="O25" s="24" t="n">
        <x:f>M25*AE25*AC25</x:f>
        <x:v>0</x:v>
      </x:c>
      <x:c r="P25" s="24" t="n">
        <x:f>N25*AF25*AC25</x:f>
        <x:v>0</x:v>
      </x:c>
      <x:c r="Q25" s="25" t="n">
        <x:f>IF(K25=0,0,IF(ISNUMBER(B25),K25*AC25*B25,NA()))</x:f>
        <x:v>0</x:v>
      </x:c>
      <x:c r="R25" s="25" t="n">
        <x:f>IF(L25=0,0,IF(ISNUMBER(C25),L25*AC25*C25*AD25,NA()))</x:f>
        <x:v>0</x:v>
      </x:c>
      <x:c r="S25" s="25" t="n">
        <x:f>IF(M25=0,0,IF(ISNUMBER(D25),M25*AC25*D25*AD25,NA()))</x:f>
        <x:v>0</x:v>
      </x:c>
      <x:c r="T25" s="25" t="n">
        <x:f>IF(N25=0,0,IF(ISNUMBER(E25),N25*AC25*E25*AD25,NA()))</x:f>
        <x:v>0</x:v>
      </x:c>
      <x:c r="U25" s="25" t="n">
        <x:f>IF(O25=0,0,IF(ISNUMBER(F25),O25*F25,NA()))</x:f>
        <x:v>0</x:v>
      </x:c>
      <x:c r="V25" s="25" t="n">
        <x:f>IF(P25=0,0,IF(ISNUMBER(G25),-P25*G25,NA()))</x:f>
        <x:v>0</x:v>
      </x:c>
      <x:c r="W25" s="25" t="n">
        <x:f>SUM(Q25:V25)</x:f>
        <x:v>0</x:v>
      </x:c>
      <x:c r="X25" s="18" t="n">
        <x:f>'原始输入与口径'!BR27</x:f>
        <x:v>0</x:v>
      </x:c>
      <x:c r="Y25" s="18" t="n">
        <x:f>W25-X25</x:f>
        <x:v>0</x:v>
      </x:c>
      <x:c r="Z25" s="18" t="str">
        <x:f>"1月1日执行｜初始化零订单"</x:f>
        <x:v>1月1日执行｜初始化零订单</x:v>
      </x:c>
      <x:c r="AA25" s="19" t="n">
        <x:f>IF('原始输入与口径'!AW27,1,0)</x:f>
        <x:v>1</x:v>
      </x:c>
      <x:c r="AB25" s="19" t="n">
        <x:f>IF('原始输入与口径'!AY27,1,0)</x:f>
        <x:v>0</x:v>
      </x:c>
      <x:c r="AC25" s="18" t="n">
        <x:f>'原始输入与口径'!E27</x:f>
        <x:v>0.25</x:v>
      </x:c>
      <x:c r="AD25" s="20" t="n">
        <x:f>'原始输入与口径'!$F$5</x:f>
        <x:v>1</x:v>
      </x:c>
      <x:c r="AE25" s="20" t="n">
        <x:f>IF(AA25=0,0,AI25/(AG25*AC25))</x:f>
        <x:v>0.04598</x:v>
      </x:c>
      <x:c r="AF25" s="20" t="n">
        <x:f>IF(AA25=0,0,AJ25/(AH25*AC25))</x:f>
        <x:v>0</x:v>
      </x:c>
      <x:c r="AG25" s="18" t="n">
        <x:f>IF(ISNUMBER('原始输入与口径'!T27),'原始输入与口径'!T27,"缺失")</x:f>
        <x:v>200</x:v>
      </x:c>
      <x:c r="AH25" s="18" t="n">
        <x:f>IF(ISNUMBER('原始输入与口径'!Y27),'原始输入与口径'!Y27,"缺失")</x:f>
        <x:v>200</x:v>
      </x:c>
      <x:c r="AI25" s="18" t="n">
        <x:f>IF(ISNUMBER('原始输入与口径'!AI27),'原始输入与口径'!AI27,"缺失")</x:f>
        <x:v>2.299</x:v>
      </x:c>
      <x:c r="AJ25" s="18" t="n">
        <x:f>IF(ISNUMBER('原始输入与口径'!AL27),'原始输入与口径'!AL27,"缺失")</x:f>
        <x:v>0</x:v>
      </x:c>
      <x:c r="AK25" s="18" t="str">
        <x:f>IF(ISNUMBER('原始输入与口径'!O27),'原始输入与口径'!O27,"缺失")</x:f>
        <x:v>缺失</x:v>
      </x:c>
      <x:c r="AL25" s="18" t="n">
        <x:f>SUMIFS('相位SOC复算'!$N$7:$N$443,'相位SOC复算'!$S$7:$S$443,19)</x:f>
        <x:v>0</x:v>
      </x:c>
      <x:c r="AM25" s="18" t="n">
        <x:f>SUMIFS('相位SOC复算'!$Q$7:$Q$443,'相位SOC复算'!$S$7:$S$443,19)</x:f>
        <x:v>0</x:v>
      </x:c>
      <x:c r="AN25" s="18" t="n">
        <x:f>SUMIFS('相位SOC复算'!$R$7:$R$443,'相位SOC复算'!$S$7:$S$443,19)</x:f>
        <x:v>0</x:v>
      </x:c>
      <x:c r="AO25" s="18" t="n">
        <x:f>'相位SOC复算'!J57</x:f>
        <x:v>10</x:v>
      </x:c>
      <x:c r="AP25" s="18" t="n">
        <x:f>AO25-J25</x:f>
        <x:v>0</x:v>
      </x:c>
      <x:c r="AQ25" s="18" t="n">
        <x:f>IF(ISBLANK('原始输入与口径'!M27),"",'原始输入与口径'!M27)</x:f>
        <x:v>4.9741</x:v>
      </x:c>
      <x:c r="AR25" s="21" t="n">
        <x:f>IF(ISBLANK('原始输入与口径'!L27),"",'原始输入与口径'!L27)</x:f>
        <x:v>45657</x:v>
      </x:c>
      <x:c r="AS25" s="17" t="n">
        <x:f>IF(ISBLANK('原始输入与口径'!A27),"",'原始输入与口径'!A27)</x:f>
        <x:v>45658.104166666664</x:v>
      </x:c>
      <x:c r="AT25" s="18" t="str">
        <x:f>IF(ISBLANK('原始输入与口径'!I27),"",'原始输入与口径'!I27)</x:f>
        <x:v>2025-01-01_4</x:v>
      </x:c>
      <x:c r="AU25" s="19" t="n">
        <x:f>IF(ISBLANK('原始输入与口径'!J27),"",'原始输入与口径'!J27)</x:f>
        <x:v>60</x:v>
      </x:c>
      <x:c r="AV25" s="18" t="str">
        <x:f>IF(ISBLANK('原始输入与口径'!BB27),"",'原始输入与口径'!BB27)</x:f>
        <x:v>OK</x:v>
      </x:c>
    </x:row>
    <x:row r="26" ht="21" customHeight="1">
      <x:c r="A26" s="17" t="n">
        <x:f>45658.197916666664</x:f>
        <x:v>45658.197916666664</x:v>
      </x:c>
      <x:c r="B26" s="23" t="n">
        <x:f>IF(ISNUMBER('原始输入与口径'!H28),'原始输入与口径'!H28,"缺失")</x:f>
        <x:v>84.48</x:v>
      </x:c>
      <x:c r="C26" s="23" t="str">
        <x:f>IF(ISNUMBER('原始输入与口径'!R28),'原始输入与口径'!R28,"缺失")</x:f>
        <x:v>缺失</x:v>
      </x:c>
      <x:c r="D26" s="23" t="n">
        <x:f>IF(ISNUMBER('原始输入与口径'!W28),'原始输入与口径'!W28,"缺失")</x:f>
        <x:v>13.71102309965622</x:v>
      </x:c>
      <x:c r="E26" s="23" t="n">
        <x:f>IF(ISNUMBER('原始输入与口径'!AB28),'原始输入与口径'!AB28,"缺失")</x:f>
        <x:v>14.710198829939085</x:v>
      </x:c>
      <x:c r="F26" s="23" t="n">
        <x:f>IF(ISNUMBER('原始输入与口径'!AG28),'原始输入与口径'!AG28,"缺失")</x:f>
        <x:v>136.70814820771596</x:v>
      </x:c>
      <x:c r="G26" s="23" t="n">
        <x:f>IF(ISNUMBER('原始输入与口径'!AJ28),'原始输入与口径'!AJ28,"缺失")</x:f>
        <x:v>60.1113769325104</x:v>
      </x:c>
      <x:c r="H26" s="23" t="str">
        <x:f>"未模拟"</x:f>
        <x:v>未模拟</x:v>
      </x:c>
      <x:c r="I26" s="24" t="n">
        <x:f>'原始输入与口径'!BD28</x:f>
        <x:v>10</x:v>
      </x:c>
      <x:c r="J26" s="24" t="n">
        <x:f>'原始输入与口径'!BE28</x:f>
        <x:v>10</x:v>
      </x:c>
      <x:c r="K26" s="24" t="n">
        <x:f>'原始输入与口径'!BF28</x:f>
        <x:v>0</x:v>
      </x:c>
      <x:c r="L26" s="24" t="n">
        <x:f>'原始输入与口径'!BG28</x:f>
        <x:v>0</x:v>
      </x:c>
      <x:c r="M26" s="24" t="n">
        <x:f>'原始输入与口径'!BH28</x:f>
        <x:v>0</x:v>
      </x:c>
      <x:c r="N26" s="24" t="n">
        <x:f>'原始输入与口径'!BI28</x:f>
        <x:v>0</x:v>
      </x:c>
      <x:c r="O26" s="24" t="n">
        <x:f>M26*AE26*AC26</x:f>
        <x:v>0</x:v>
      </x:c>
      <x:c r="P26" s="24" t="n">
        <x:f>N26*AF26*AC26</x:f>
        <x:v>0</x:v>
      </x:c>
      <x:c r="Q26" s="25" t="n">
        <x:f>IF(K26=0,0,IF(ISNUMBER(B26),K26*AC26*B26,NA()))</x:f>
        <x:v>0</x:v>
      </x:c>
      <x:c r="R26" s="25" t="n">
        <x:f>IF(L26=0,0,IF(ISNUMBER(C26),L26*AC26*C26*AD26,NA()))</x:f>
        <x:v>0</x:v>
      </x:c>
      <x:c r="S26" s="25" t="n">
        <x:f>IF(M26=0,0,IF(ISNUMBER(D26),M26*AC26*D26*AD26,NA()))</x:f>
        <x:v>0</x:v>
      </x:c>
      <x:c r="T26" s="25" t="n">
        <x:f>IF(N26=0,0,IF(ISNUMBER(E26),N26*AC26*E26*AD26,NA()))</x:f>
        <x:v>0</x:v>
      </x:c>
      <x:c r="U26" s="25" t="n">
        <x:f>IF(O26=0,0,IF(ISNUMBER(F26),O26*F26,NA()))</x:f>
        <x:v>0</x:v>
      </x:c>
      <x:c r="V26" s="25" t="n">
        <x:f>IF(P26=0,0,IF(ISNUMBER(G26),-P26*G26,NA()))</x:f>
        <x:v>0</x:v>
      </x:c>
      <x:c r="W26" s="25" t="n">
        <x:f>SUM(Q26:V26)</x:f>
        <x:v>0</x:v>
      </x:c>
      <x:c r="X26" s="18" t="n">
        <x:f>'原始输入与口径'!BR28</x:f>
        <x:v>0</x:v>
      </x:c>
      <x:c r="Y26" s="18" t="n">
        <x:f>W26-X26</x:f>
        <x:v>0</x:v>
      </x:c>
      <x:c r="Z26" s="18" t="str">
        <x:f>"1月1日执行｜初始化零订单"</x:f>
        <x:v>1月1日执行｜初始化零订单</x:v>
      </x:c>
      <x:c r="AA26" s="19" t="n">
        <x:f>IF('原始输入与口径'!AW28,1,0)</x:f>
        <x:v>1</x:v>
      </x:c>
      <x:c r="AB26" s="19" t="n">
        <x:f>IF('原始输入与口径'!AY28,1,0)</x:f>
        <x:v>0</x:v>
      </x:c>
      <x:c r="AC26" s="18" t="n">
        <x:f>'原始输入与口径'!E28</x:f>
        <x:v>0.25</x:v>
      </x:c>
      <x:c r="AD26" s="20" t="n">
        <x:f>'原始输入与口径'!$F$5</x:f>
        <x:v>1</x:v>
      </x:c>
      <x:c r="AE26" s="20" t="n">
        <x:f>IF(AA26=0,0,AI26/(AG26*AC26))</x:f>
        <x:v>0.00256</x:v>
      </x:c>
      <x:c r="AF26" s="20" t="n">
        <x:f>IF(AA26=0,0,AJ26/(AH26*AC26))</x:f>
        <x:v>0.00422</x:v>
      </x:c>
      <x:c r="AG26" s="18" t="n">
        <x:f>IF(ISNUMBER('原始输入与口径'!T28),'原始输入与口径'!T28,"缺失")</x:f>
        <x:v>200</x:v>
      </x:c>
      <x:c r="AH26" s="18" t="n">
        <x:f>IF(ISNUMBER('原始输入与口径'!Y28),'原始输入与口径'!Y28,"缺失")</x:f>
        <x:v>200</x:v>
      </x:c>
      <x:c r="AI26" s="18" t="n">
        <x:f>IF(ISNUMBER('原始输入与口径'!AI28),'原始输入与口径'!AI28,"缺失")</x:f>
        <x:v>0.128</x:v>
      </x:c>
      <x:c r="AJ26" s="18" t="n">
        <x:f>IF(ISNUMBER('原始输入与口径'!AL28),'原始输入与口径'!AL28,"缺失")</x:f>
        <x:v>0.211</x:v>
      </x:c>
      <x:c r="AK26" s="18" t="str">
        <x:f>IF(ISNUMBER('原始输入与口径'!O28),'原始输入与口径'!O28,"缺失")</x:f>
        <x:v>缺失</x:v>
      </x:c>
      <x:c r="AL26" s="18" t="n">
        <x:f>SUMIFS('相位SOC复算'!$N$7:$N$443,'相位SOC复算'!$S$7:$S$443,20)</x:f>
        <x:v>0</x:v>
      </x:c>
      <x:c r="AM26" s="18" t="n">
        <x:f>SUMIFS('相位SOC复算'!$Q$7:$Q$443,'相位SOC复算'!$S$7:$S$443,20)</x:f>
        <x:v>0</x:v>
      </x:c>
      <x:c r="AN26" s="18" t="n">
        <x:f>SUMIFS('相位SOC复算'!$R$7:$R$443,'相位SOC复算'!$S$7:$S$443,20)</x:f>
        <x:v>0</x:v>
      </x:c>
      <x:c r="AO26" s="18" t="n">
        <x:f>'相位SOC复算'!J60</x:f>
        <x:v>10</x:v>
      </x:c>
      <x:c r="AP26" s="18" t="n">
        <x:f>AO26-J26</x:f>
        <x:v>0</x:v>
      </x:c>
      <x:c r="AQ26" s="18" t="n">
        <x:f>IF(ISBLANK('原始输入与口径'!M28),"",'原始输入与口径'!M28)</x:f>
        <x:v>4.9741</x:v>
      </x:c>
      <x:c r="AR26" s="21" t="n">
        <x:f>IF(ISBLANK('原始输入与口径'!L28),"",'原始输入与口径'!L28)</x:f>
        <x:v>45657</x:v>
      </x:c>
      <x:c r="AS26" s="17" t="n">
        <x:f>IF(ISBLANK('原始输入与口径'!A28),"",'原始输入与口径'!A28)</x:f>
        <x:v>45658.114583333336</x:v>
      </x:c>
      <x:c r="AT26" s="18" t="str">
        <x:f>IF(ISBLANK('原始输入与口径'!I28),"",'原始输入与口径'!I28)</x:f>
        <x:v>2025-01-01_4</x:v>
      </x:c>
      <x:c r="AU26" s="19" t="n">
        <x:f>IF(ISBLANK('原始输入与口径'!J28),"",'原始输入与口径'!J28)</x:f>
        <x:v>60</x:v>
      </x:c>
      <x:c r="AV26" s="18" t="str">
        <x:f>IF(ISBLANK('原始输入与口径'!BB28),"",'原始输入与口径'!BB28)</x:f>
        <x:v>OK</x:v>
      </x:c>
    </x:row>
    <x:row r="27" ht="21" customHeight="1">
      <x:c r="A27" s="17" t="n">
        <x:f>45658.208333333336</x:f>
        <x:v>45658.208333333336</x:v>
      </x:c>
      <x:c r="B27" s="23" t="n">
        <x:f>IF(ISNUMBER('原始输入与口径'!H29),'原始输入与口径'!H29,"缺失")</x:f>
        <x:v>64.28</x:v>
      </x:c>
      <x:c r="C27" s="23" t="str">
        <x:f>IF(ISNUMBER('原始输入与口径'!R29),'原始输入与口径'!R29,"缺失")</x:f>
        <x:v>缺失</x:v>
      </x:c>
      <x:c r="D27" s="23" t="n">
        <x:f>IF(ISNUMBER('原始输入与口径'!W29),'原始输入与口径'!W29,"缺失")</x:f>
        <x:v>13.71102309965622</x:v>
      </x:c>
      <x:c r="E27" s="23" t="n">
        <x:f>IF(ISNUMBER('原始输入与口径'!AB29),'原始输入与口径'!AB29,"缺失")</x:f>
        <x:v>14.173418306829376</x:v>
      </x:c>
      <x:c r="F27" s="23" t="n">
        <x:f>IF(ISNUMBER('原始输入与口径'!AG29),'原始输入与口径'!AG29,"缺失")</x:f>
        <x:v>152.06087533423133</x:v>
      </x:c>
      <x:c r="G27" s="23" t="n">
        <x:f>IF(ISNUMBER('原始输入与口径'!AJ29),'原始输入与口径'!AJ29,"缺失")</x:f>
        <x:v>0</x:v>
      </x:c>
      <x:c r="H27" s="23" t="str">
        <x:f>"未模拟"</x:f>
        <x:v>未模拟</x:v>
      </x:c>
      <x:c r="I27" s="24" t="n">
        <x:f>'原始输入与口径'!BD29</x:f>
        <x:v>10</x:v>
      </x:c>
      <x:c r="J27" s="24" t="n">
        <x:f>'原始输入与口径'!BE29</x:f>
        <x:v>10</x:v>
      </x:c>
      <x:c r="K27" s="24" t="n">
        <x:f>'原始输入与口径'!BF29</x:f>
        <x:v>0</x:v>
      </x:c>
      <x:c r="L27" s="24" t="n">
        <x:f>'原始输入与口径'!BG29</x:f>
        <x:v>0</x:v>
      </x:c>
      <x:c r="M27" s="24" t="n">
        <x:f>'原始输入与口径'!BH29</x:f>
        <x:v>0</x:v>
      </x:c>
      <x:c r="N27" s="24" t="n">
        <x:f>'原始输入与口径'!BI29</x:f>
        <x:v>0</x:v>
      </x:c>
      <x:c r="O27" s="24" t="n">
        <x:f>M27*AE27*AC27</x:f>
        <x:v>0</x:v>
      </x:c>
      <x:c r="P27" s="24" t="n">
        <x:f>N27*AF27*AC27</x:f>
        <x:v>0</x:v>
      </x:c>
      <x:c r="Q27" s="25" t="n">
        <x:f>IF(K27=0,0,IF(ISNUMBER(B27),K27*AC27*B27,NA()))</x:f>
        <x:v>0</x:v>
      </x:c>
      <x:c r="R27" s="25" t="n">
        <x:f>IF(L27=0,0,IF(ISNUMBER(C27),L27*AC27*C27*AD27,NA()))</x:f>
        <x:v>0</x:v>
      </x:c>
      <x:c r="S27" s="25" t="n">
        <x:f>IF(M27=0,0,IF(ISNUMBER(D27),M27*AC27*D27*AD27,NA()))</x:f>
        <x:v>0</x:v>
      </x:c>
      <x:c r="T27" s="25" t="n">
        <x:f>IF(N27=0,0,IF(ISNUMBER(E27),N27*AC27*E27*AD27,NA()))</x:f>
        <x:v>0</x:v>
      </x:c>
      <x:c r="U27" s="25" t="n">
        <x:f>IF(O27=0,0,IF(ISNUMBER(F27),O27*F27,NA()))</x:f>
        <x:v>0</x:v>
      </x:c>
      <x:c r="V27" s="25" t="n">
        <x:f>IF(P27=0,0,IF(ISNUMBER(G27),-P27*G27,NA()))</x:f>
        <x:v>0</x:v>
      </x:c>
      <x:c r="W27" s="25" t="n">
        <x:f>SUM(Q27:V27)</x:f>
        <x:v>0</x:v>
      </x:c>
      <x:c r="X27" s="18" t="n">
        <x:f>'原始输入与口径'!BR29</x:f>
        <x:v>0</x:v>
      </x:c>
      <x:c r="Y27" s="18" t="n">
        <x:f>W27-X27</x:f>
        <x:v>0</x:v>
      </x:c>
      <x:c r="Z27" s="18" t="str">
        <x:f>"1月1日执行｜初始化零订单"</x:f>
        <x:v>1月1日执行｜初始化零订单</x:v>
      </x:c>
      <x:c r="AA27" s="19" t="n">
        <x:f>IF('原始输入与口径'!AW29,1,0)</x:f>
        <x:v>1</x:v>
      </x:c>
      <x:c r="AB27" s="19" t="n">
        <x:f>IF('原始输入与口径'!AY29,1,0)</x:f>
        <x:v>0</x:v>
      </x:c>
      <x:c r="AC27" s="18" t="n">
        <x:f>'原始输入与口径'!E29</x:f>
        <x:v>0.25</x:v>
      </x:c>
      <x:c r="AD27" s="20" t="n">
        <x:f>'原始输入与口径'!$F$5</x:f>
        <x:v>1</x:v>
      </x:c>
      <x:c r="AE27" s="20" t="n">
        <x:f>IF(AA27=0,0,AI27/(AG27*AC27))</x:f>
        <x:v>0.18372</x:v>
      </x:c>
      <x:c r="AF27" s="20" t="n">
        <x:f>IF(AA27=0,0,AJ27/(AH27*AC27))</x:f>
        <x:v>0</x:v>
      </x:c>
      <x:c r="AG27" s="18" t="n">
        <x:f>IF(ISNUMBER('原始输入与口径'!T29),'原始输入与口径'!T29,"缺失")</x:f>
        <x:v>200</x:v>
      </x:c>
      <x:c r="AH27" s="18" t="n">
        <x:f>IF(ISNUMBER('原始输入与口径'!Y29),'原始输入与口径'!Y29,"缺失")</x:f>
        <x:v>200</x:v>
      </x:c>
      <x:c r="AI27" s="18" t="n">
        <x:f>IF(ISNUMBER('原始输入与口径'!AI29),'原始输入与口径'!AI29,"缺失")</x:f>
        <x:v>9.186</x:v>
      </x:c>
      <x:c r="AJ27" s="18" t="n">
        <x:f>IF(ISNUMBER('原始输入与口径'!AL29),'原始输入与口径'!AL29,"缺失")</x:f>
        <x:v>0</x:v>
      </x:c>
      <x:c r="AK27" s="18" t="str">
        <x:f>IF(ISNUMBER('原始输入与口径'!O29),'原始输入与口径'!O29,"缺失")</x:f>
        <x:v>缺失</x:v>
      </x:c>
      <x:c r="AL27" s="18" t="n">
        <x:f>SUMIFS('相位SOC复算'!$N$7:$N$443,'相位SOC复算'!$S$7:$S$443,21)</x:f>
        <x:v>0</x:v>
      </x:c>
      <x:c r="AM27" s="18" t="n">
        <x:f>SUMIFS('相位SOC复算'!$Q$7:$Q$443,'相位SOC复算'!$S$7:$S$443,21)</x:f>
        <x:v>0</x:v>
      </x:c>
      <x:c r="AN27" s="18" t="n">
        <x:f>SUMIFS('相位SOC复算'!$R$7:$R$443,'相位SOC复算'!$S$7:$S$443,21)</x:f>
        <x:v>0</x:v>
      </x:c>
      <x:c r="AO27" s="18" t="n">
        <x:f>'相位SOC复算'!J62</x:f>
        <x:v>10</x:v>
      </x:c>
      <x:c r="AP27" s="18" t="n">
        <x:f>AO27-J27</x:f>
        <x:v>0</x:v>
      </x:c>
      <x:c r="AQ27" s="18" t="n">
        <x:f>IF(ISBLANK('原始输入与口径'!M29),"",'原始输入与口径'!M29)</x:f>
        <x:v>4.9741</x:v>
      </x:c>
      <x:c r="AR27" s="21" t="n">
        <x:f>IF(ISBLANK('原始输入与口径'!L29),"",'原始输入与口径'!L29)</x:f>
        <x:v>45657</x:v>
      </x:c>
      <x:c r="AS27" s="17" t="n">
        <x:f>IF(ISBLANK('原始输入与口径'!A29),"",'原始输入与口径'!A29)</x:f>
        <x:v>45658.125</x:v>
      </x:c>
      <x:c r="AT27" s="18" t="str">
        <x:f>IF(ISBLANK('原始输入与口径'!I29),"",'原始输入与口径'!I29)</x:f>
        <x:v>2025-01-01_5</x:v>
      </x:c>
      <x:c r="AU27" s="19" t="n">
        <x:f>IF(ISBLANK('原始输入与口径'!J29),"",'原始输入与口径'!J29)</x:f>
        <x:v>60</x:v>
      </x:c>
      <x:c r="AV27" s="18" t="str">
        <x:f>IF(ISBLANK('原始输入与口径'!BB29),"",'原始输入与口径'!BB29)</x:f>
        <x:v>OK</x:v>
      </x:c>
    </x:row>
    <x:row r="28" ht="21" customHeight="1">
      <x:c r="A28" s="17" t="n">
        <x:f>45658.21875</x:f>
        <x:v>45658.21875</x:v>
      </x:c>
      <x:c r="B28" s="23" t="n">
        <x:f>IF(ISNUMBER('原始输入与口径'!H30),'原始输入与口径'!H30,"缺失")</x:f>
        <x:v>64.28</x:v>
      </x:c>
      <x:c r="C28" s="23" t="str">
        <x:f>IF(ISNUMBER('原始输入与口径'!R30),'原始输入与口径'!R30,"缺失")</x:f>
        <x:v>缺失</x:v>
      </x:c>
      <x:c r="D28" s="23" t="n">
        <x:f>IF(ISNUMBER('原始输入与口径'!W30),'原始输入与口径'!W30,"缺失")</x:f>
        <x:v>13.71102309965622</x:v>
      </x:c>
      <x:c r="E28" s="23" t="n">
        <x:f>IF(ISNUMBER('原始输入与口径'!AB30),'原始输入与口径'!AB30,"缺失")</x:f>
        <x:v>14.173418306829376</x:v>
      </x:c>
      <x:c r="F28" s="23" t="n">
        <x:f>IF(ISNUMBER('原始输入与口径'!AG30),'原始输入与口径'!AG30,"缺失")</x:f>
        <x:v>141.37833980016487</x:v>
      </x:c>
      <x:c r="G28" s="23" t="n">
        <x:f>IF(ISNUMBER('原始输入与口径'!AJ30),'原始输入与口径'!AJ30,"缺失")</x:f>
        <x:v>0</x:v>
      </x:c>
      <x:c r="H28" s="23" t="str">
        <x:f>"未模拟"</x:f>
        <x:v>未模拟</x:v>
      </x:c>
      <x:c r="I28" s="24" t="n">
        <x:f>'原始输入与口径'!BD30</x:f>
        <x:v>10</x:v>
      </x:c>
      <x:c r="J28" s="24" t="n">
        <x:f>'原始输入与口径'!BE30</x:f>
        <x:v>10</x:v>
      </x:c>
      <x:c r="K28" s="24" t="n">
        <x:f>'原始输入与口径'!BF30</x:f>
        <x:v>0</x:v>
      </x:c>
      <x:c r="L28" s="24" t="n">
        <x:f>'原始输入与口径'!BG30</x:f>
        <x:v>0</x:v>
      </x:c>
      <x:c r="M28" s="24" t="n">
        <x:f>'原始输入与口径'!BH30</x:f>
        <x:v>0</x:v>
      </x:c>
      <x:c r="N28" s="24" t="n">
        <x:f>'原始输入与口径'!BI30</x:f>
        <x:v>0</x:v>
      </x:c>
      <x:c r="O28" s="24" t="n">
        <x:f>M28*AE28*AC28</x:f>
        <x:v>0</x:v>
      </x:c>
      <x:c r="P28" s="24" t="n">
        <x:f>N28*AF28*AC28</x:f>
        <x:v>0</x:v>
      </x:c>
      <x:c r="Q28" s="25" t="n">
        <x:f>IF(K28=0,0,IF(ISNUMBER(B28),K28*AC28*B28,NA()))</x:f>
        <x:v>0</x:v>
      </x:c>
      <x:c r="R28" s="25" t="n">
        <x:f>IF(L28=0,0,IF(ISNUMBER(C28),L28*AC28*C28*AD28,NA()))</x:f>
        <x:v>0</x:v>
      </x:c>
      <x:c r="S28" s="25" t="n">
        <x:f>IF(M28=0,0,IF(ISNUMBER(D28),M28*AC28*D28*AD28,NA()))</x:f>
        <x:v>0</x:v>
      </x:c>
      <x:c r="T28" s="25" t="n">
        <x:f>IF(N28=0,0,IF(ISNUMBER(E28),N28*AC28*E28*AD28,NA()))</x:f>
        <x:v>0</x:v>
      </x:c>
      <x:c r="U28" s="25" t="n">
        <x:f>IF(O28=0,0,IF(ISNUMBER(F28),O28*F28,NA()))</x:f>
        <x:v>0</x:v>
      </x:c>
      <x:c r="V28" s="25" t="n">
        <x:f>IF(P28=0,0,IF(ISNUMBER(G28),-P28*G28,NA()))</x:f>
        <x:v>0</x:v>
      </x:c>
      <x:c r="W28" s="25" t="n">
        <x:f>SUM(Q28:V28)</x:f>
        <x:v>0</x:v>
      </x:c>
      <x:c r="X28" s="18" t="n">
        <x:f>'原始输入与口径'!BR30</x:f>
        <x:v>0</x:v>
      </x:c>
      <x:c r="Y28" s="18" t="n">
        <x:f>W28-X28</x:f>
        <x:v>0</x:v>
      </x:c>
      <x:c r="Z28" s="18" t="str">
        <x:f>"1月1日执行｜初始化零订单"</x:f>
        <x:v>1月1日执行｜初始化零订单</x:v>
      </x:c>
      <x:c r="AA28" s="19" t="n">
        <x:f>IF('原始输入与口径'!AW30,1,0)</x:f>
        <x:v>1</x:v>
      </x:c>
      <x:c r="AB28" s="19" t="n">
        <x:f>IF('原始输入与口径'!AY30,1,0)</x:f>
        <x:v>0</x:v>
      </x:c>
      <x:c r="AC28" s="18" t="n">
        <x:f>'原始输入与口径'!E30</x:f>
        <x:v>0.25</x:v>
      </x:c>
      <x:c r="AD28" s="20" t="n">
        <x:f>'原始输入与口径'!$F$5</x:f>
        <x:v>1</x:v>
      </x:c>
      <x:c r="AE28" s="20" t="n">
        <x:f>IF(AA28=0,0,AI28/(AG28*AC28))</x:f>
        <x:v>0.14116</x:v>
      </x:c>
      <x:c r="AF28" s="20" t="n">
        <x:f>IF(AA28=0,0,AJ28/(AH28*AC28))</x:f>
        <x:v>0</x:v>
      </x:c>
      <x:c r="AG28" s="18" t="n">
        <x:f>IF(ISNUMBER('原始输入与口径'!T30),'原始输入与口径'!T30,"缺失")</x:f>
        <x:v>200</x:v>
      </x:c>
      <x:c r="AH28" s="18" t="n">
        <x:f>IF(ISNUMBER('原始输入与口径'!Y30),'原始输入与口径'!Y30,"缺失")</x:f>
        <x:v>200</x:v>
      </x:c>
      <x:c r="AI28" s="18" t="n">
        <x:f>IF(ISNUMBER('原始输入与口径'!AI30),'原始输入与口径'!AI30,"缺失")</x:f>
        <x:v>7.058</x:v>
      </x:c>
      <x:c r="AJ28" s="18" t="n">
        <x:f>IF(ISNUMBER('原始输入与口径'!AL30),'原始输入与口径'!AL30,"缺失")</x:f>
        <x:v>0</x:v>
      </x:c>
      <x:c r="AK28" s="18" t="str">
        <x:f>IF(ISNUMBER('原始输入与口径'!O30),'原始输入与口径'!O30,"缺失")</x:f>
        <x:v>缺失</x:v>
      </x:c>
      <x:c r="AL28" s="18" t="n">
        <x:f>SUMIFS('相位SOC复算'!$N$7:$N$443,'相位SOC复算'!$S$7:$S$443,22)</x:f>
        <x:v>0</x:v>
      </x:c>
      <x:c r="AM28" s="18" t="n">
        <x:f>SUMIFS('相位SOC复算'!$Q$7:$Q$443,'相位SOC复算'!$S$7:$S$443,22)</x:f>
        <x:v>0</x:v>
      </x:c>
      <x:c r="AN28" s="18" t="n">
        <x:f>SUMIFS('相位SOC复算'!$R$7:$R$443,'相位SOC复算'!$S$7:$S$443,22)</x:f>
        <x:v>0</x:v>
      </x:c>
      <x:c r="AO28" s="18" t="n">
        <x:f>'相位SOC复算'!J64</x:f>
        <x:v>10</x:v>
      </x:c>
      <x:c r="AP28" s="18" t="n">
        <x:f>AO28-J28</x:f>
        <x:v>0</x:v>
      </x:c>
      <x:c r="AQ28" s="18" t="n">
        <x:f>IF(ISBLANK('原始输入与口径'!M30),"",'原始输入与口径'!M30)</x:f>
        <x:v>4.9741</x:v>
      </x:c>
      <x:c r="AR28" s="21" t="n">
        <x:f>IF(ISBLANK('原始输入与口径'!L30),"",'原始输入与口径'!L30)</x:f>
        <x:v>45657</x:v>
      </x:c>
      <x:c r="AS28" s="17" t="n">
        <x:f>IF(ISBLANK('原始输入与口径'!A30),"",'原始输入与口径'!A30)</x:f>
        <x:v>45658.135416666664</x:v>
      </x:c>
      <x:c r="AT28" s="18" t="str">
        <x:f>IF(ISBLANK('原始输入与口径'!I30),"",'原始输入与口径'!I30)</x:f>
        <x:v>2025-01-01_5</x:v>
      </x:c>
      <x:c r="AU28" s="19" t="n">
        <x:f>IF(ISBLANK('原始输入与口径'!J30),"",'原始输入与口径'!J30)</x:f>
        <x:v>60</x:v>
      </x:c>
      <x:c r="AV28" s="18" t="str">
        <x:f>IF(ISBLANK('原始输入与口径'!BB30),"",'原始输入与口径'!BB30)</x:f>
        <x:v>OK</x:v>
      </x:c>
    </x:row>
    <x:row r="29" ht="21" customHeight="1">
      <x:c r="A29" s="17" t="n">
        <x:f>45658.229166666664</x:f>
        <x:v>45658.229166666664</x:v>
      </x:c>
      <x:c r="B29" s="23" t="n">
        <x:f>IF(ISNUMBER('原始输入与口径'!H31),'原始输入与口径'!H31,"缺失")</x:f>
        <x:v>64.28</x:v>
      </x:c>
      <x:c r="C29" s="23" t="str">
        <x:f>IF(ISNUMBER('原始输入与口径'!R31),'原始输入与口径'!R31,"缺失")</x:f>
        <x:v>缺失</x:v>
      </x:c>
      <x:c r="D29" s="23" t="n">
        <x:f>IF(ISNUMBER('原始输入与口径'!W31),'原始输入与口径'!W31,"缺失")</x:f>
        <x:v>13.71102309965622</x:v>
      </x:c>
      <x:c r="E29" s="23" t="n">
        <x:f>IF(ISNUMBER('原始输入与口径'!AB31),'原始输入与口径'!AB31,"缺失")</x:f>
        <x:v>14.173418306829376</x:v>
      </x:c>
      <x:c r="F29" s="23" t="n">
        <x:f>IF(ISNUMBER('原始输入与口径'!AG31),'原始输入与口径'!AG31,"缺失")</x:f>
        <x:v>136.70814820771596</x:v>
      </x:c>
      <x:c r="G29" s="23" t="n">
        <x:f>IF(ISNUMBER('原始输入与口径'!AJ31),'原始输入与口径'!AJ31,"缺失")</x:f>
        <x:v>0</x:v>
      </x:c>
      <x:c r="H29" s="23" t="str">
        <x:f>"未模拟"</x:f>
        <x:v>未模拟</x:v>
      </x:c>
      <x:c r="I29" s="24" t="n">
        <x:f>'原始输入与口径'!BD31</x:f>
        <x:v>10</x:v>
      </x:c>
      <x:c r="J29" s="24" t="n">
        <x:f>'原始输入与口径'!BE31</x:f>
        <x:v>10</x:v>
      </x:c>
      <x:c r="K29" s="24" t="n">
        <x:f>'原始输入与口径'!BF31</x:f>
        <x:v>0</x:v>
      </x:c>
      <x:c r="L29" s="24" t="n">
        <x:f>'原始输入与口径'!BG31</x:f>
        <x:v>0</x:v>
      </x:c>
      <x:c r="M29" s="24" t="n">
        <x:f>'原始输入与口径'!BH31</x:f>
        <x:v>0</x:v>
      </x:c>
      <x:c r="N29" s="24" t="n">
        <x:f>'原始输入与口径'!BI31</x:f>
        <x:v>0</x:v>
      </x:c>
      <x:c r="O29" s="24" t="n">
        <x:f>M29*AE29*AC29</x:f>
        <x:v>0</x:v>
      </x:c>
      <x:c r="P29" s="24" t="n">
        <x:f>N29*AF29*AC29</x:f>
        <x:v>0</x:v>
      </x:c>
      <x:c r="Q29" s="25" t="n">
        <x:f>IF(K29=0,0,IF(ISNUMBER(B29),K29*AC29*B29,NA()))</x:f>
        <x:v>0</x:v>
      </x:c>
      <x:c r="R29" s="25" t="n">
        <x:f>IF(L29=0,0,IF(ISNUMBER(C29),L29*AC29*C29*AD29,NA()))</x:f>
        <x:v>0</x:v>
      </x:c>
      <x:c r="S29" s="25" t="n">
        <x:f>IF(M29=0,0,IF(ISNUMBER(D29),M29*AC29*D29*AD29,NA()))</x:f>
        <x:v>0</x:v>
      </x:c>
      <x:c r="T29" s="25" t="n">
        <x:f>IF(N29=0,0,IF(ISNUMBER(E29),N29*AC29*E29*AD29,NA()))</x:f>
        <x:v>0</x:v>
      </x:c>
      <x:c r="U29" s="25" t="n">
        <x:f>IF(O29=0,0,IF(ISNUMBER(F29),O29*F29,NA()))</x:f>
        <x:v>0</x:v>
      </x:c>
      <x:c r="V29" s="25" t="n">
        <x:f>IF(P29=0,0,IF(ISNUMBER(G29),-P29*G29,NA()))</x:f>
        <x:v>0</x:v>
      </x:c>
      <x:c r="W29" s="25" t="n">
        <x:f>SUM(Q29:V29)</x:f>
        <x:v>0</x:v>
      </x:c>
      <x:c r="X29" s="18" t="n">
        <x:f>'原始输入与口径'!BR31</x:f>
        <x:v>0</x:v>
      </x:c>
      <x:c r="Y29" s="18" t="n">
        <x:f>W29-X29</x:f>
        <x:v>0</x:v>
      </x:c>
      <x:c r="Z29" s="18" t="str">
        <x:f>"1月1日执行｜初始化零订单"</x:f>
        <x:v>1月1日执行｜初始化零订单</x:v>
      </x:c>
      <x:c r="AA29" s="19" t="n">
        <x:f>IF('原始输入与口径'!AW31,1,0)</x:f>
        <x:v>1</x:v>
      </x:c>
      <x:c r="AB29" s="19" t="n">
        <x:f>IF('原始输入与口径'!AY31,1,0)</x:f>
        <x:v>0</x:v>
      </x:c>
      <x:c r="AC29" s="18" t="n">
        <x:f>'原始输入与口径'!E31</x:f>
        <x:v>0.25</x:v>
      </x:c>
      <x:c r="AD29" s="20" t="n">
        <x:f>'原始输入与口径'!$F$5</x:f>
        <x:v>1</x:v>
      </x:c>
      <x:c r="AE29" s="20" t="n">
        <x:f>IF(AA29=0,0,AI29/(AG29*AC29))</x:f>
        <x:v>0.10746</x:v>
      </x:c>
      <x:c r="AF29" s="20" t="n">
        <x:f>IF(AA29=0,0,AJ29/(AH29*AC29))</x:f>
        <x:v>0</x:v>
      </x:c>
      <x:c r="AG29" s="18" t="n">
        <x:f>IF(ISNUMBER('原始输入与口径'!T31),'原始输入与口径'!T31,"缺失")</x:f>
        <x:v>200</x:v>
      </x:c>
      <x:c r="AH29" s="18" t="n">
        <x:f>IF(ISNUMBER('原始输入与口径'!Y31),'原始输入与口径'!Y31,"缺失")</x:f>
        <x:v>200</x:v>
      </x:c>
      <x:c r="AI29" s="18" t="n">
        <x:f>IF(ISNUMBER('原始输入与口径'!AI31),'原始输入与口径'!AI31,"缺失")</x:f>
        <x:v>5.373</x:v>
      </x:c>
      <x:c r="AJ29" s="18" t="n">
        <x:f>IF(ISNUMBER('原始输入与口径'!AL31),'原始输入与口径'!AL31,"缺失")</x:f>
        <x:v>0</x:v>
      </x:c>
      <x:c r="AK29" s="18" t="str">
        <x:f>IF(ISNUMBER('原始输入与口径'!O31),'原始输入与口径'!O31,"缺失")</x:f>
        <x:v>缺失</x:v>
      </x:c>
      <x:c r="AL29" s="18" t="n">
        <x:f>SUMIFS('相位SOC复算'!$N$7:$N$443,'相位SOC复算'!$S$7:$S$443,23)</x:f>
        <x:v>0</x:v>
      </x:c>
      <x:c r="AM29" s="18" t="n">
        <x:f>SUMIFS('相位SOC复算'!$Q$7:$Q$443,'相位SOC复算'!$S$7:$S$443,23)</x:f>
        <x:v>0</x:v>
      </x:c>
      <x:c r="AN29" s="18" t="n">
        <x:f>SUMIFS('相位SOC复算'!$R$7:$R$443,'相位SOC复算'!$S$7:$S$443,23)</x:f>
        <x:v>0</x:v>
      </x:c>
      <x:c r="AO29" s="18" t="n">
        <x:f>'相位SOC复算'!J66</x:f>
        <x:v>10</x:v>
      </x:c>
      <x:c r="AP29" s="18" t="n">
        <x:f>AO29-J29</x:f>
        <x:v>0</x:v>
      </x:c>
      <x:c r="AQ29" s="18" t="n">
        <x:f>IF(ISBLANK('原始输入与口径'!M31),"",'原始输入与口径'!M31)</x:f>
        <x:v>4.9741</x:v>
      </x:c>
      <x:c r="AR29" s="21" t="n">
        <x:f>IF(ISBLANK('原始输入与口径'!L31),"",'原始输入与口径'!L31)</x:f>
        <x:v>45657</x:v>
      </x:c>
      <x:c r="AS29" s="17" t="n">
        <x:f>IF(ISBLANK('原始输入与口径'!A31),"",'原始输入与口径'!A31)</x:f>
        <x:v>45658.145833333336</x:v>
      </x:c>
      <x:c r="AT29" s="18" t="str">
        <x:f>IF(ISBLANK('原始输入与口径'!I31),"",'原始输入与口径'!I31)</x:f>
        <x:v>2025-01-01_5</x:v>
      </x:c>
      <x:c r="AU29" s="19" t="n">
        <x:f>IF(ISBLANK('原始输入与口径'!J31),"",'原始输入与口径'!J31)</x:f>
        <x:v>60</x:v>
      </x:c>
      <x:c r="AV29" s="18" t="str">
        <x:f>IF(ISBLANK('原始输入与口径'!BB31),"",'原始输入与口径'!BB31)</x:f>
        <x:v>OK</x:v>
      </x:c>
    </x:row>
    <x:row r="30" ht="21" customHeight="1">
      <x:c r="A30" s="17" t="n">
        <x:f>45658.239583333336</x:f>
        <x:v>45658.239583333336</x:v>
      </x:c>
      <x:c r="B30" s="23" t="n">
        <x:f>IF(ISNUMBER('原始输入与口径'!H32),'原始输入与口径'!H32,"缺失")</x:f>
        <x:v>64.28</x:v>
      </x:c>
      <x:c r="C30" s="23" t="str">
        <x:f>IF(ISNUMBER('原始输入与口径'!R32),'原始输入与口径'!R32,"缺失")</x:f>
        <x:v>缺失</x:v>
      </x:c>
      <x:c r="D30" s="23" t="n">
        <x:f>IF(ISNUMBER('原始输入与口径'!W32),'原始输入与口径'!W32,"缺失")</x:f>
        <x:v>13.71102309965622</x:v>
      </x:c>
      <x:c r="E30" s="23" t="n">
        <x:f>IF(ISNUMBER('原始输入与口径'!AB32),'原始输入与口径'!AB32,"缺失")</x:f>
        <x:v>14.173418306829376</x:v>
      </x:c>
      <x:c r="F30" s="23" t="n">
        <x:f>IF(ISNUMBER('原始输入与口径'!AG32),'原始输入与口径'!AG32,"缺失")</x:f>
        <x:v>141.09929434470558</x:v>
      </x:c>
      <x:c r="G30" s="23" t="n">
        <x:f>IF(ISNUMBER('原始输入与口径'!AJ32),'原始输入与口径'!AJ32,"缺失")</x:f>
        <x:v>0</x:v>
      </x:c>
      <x:c r="H30" s="23" t="str">
        <x:f>"未模拟"</x:f>
        <x:v>未模拟</x:v>
      </x:c>
      <x:c r="I30" s="24" t="n">
        <x:f>'原始输入与口径'!BD32</x:f>
        <x:v>10</x:v>
      </x:c>
      <x:c r="J30" s="24" t="n">
        <x:f>'原始输入与口径'!BE32</x:f>
        <x:v>10</x:v>
      </x:c>
      <x:c r="K30" s="24" t="n">
        <x:f>'原始输入与口径'!BF32</x:f>
        <x:v>0</x:v>
      </x:c>
      <x:c r="L30" s="24" t="n">
        <x:f>'原始输入与口径'!BG32</x:f>
        <x:v>0</x:v>
      </x:c>
      <x:c r="M30" s="24" t="n">
        <x:f>'原始输入与口径'!BH32</x:f>
        <x:v>0</x:v>
      </x:c>
      <x:c r="N30" s="24" t="n">
        <x:f>'原始输入与口径'!BI32</x:f>
        <x:v>0</x:v>
      </x:c>
      <x:c r="O30" s="24" t="n">
        <x:f>M30*AE30*AC30</x:f>
        <x:v>0</x:v>
      </x:c>
      <x:c r="P30" s="24" t="n">
        <x:f>N30*AF30*AC30</x:f>
        <x:v>0</x:v>
      </x:c>
      <x:c r="Q30" s="25" t="n">
        <x:f>IF(K30=0,0,IF(ISNUMBER(B30),K30*AC30*B30,NA()))</x:f>
        <x:v>0</x:v>
      </x:c>
      <x:c r="R30" s="25" t="n">
        <x:f>IF(L30=0,0,IF(ISNUMBER(C30),L30*AC30*C30*AD30,NA()))</x:f>
        <x:v>0</x:v>
      </x:c>
      <x:c r="S30" s="25" t="n">
        <x:f>IF(M30=0,0,IF(ISNUMBER(D30),M30*AC30*D30*AD30,NA()))</x:f>
        <x:v>0</x:v>
      </x:c>
      <x:c r="T30" s="25" t="n">
        <x:f>IF(N30=0,0,IF(ISNUMBER(E30),N30*AC30*E30*AD30,NA()))</x:f>
        <x:v>0</x:v>
      </x:c>
      <x:c r="U30" s="25" t="n">
        <x:f>IF(O30=0,0,IF(ISNUMBER(F30),O30*F30,NA()))</x:f>
        <x:v>0</x:v>
      </x:c>
      <x:c r="V30" s="25" t="n">
        <x:f>IF(P30=0,0,IF(ISNUMBER(G30),-P30*G30,NA()))</x:f>
        <x:v>0</x:v>
      </x:c>
      <x:c r="W30" s="25" t="n">
        <x:f>SUM(Q30:V30)</x:f>
        <x:v>0</x:v>
      </x:c>
      <x:c r="X30" s="18" t="n">
        <x:f>'原始输入与口径'!BR32</x:f>
        <x:v>0</x:v>
      </x:c>
      <x:c r="Y30" s="18" t="n">
        <x:f>W30-X30</x:f>
        <x:v>0</x:v>
      </x:c>
      <x:c r="Z30" s="18" t="str">
        <x:f>"1月1日执行｜初始化零订单"</x:f>
        <x:v>1月1日执行｜初始化零订单</x:v>
      </x:c>
      <x:c r="AA30" s="19" t="n">
        <x:f>IF('原始输入与口径'!AW32,1,0)</x:f>
        <x:v>1</x:v>
      </x:c>
      <x:c r="AB30" s="19" t="n">
        <x:f>IF('原始输入与口径'!AY32,1,0)</x:f>
        <x:v>0</x:v>
      </x:c>
      <x:c r="AC30" s="18" t="n">
        <x:f>'原始输入与口径'!E32</x:f>
        <x:v>0.25</x:v>
      </x:c>
      <x:c r="AD30" s="20" t="n">
        <x:f>'原始输入与口径'!$F$5</x:f>
        <x:v>1</x:v>
      </x:c>
      <x:c r="AE30" s="20" t="n">
        <x:f>IF(AA30=0,0,AI30/(AG30*AC30))</x:f>
        <x:v>0.12552</x:v>
      </x:c>
      <x:c r="AF30" s="20" t="n">
        <x:f>IF(AA30=0,0,AJ30/(AH30*AC30))</x:f>
        <x:v>0</x:v>
      </x:c>
      <x:c r="AG30" s="18" t="n">
        <x:f>IF(ISNUMBER('原始输入与口径'!T32),'原始输入与口径'!T32,"缺失")</x:f>
        <x:v>200</x:v>
      </x:c>
      <x:c r="AH30" s="18" t="n">
        <x:f>IF(ISNUMBER('原始输入与口径'!Y32),'原始输入与口径'!Y32,"缺失")</x:f>
        <x:v>200</x:v>
      </x:c>
      <x:c r="AI30" s="18" t="n">
        <x:f>IF(ISNUMBER('原始输入与口径'!AI32),'原始输入与口径'!AI32,"缺失")</x:f>
        <x:v>6.276</x:v>
      </x:c>
      <x:c r="AJ30" s="18" t="n">
        <x:f>IF(ISNUMBER('原始输入与口径'!AL32),'原始输入与口径'!AL32,"缺失")</x:f>
        <x:v>0</x:v>
      </x:c>
      <x:c r="AK30" s="18" t="str">
        <x:f>IF(ISNUMBER('原始输入与口径'!O32),'原始输入与口径'!O32,"缺失")</x:f>
        <x:v>缺失</x:v>
      </x:c>
      <x:c r="AL30" s="18" t="n">
        <x:f>SUMIFS('相位SOC复算'!$N$7:$N$443,'相位SOC复算'!$S$7:$S$443,24)</x:f>
        <x:v>0</x:v>
      </x:c>
      <x:c r="AM30" s="18" t="n">
        <x:f>SUMIFS('相位SOC复算'!$Q$7:$Q$443,'相位SOC复算'!$S$7:$S$443,24)</x:f>
        <x:v>0</x:v>
      </x:c>
      <x:c r="AN30" s="18" t="n">
        <x:f>SUMIFS('相位SOC复算'!$R$7:$R$443,'相位SOC复算'!$S$7:$S$443,24)</x:f>
        <x:v>0</x:v>
      </x:c>
      <x:c r="AO30" s="18" t="n">
        <x:f>'相位SOC复算'!J68</x:f>
        <x:v>10</x:v>
      </x:c>
      <x:c r="AP30" s="18" t="n">
        <x:f>AO30-J30</x:f>
        <x:v>0</x:v>
      </x:c>
      <x:c r="AQ30" s="18" t="n">
        <x:f>IF(ISBLANK('原始输入与口径'!M32),"",'原始输入与口径'!M32)</x:f>
        <x:v>4.9741</x:v>
      </x:c>
      <x:c r="AR30" s="21" t="n">
        <x:f>IF(ISBLANK('原始输入与口径'!L32),"",'原始输入与口径'!L32)</x:f>
        <x:v>45657</x:v>
      </x:c>
      <x:c r="AS30" s="17" t="n">
        <x:f>IF(ISBLANK('原始输入与口径'!A32),"",'原始输入与口径'!A32)</x:f>
        <x:v>45658.15625</x:v>
      </x:c>
      <x:c r="AT30" s="18" t="str">
        <x:f>IF(ISBLANK('原始输入与口径'!I32),"",'原始输入与口径'!I32)</x:f>
        <x:v>2025-01-01_5</x:v>
      </x:c>
      <x:c r="AU30" s="19" t="n">
        <x:f>IF(ISBLANK('原始输入与口径'!J32),"",'原始输入与口径'!J32)</x:f>
        <x:v>60</x:v>
      </x:c>
      <x:c r="AV30" s="18" t="str">
        <x:f>IF(ISBLANK('原始输入与口径'!BB32),"",'原始输入与口径'!BB32)</x:f>
        <x:v>OK</x:v>
      </x:c>
    </x:row>
    <x:row r="31" ht="21" customHeight="1">
      <x:c r="A31" s="17" t="n">
        <x:f>45658.25</x:f>
        <x:v>45658.25</x:v>
      </x:c>
      <x:c r="B31" s="23" t="n">
        <x:f>IF(ISNUMBER('原始输入与口径'!H33),'原始输入与口径'!H33,"缺失")</x:f>
        <x:v>66.7</x:v>
      </x:c>
      <x:c r="C31" s="23" t="str">
        <x:f>IF(ISNUMBER('原始输入与口径'!R33),'原始输入与口径'!R33,"缺失")</x:f>
        <x:v>缺失</x:v>
      </x:c>
      <x:c r="D31" s="23" t="n">
        <x:f>IF(ISNUMBER('原始输入与口径'!W33),'原始输入与口径'!W33,"缺失")</x:f>
        <x:v>13.831647936310086</x:v>
      </x:c>
      <x:c r="E31" s="23" t="n">
        <x:f>IF(ISNUMBER('原始输入与口径'!AB33),'原始输入与口径'!AB33,"缺失")</x:f>
        <x:v>14.710198829939085</x:v>
      </x:c>
      <x:c r="F31" s="23" t="n">
        <x:f>IF(ISNUMBER('原始输入与口径'!AG33),'原始输入与口径'!AG33,"缺失")</x:f>
        <x:v>142.19295953036732</x:v>
      </x:c>
      <x:c r="G31" s="23" t="n">
        <x:f>IF(ISNUMBER('原始输入与口径'!AJ33),'原始输入与口径'!AJ33,"缺失")</x:f>
        <x:v>0</x:v>
      </x:c>
      <x:c r="H31" s="23" t="str">
        <x:f>"未模拟"</x:f>
        <x:v>未模拟</x:v>
      </x:c>
      <x:c r="I31" s="24" t="n">
        <x:f>'原始输入与口径'!BD33</x:f>
        <x:v>10</x:v>
      </x:c>
      <x:c r="J31" s="24" t="n">
        <x:f>'原始输入与口径'!BE33</x:f>
        <x:v>10</x:v>
      </x:c>
      <x:c r="K31" s="24" t="n">
        <x:f>'原始输入与口径'!BF33</x:f>
        <x:v>0</x:v>
      </x:c>
      <x:c r="L31" s="24" t="n">
        <x:f>'原始输入与口径'!BG33</x:f>
        <x:v>0</x:v>
      </x:c>
      <x:c r="M31" s="24" t="n">
        <x:f>'原始输入与口径'!BH33</x:f>
        <x:v>0</x:v>
      </x:c>
      <x:c r="N31" s="24" t="n">
        <x:f>'原始输入与口径'!BI33</x:f>
        <x:v>0</x:v>
      </x:c>
      <x:c r="O31" s="24" t="n">
        <x:f>M31*AE31*AC31</x:f>
        <x:v>0</x:v>
      </x:c>
      <x:c r="P31" s="24" t="n">
        <x:f>N31*AF31*AC31</x:f>
        <x:v>0</x:v>
      </x:c>
      <x:c r="Q31" s="25" t="n">
        <x:f>IF(K31=0,0,IF(ISNUMBER(B31),K31*AC31*B31,NA()))</x:f>
        <x:v>0</x:v>
      </x:c>
      <x:c r="R31" s="25" t="n">
        <x:f>IF(L31=0,0,IF(ISNUMBER(C31),L31*AC31*C31*AD31,NA()))</x:f>
        <x:v>0</x:v>
      </x:c>
      <x:c r="S31" s="25" t="n">
        <x:f>IF(M31=0,0,IF(ISNUMBER(D31),M31*AC31*D31*AD31,NA()))</x:f>
        <x:v>0</x:v>
      </x:c>
      <x:c r="T31" s="25" t="n">
        <x:f>IF(N31=0,0,IF(ISNUMBER(E31),N31*AC31*E31*AD31,NA()))</x:f>
        <x:v>0</x:v>
      </x:c>
      <x:c r="U31" s="25" t="n">
        <x:f>IF(O31=0,0,IF(ISNUMBER(F31),O31*F31,NA()))</x:f>
        <x:v>0</x:v>
      </x:c>
      <x:c r="V31" s="25" t="n">
        <x:f>IF(P31=0,0,IF(ISNUMBER(G31),-P31*G31,NA()))</x:f>
        <x:v>0</x:v>
      </x:c>
      <x:c r="W31" s="25" t="n">
        <x:f>SUM(Q31:V31)</x:f>
        <x:v>0</x:v>
      </x:c>
      <x:c r="X31" s="18" t="n">
        <x:f>'原始输入与口径'!BR33</x:f>
        <x:v>0</x:v>
      </x:c>
      <x:c r="Y31" s="18" t="n">
        <x:f>W31-X31</x:f>
        <x:v>0</x:v>
      </x:c>
      <x:c r="Z31" s="18" t="str">
        <x:f>"1月1日执行｜初始化零订单"</x:f>
        <x:v>1月1日执行｜初始化零订单</x:v>
      </x:c>
      <x:c r="AA31" s="19" t="n">
        <x:f>IF('原始输入与口径'!AW33,1,0)</x:f>
        <x:v>1</x:v>
      </x:c>
      <x:c r="AB31" s="19" t="n">
        <x:f>IF('原始输入与口径'!AY33,1,0)</x:f>
        <x:v>0</x:v>
      </x:c>
      <x:c r="AC31" s="18" t="n">
        <x:f>'原始输入与口径'!E33</x:f>
        <x:v>0.25</x:v>
      </x:c>
      <x:c r="AD31" s="20" t="n">
        <x:f>'原始输入与口径'!$F$5</x:f>
        <x:v>1</x:v>
      </x:c>
      <x:c r="AE31" s="20" t="n">
        <x:f>IF(AA31=0,0,AI31/(AG31*AC31))</x:f>
        <x:v>0.08277720207253886</x:v>
      </x:c>
      <x:c r="AF31" s="20" t="n">
        <x:f>IF(AA31=0,0,AJ31/(AH31*AC31))</x:f>
        <x:v>0</x:v>
      </x:c>
      <x:c r="AG31" s="18" t="n">
        <x:f>IF(ISNUMBER('原始输入与口径'!T33),'原始输入与口径'!T33,"缺失")</x:f>
        <x:v>193</x:v>
      </x:c>
      <x:c r="AH31" s="18" t="n">
        <x:f>IF(ISNUMBER('原始输入与口径'!Y33),'原始输入与口径'!Y33,"缺失")</x:f>
        <x:v>200</x:v>
      </x:c>
      <x:c r="AI31" s="18" t="n">
        <x:f>IF(ISNUMBER('原始输入与口径'!AI33),'原始输入与口径'!AI33,"缺失")</x:f>
        <x:v>3.994</x:v>
      </x:c>
      <x:c r="AJ31" s="18" t="n">
        <x:f>IF(ISNUMBER('原始输入与口径'!AL33),'原始输入与口径'!AL33,"缺失")</x:f>
        <x:v>0</x:v>
      </x:c>
      <x:c r="AK31" s="18" t="str">
        <x:f>IF(ISNUMBER('原始输入与口径'!O33),'原始输入与口径'!O33,"缺失")</x:f>
        <x:v>缺失</x:v>
      </x:c>
      <x:c r="AL31" s="18" t="n">
        <x:f>SUMIFS('相位SOC复算'!$N$7:$N$443,'相位SOC复算'!$S$7:$S$443,25)</x:f>
        <x:v>0</x:v>
      </x:c>
      <x:c r="AM31" s="18" t="n">
        <x:f>SUMIFS('相位SOC复算'!$Q$7:$Q$443,'相位SOC复算'!$S$7:$S$443,25)</x:f>
        <x:v>0</x:v>
      </x:c>
      <x:c r="AN31" s="18" t="n">
        <x:f>SUMIFS('相位SOC复算'!$R$7:$R$443,'相位SOC复算'!$S$7:$S$443,25)</x:f>
        <x:v>0</x:v>
      </x:c>
      <x:c r="AO31" s="18" t="n">
        <x:f>'相位SOC复算'!J70</x:f>
        <x:v>10</x:v>
      </x:c>
      <x:c r="AP31" s="18" t="n">
        <x:f>AO31-J31</x:f>
        <x:v>0</x:v>
      </x:c>
      <x:c r="AQ31" s="18" t="n">
        <x:f>IF(ISBLANK('原始输入与口径'!M33),"",'原始输入与口径'!M33)</x:f>
        <x:v>4.9741</x:v>
      </x:c>
      <x:c r="AR31" s="21" t="n">
        <x:f>IF(ISBLANK('原始输入与口径'!L33),"",'原始输入与口径'!L33)</x:f>
        <x:v>45657</x:v>
      </x:c>
      <x:c r="AS31" s="17" t="n">
        <x:f>IF(ISBLANK('原始输入与口径'!A33),"",'原始输入与口径'!A33)</x:f>
        <x:v>45658.166666666664</x:v>
      </x:c>
      <x:c r="AT31" s="18" t="str">
        <x:f>IF(ISBLANK('原始输入与口径'!I33),"",'原始输入与口径'!I33)</x:f>
        <x:v>2025-01-01_6</x:v>
      </x:c>
      <x:c r="AU31" s="19" t="n">
        <x:f>IF(ISBLANK('原始输入与口径'!J33),"",'原始输入与口径'!J33)</x:f>
        <x:v>60</x:v>
      </x:c>
      <x:c r="AV31" s="18" t="str">
        <x:f>IF(ISBLANK('原始输入与口径'!BB33),"",'原始输入与口径'!BB33)</x:f>
        <x:v>OK</x:v>
      </x:c>
    </x:row>
    <x:row r="32" ht="21" customHeight="1">
      <x:c r="A32" s="17" t="n">
        <x:f>45658.260416666664</x:f>
        <x:v>45658.260416666664</x:v>
      </x:c>
      <x:c r="B32" s="23" t="n">
        <x:f>IF(ISNUMBER('原始输入与口径'!H34),'原始输入与口径'!H34,"缺失")</x:f>
        <x:v>66.7</x:v>
      </x:c>
      <x:c r="C32" s="23" t="str">
        <x:f>IF(ISNUMBER('原始输入与口径'!R34),'原始输入与口径'!R34,"缺失")</x:f>
        <x:v>缺失</x:v>
      </x:c>
      <x:c r="D32" s="23" t="n">
        <x:f>IF(ISNUMBER('原始输入与口径'!W34),'原始输入与口径'!W34,"缺失")</x:f>
        <x:v>13.831647936310086</x:v>
      </x:c>
      <x:c r="E32" s="23" t="n">
        <x:f>IF(ISNUMBER('原始输入与口径'!AB34),'原始输入与口径'!AB34,"缺失")</x:f>
        <x:v>14.710198829939085</x:v>
      </x:c>
      <x:c r="F32" s="23" t="n">
        <x:f>IF(ISNUMBER('原始输入与口径'!AG34),'原始输入与口径'!AG34,"缺失")</x:f>
        <x:v>136.70814820771596</x:v>
      </x:c>
      <x:c r="G32" s="23" t="n">
        <x:f>IF(ISNUMBER('原始输入与口径'!AJ34),'原始输入与口径'!AJ34,"缺失")</x:f>
        <x:v>0</x:v>
      </x:c>
      <x:c r="H32" s="23" t="str">
        <x:f>"未模拟"</x:f>
        <x:v>未模拟</x:v>
      </x:c>
      <x:c r="I32" s="24" t="n">
        <x:f>'原始输入与口径'!BD34</x:f>
        <x:v>10</x:v>
      </x:c>
      <x:c r="J32" s="24" t="n">
        <x:f>'原始输入与口径'!BE34</x:f>
        <x:v>10</x:v>
      </x:c>
      <x:c r="K32" s="24" t="n">
        <x:f>'原始输入与口径'!BF34</x:f>
        <x:v>0</x:v>
      </x:c>
      <x:c r="L32" s="24" t="n">
        <x:f>'原始输入与口径'!BG34</x:f>
        <x:v>0</x:v>
      </x:c>
      <x:c r="M32" s="24" t="n">
        <x:f>'原始输入与口径'!BH34</x:f>
        <x:v>0</x:v>
      </x:c>
      <x:c r="N32" s="24" t="n">
        <x:f>'原始输入与口径'!BI34</x:f>
        <x:v>0</x:v>
      </x:c>
      <x:c r="O32" s="24" t="n">
        <x:f>M32*AE32*AC32</x:f>
        <x:v>0</x:v>
      </x:c>
      <x:c r="P32" s="24" t="n">
        <x:f>N32*AF32*AC32</x:f>
        <x:v>0</x:v>
      </x:c>
      <x:c r="Q32" s="25" t="n">
        <x:f>IF(K32=0,0,IF(ISNUMBER(B32),K32*AC32*B32,NA()))</x:f>
        <x:v>0</x:v>
      </x:c>
      <x:c r="R32" s="25" t="n">
        <x:f>IF(L32=0,0,IF(ISNUMBER(C32),L32*AC32*C32*AD32,NA()))</x:f>
        <x:v>0</x:v>
      </x:c>
      <x:c r="S32" s="25" t="n">
        <x:f>IF(M32=0,0,IF(ISNUMBER(D32),M32*AC32*D32*AD32,NA()))</x:f>
        <x:v>0</x:v>
      </x:c>
      <x:c r="T32" s="25" t="n">
        <x:f>IF(N32=0,0,IF(ISNUMBER(E32),N32*AC32*E32*AD32,NA()))</x:f>
        <x:v>0</x:v>
      </x:c>
      <x:c r="U32" s="25" t="n">
        <x:f>IF(O32=0,0,IF(ISNUMBER(F32),O32*F32,NA()))</x:f>
        <x:v>0</x:v>
      </x:c>
      <x:c r="V32" s="25" t="n">
        <x:f>IF(P32=0,0,IF(ISNUMBER(G32),-P32*G32,NA()))</x:f>
        <x:v>0</x:v>
      </x:c>
      <x:c r="W32" s="25" t="n">
        <x:f>SUM(Q32:V32)</x:f>
        <x:v>0</x:v>
      </x:c>
      <x:c r="X32" s="18" t="n">
        <x:f>'原始输入与口径'!BR34</x:f>
        <x:v>0</x:v>
      </x:c>
      <x:c r="Y32" s="18" t="n">
        <x:f>W32-X32</x:f>
        <x:v>0</x:v>
      </x:c>
      <x:c r="Z32" s="18" t="str">
        <x:f>"1月1日执行｜初始化零订单"</x:f>
        <x:v>1月1日执行｜初始化零订单</x:v>
      </x:c>
      <x:c r="AA32" s="19" t="n">
        <x:f>IF('原始输入与口径'!AW34,1,0)</x:f>
        <x:v>1</x:v>
      </x:c>
      <x:c r="AB32" s="19" t="n">
        <x:f>IF('原始输入与口径'!AY34,1,0)</x:f>
        <x:v>0</x:v>
      </x:c>
      <x:c r="AC32" s="18" t="n">
        <x:f>'原始输入与口径'!E34</x:f>
        <x:v>0.25</x:v>
      </x:c>
      <x:c r="AD32" s="20" t="n">
        <x:f>'原始输入与口径'!$F$5</x:f>
        <x:v>1</x:v>
      </x:c>
      <x:c r="AE32" s="20" t="n">
        <x:f>IF(AA32=0,0,AI32/(AG32*AC32))</x:f>
        <x:v>0.08358549222797929</x:v>
      </x:c>
      <x:c r="AF32" s="20" t="n">
        <x:f>IF(AA32=0,0,AJ32/(AH32*AC32))</x:f>
        <x:v>0</x:v>
      </x:c>
      <x:c r="AG32" s="18" t="n">
        <x:f>IF(ISNUMBER('原始输入与口径'!T34),'原始输入与口径'!T34,"缺失")</x:f>
        <x:v>193</x:v>
      </x:c>
      <x:c r="AH32" s="18" t="n">
        <x:f>IF(ISNUMBER('原始输入与口径'!Y34),'原始输入与口径'!Y34,"缺失")</x:f>
        <x:v>200</x:v>
      </x:c>
      <x:c r="AI32" s="18" t="n">
        <x:f>IF(ISNUMBER('原始输入与口径'!AI34),'原始输入与口径'!AI34,"缺失")</x:f>
        <x:v>4.033</x:v>
      </x:c>
      <x:c r="AJ32" s="18" t="n">
        <x:f>IF(ISNUMBER('原始输入与口径'!AL34),'原始输入与口径'!AL34,"缺失")</x:f>
        <x:v>0</x:v>
      </x:c>
      <x:c r="AK32" s="18" t="str">
        <x:f>IF(ISNUMBER('原始输入与口径'!O34),'原始输入与口径'!O34,"缺失")</x:f>
        <x:v>缺失</x:v>
      </x:c>
      <x:c r="AL32" s="18" t="n">
        <x:f>SUMIFS('相位SOC复算'!$N$7:$N$443,'相位SOC复算'!$S$7:$S$443,26)</x:f>
        <x:v>0</x:v>
      </x:c>
      <x:c r="AM32" s="18" t="n">
        <x:f>SUMIFS('相位SOC复算'!$Q$7:$Q$443,'相位SOC复算'!$S$7:$S$443,26)</x:f>
        <x:v>0</x:v>
      </x:c>
      <x:c r="AN32" s="18" t="n">
        <x:f>SUMIFS('相位SOC复算'!$R$7:$R$443,'相位SOC复算'!$S$7:$S$443,26)</x:f>
        <x:v>0</x:v>
      </x:c>
      <x:c r="AO32" s="18" t="n">
        <x:f>'相位SOC复算'!J72</x:f>
        <x:v>10</x:v>
      </x:c>
      <x:c r="AP32" s="18" t="n">
        <x:f>AO32-J32</x:f>
        <x:v>0</x:v>
      </x:c>
      <x:c r="AQ32" s="18" t="n">
        <x:f>IF(ISBLANK('原始输入与口径'!M34),"",'原始输入与口径'!M34)</x:f>
        <x:v>4.9741</x:v>
      </x:c>
      <x:c r="AR32" s="21" t="n">
        <x:f>IF(ISBLANK('原始输入与口径'!L34),"",'原始输入与口径'!L34)</x:f>
        <x:v>45657</x:v>
      </x:c>
      <x:c r="AS32" s="17" t="n">
        <x:f>IF(ISBLANK('原始输入与口径'!A34),"",'原始输入与口径'!A34)</x:f>
        <x:v>45658.177083333336</x:v>
      </x:c>
      <x:c r="AT32" s="18" t="str">
        <x:f>IF(ISBLANK('原始输入与口径'!I34),"",'原始输入与口径'!I34)</x:f>
        <x:v>2025-01-01_6</x:v>
      </x:c>
      <x:c r="AU32" s="19" t="n">
        <x:f>IF(ISBLANK('原始输入与口径'!J34),"",'原始输入与口径'!J34)</x:f>
        <x:v>60</x:v>
      </x:c>
      <x:c r="AV32" s="18" t="str">
        <x:f>IF(ISBLANK('原始输入与口径'!BB34),"",'原始输入与口径'!BB34)</x:f>
        <x:v>OK</x:v>
      </x:c>
    </x:row>
    <x:row r="33" ht="21" customHeight="1">
      <x:c r="A33" s="17" t="n">
        <x:f>45658.270833333336</x:f>
        <x:v>45658.270833333336</x:v>
      </x:c>
      <x:c r="B33" s="23" t="n">
        <x:f>IF(ISNUMBER('原始输入与口径'!H35),'原始输入与口径'!H35,"缺失")</x:f>
        <x:v>66.7</x:v>
      </x:c>
      <x:c r="C33" s="23" t="str">
        <x:f>IF(ISNUMBER('原始输入与口径'!R35),'原始输入与口径'!R35,"缺失")</x:f>
        <x:v>缺失</x:v>
      </x:c>
      <x:c r="D33" s="23" t="n">
        <x:f>IF(ISNUMBER('原始输入与口径'!W35),'原始输入与口径'!W35,"缺失")</x:f>
        <x:v>13.831647936310086</x:v>
      </x:c>
      <x:c r="E33" s="23" t="n">
        <x:f>IF(ISNUMBER('原始输入与口径'!AB35),'原始输入与口径'!AB35,"缺失")</x:f>
        <x:v>14.710198829939085</x:v>
      </x:c>
      <x:c r="F33" s="23" t="n">
        <x:f>IF(ISNUMBER('原始输入与口径'!AG35),'原始输入与口径'!AG35,"缺失")</x:f>
        <x:v>153.6935324983414</x:v>
      </x:c>
      <x:c r="G33" s="23" t="n">
        <x:f>IF(ISNUMBER('原始输入与口径'!AJ35),'原始输入与口径'!AJ35,"缺失")</x:f>
        <x:v>0</x:v>
      </x:c>
      <x:c r="H33" s="23" t="str">
        <x:f>"未模拟"</x:f>
        <x:v>未模拟</x:v>
      </x:c>
      <x:c r="I33" s="24" t="n">
        <x:f>'原始输入与口径'!BD35</x:f>
        <x:v>10</x:v>
      </x:c>
      <x:c r="J33" s="24" t="n">
        <x:f>'原始输入与口径'!BE35</x:f>
        <x:v>10</x:v>
      </x:c>
      <x:c r="K33" s="24" t="n">
        <x:f>'原始输入与口径'!BF35</x:f>
        <x:v>0</x:v>
      </x:c>
      <x:c r="L33" s="24" t="n">
        <x:f>'原始输入与口径'!BG35</x:f>
        <x:v>0</x:v>
      </x:c>
      <x:c r="M33" s="24" t="n">
        <x:f>'原始输入与口径'!BH35</x:f>
        <x:v>0</x:v>
      </x:c>
      <x:c r="N33" s="24" t="n">
        <x:f>'原始输入与口径'!BI35</x:f>
        <x:v>0</x:v>
      </x:c>
      <x:c r="O33" s="24" t="n">
        <x:f>M33*AE33*AC33</x:f>
        <x:v>0</x:v>
      </x:c>
      <x:c r="P33" s="24" t="n">
        <x:f>N33*AF33*AC33</x:f>
        <x:v>0</x:v>
      </x:c>
      <x:c r="Q33" s="25" t="n">
        <x:f>IF(K33=0,0,IF(ISNUMBER(B33),K33*AC33*B33,NA()))</x:f>
        <x:v>0</x:v>
      </x:c>
      <x:c r="R33" s="25" t="n">
        <x:f>IF(L33=0,0,IF(ISNUMBER(C33),L33*AC33*C33*AD33,NA()))</x:f>
        <x:v>0</x:v>
      </x:c>
      <x:c r="S33" s="25" t="n">
        <x:f>IF(M33=0,0,IF(ISNUMBER(D33),M33*AC33*D33*AD33,NA()))</x:f>
        <x:v>0</x:v>
      </x:c>
      <x:c r="T33" s="25" t="n">
        <x:f>IF(N33=0,0,IF(ISNUMBER(E33),N33*AC33*E33*AD33,NA()))</x:f>
        <x:v>0</x:v>
      </x:c>
      <x:c r="U33" s="25" t="n">
        <x:f>IF(O33=0,0,IF(ISNUMBER(F33),O33*F33,NA()))</x:f>
        <x:v>0</x:v>
      </x:c>
      <x:c r="V33" s="25" t="n">
        <x:f>IF(P33=0,0,IF(ISNUMBER(G33),-P33*G33,NA()))</x:f>
        <x:v>0</x:v>
      </x:c>
      <x:c r="W33" s="25" t="n">
        <x:f>SUM(Q33:V33)</x:f>
        <x:v>0</x:v>
      </x:c>
      <x:c r="X33" s="18" t="n">
        <x:f>'原始输入与口径'!BR35</x:f>
        <x:v>0</x:v>
      </x:c>
      <x:c r="Y33" s="18" t="n">
        <x:f>W33-X33</x:f>
        <x:v>0</x:v>
      </x:c>
      <x:c r="Z33" s="18" t="str">
        <x:f>"1月1日执行｜初始化零订单"</x:f>
        <x:v>1月1日执行｜初始化零订单</x:v>
      </x:c>
      <x:c r="AA33" s="19" t="n">
        <x:f>IF('原始输入与口径'!AW35,1,0)</x:f>
        <x:v>1</x:v>
      </x:c>
      <x:c r="AB33" s="19" t="n">
        <x:f>IF('原始输入与口径'!AY35,1,0)</x:f>
        <x:v>0</x:v>
      </x:c>
      <x:c r="AC33" s="18" t="n">
        <x:f>'原始输入与口径'!E35</x:f>
        <x:v>0.25</x:v>
      </x:c>
      <x:c r="AD33" s="20" t="n">
        <x:f>'原始输入与口径'!$F$5</x:f>
        <x:v>1</x:v>
      </x:c>
      <x:c r="AE33" s="20" t="n">
        <x:f>IF(AA33=0,0,AI33/(AG33*AC33))</x:f>
        <x:v>0.19765803108808291</x:v>
      </x:c>
      <x:c r="AF33" s="20" t="n">
        <x:f>IF(AA33=0,0,AJ33/(AH33*AC33))</x:f>
        <x:v>0</x:v>
      </x:c>
      <x:c r="AG33" s="18" t="n">
        <x:f>IF(ISNUMBER('原始输入与口径'!T35),'原始输入与口径'!T35,"缺失")</x:f>
        <x:v>193</x:v>
      </x:c>
      <x:c r="AH33" s="18" t="n">
        <x:f>IF(ISNUMBER('原始输入与口径'!Y35),'原始输入与口径'!Y35,"缺失")</x:f>
        <x:v>200</x:v>
      </x:c>
      <x:c r="AI33" s="18" t="n">
        <x:f>IF(ISNUMBER('原始输入与口径'!AI35),'原始输入与口径'!AI35,"缺失")</x:f>
        <x:v>9.537</x:v>
      </x:c>
      <x:c r="AJ33" s="18" t="n">
        <x:f>IF(ISNUMBER('原始输入与口径'!AL35),'原始输入与口径'!AL35,"缺失")</x:f>
        <x:v>0</x:v>
      </x:c>
      <x:c r="AK33" s="18" t="str">
        <x:f>IF(ISNUMBER('原始输入与口径'!O35),'原始输入与口径'!O35,"缺失")</x:f>
        <x:v>缺失</x:v>
      </x:c>
      <x:c r="AL33" s="18" t="n">
        <x:f>SUMIFS('相位SOC复算'!$N$7:$N$443,'相位SOC复算'!$S$7:$S$443,27)</x:f>
        <x:v>0</x:v>
      </x:c>
      <x:c r="AM33" s="18" t="n">
        <x:f>SUMIFS('相位SOC复算'!$Q$7:$Q$443,'相位SOC复算'!$S$7:$S$443,27)</x:f>
        <x:v>0</x:v>
      </x:c>
      <x:c r="AN33" s="18" t="n">
        <x:f>SUMIFS('相位SOC复算'!$R$7:$R$443,'相位SOC复算'!$S$7:$S$443,27)</x:f>
        <x:v>0</x:v>
      </x:c>
      <x:c r="AO33" s="18" t="n">
        <x:f>'相位SOC复算'!J74</x:f>
        <x:v>10</x:v>
      </x:c>
      <x:c r="AP33" s="18" t="n">
        <x:f>AO33-J33</x:f>
        <x:v>0</x:v>
      </x:c>
      <x:c r="AQ33" s="18" t="n">
        <x:f>IF(ISBLANK('原始输入与口径'!M35),"",'原始输入与口径'!M35)</x:f>
        <x:v>4.9741</x:v>
      </x:c>
      <x:c r="AR33" s="21" t="n">
        <x:f>IF(ISBLANK('原始输入与口径'!L35),"",'原始输入与口径'!L35)</x:f>
        <x:v>45657</x:v>
      </x:c>
      <x:c r="AS33" s="17" t="n">
        <x:f>IF(ISBLANK('原始输入与口径'!A35),"",'原始输入与口径'!A35)</x:f>
        <x:v>45658.1875</x:v>
      </x:c>
      <x:c r="AT33" s="18" t="str">
        <x:f>IF(ISBLANK('原始输入与口径'!I35),"",'原始输入与口径'!I35)</x:f>
        <x:v>2025-01-01_6</x:v>
      </x:c>
      <x:c r="AU33" s="19" t="n">
        <x:f>IF(ISBLANK('原始输入与口径'!J35),"",'原始输入与口径'!J35)</x:f>
        <x:v>60</x:v>
      </x:c>
      <x:c r="AV33" s="18" t="str">
        <x:f>IF(ISBLANK('原始输入与口径'!BB35),"",'原始输入与口径'!BB35)</x:f>
        <x:v>OK</x:v>
      </x:c>
    </x:row>
    <x:row r="34" ht="21" customHeight="1">
      <x:c r="A34" s="17" t="n">
        <x:f>45658.28125</x:f>
        <x:v>45658.28125</x:v>
      </x:c>
      <x:c r="B34" s="23" t="n">
        <x:f>IF(ISNUMBER('原始输入与口径'!H36),'原始输入与口径'!H36,"缺失")</x:f>
        <x:v>66.7</x:v>
      </x:c>
      <x:c r="C34" s="23" t="str">
        <x:f>IF(ISNUMBER('原始输入与口径'!R36),'原始输入与口径'!R36,"缺失")</x:f>
        <x:v>缺失</x:v>
      </x:c>
      <x:c r="D34" s="23" t="n">
        <x:f>IF(ISNUMBER('原始输入与口径'!W36),'原始输入与口径'!W36,"缺失")</x:f>
        <x:v>13.831647936310086</x:v>
      </x:c>
      <x:c r="E34" s="23" t="n">
        <x:f>IF(ISNUMBER('原始输入与口径'!AB36),'原始输入与口径'!AB36,"缺失")</x:f>
        <x:v>14.710198829939085</x:v>
      </x:c>
      <x:c r="F34" s="23" t="n">
        <x:f>IF(ISNUMBER('原始输入与口径'!AG36),'原始输入与口径'!AG36,"缺失")</x:f>
        <x:v>157.20029754126375</x:v>
      </x:c>
      <x:c r="G34" s="23" t="n">
        <x:f>IF(ISNUMBER('原始输入与口径'!AJ36),'原始输入与口径'!AJ36,"缺失")</x:f>
        <x:v>0</x:v>
      </x:c>
      <x:c r="H34" s="23" t="str">
        <x:f>"未模拟"</x:f>
        <x:v>未模拟</x:v>
      </x:c>
      <x:c r="I34" s="24" t="n">
        <x:f>'原始输入与口径'!BD36</x:f>
        <x:v>10</x:v>
      </x:c>
      <x:c r="J34" s="24" t="n">
        <x:f>'原始输入与口径'!BE36</x:f>
        <x:v>10</x:v>
      </x:c>
      <x:c r="K34" s="24" t="n">
        <x:f>'原始输入与口径'!BF36</x:f>
        <x:v>0</x:v>
      </x:c>
      <x:c r="L34" s="24" t="n">
        <x:f>'原始输入与口径'!BG36</x:f>
        <x:v>0</x:v>
      </x:c>
      <x:c r="M34" s="24" t="n">
        <x:f>'原始输入与口径'!BH36</x:f>
        <x:v>0</x:v>
      </x:c>
      <x:c r="N34" s="24" t="n">
        <x:f>'原始输入与口径'!BI36</x:f>
        <x:v>0</x:v>
      </x:c>
      <x:c r="O34" s="24" t="n">
        <x:f>M34*AE34*AC34</x:f>
        <x:v>0</x:v>
      </x:c>
      <x:c r="P34" s="24" t="n">
        <x:f>N34*AF34*AC34</x:f>
        <x:v>0</x:v>
      </x:c>
      <x:c r="Q34" s="25" t="n">
        <x:f>IF(K34=0,0,IF(ISNUMBER(B34),K34*AC34*B34,NA()))</x:f>
        <x:v>0</x:v>
      </x:c>
      <x:c r="R34" s="25" t="n">
        <x:f>IF(L34=0,0,IF(ISNUMBER(C34),L34*AC34*C34*AD34,NA()))</x:f>
        <x:v>0</x:v>
      </x:c>
      <x:c r="S34" s="25" t="n">
        <x:f>IF(M34=0,0,IF(ISNUMBER(D34),M34*AC34*D34*AD34,NA()))</x:f>
        <x:v>0</x:v>
      </x:c>
      <x:c r="T34" s="25" t="n">
        <x:f>IF(N34=0,0,IF(ISNUMBER(E34),N34*AC34*E34*AD34,NA()))</x:f>
        <x:v>0</x:v>
      </x:c>
      <x:c r="U34" s="25" t="n">
        <x:f>IF(O34=0,0,IF(ISNUMBER(F34),O34*F34,NA()))</x:f>
        <x:v>0</x:v>
      </x:c>
      <x:c r="V34" s="25" t="n">
        <x:f>IF(P34=0,0,IF(ISNUMBER(G34),-P34*G34,NA()))</x:f>
        <x:v>0</x:v>
      </x:c>
      <x:c r="W34" s="25" t="n">
        <x:f>SUM(Q34:V34)</x:f>
        <x:v>0</x:v>
      </x:c>
      <x:c r="X34" s="18" t="n">
        <x:f>'原始输入与口径'!BR36</x:f>
        <x:v>0</x:v>
      </x:c>
      <x:c r="Y34" s="18" t="n">
        <x:f>W34-X34</x:f>
        <x:v>0</x:v>
      </x:c>
      <x:c r="Z34" s="18" t="str">
        <x:f>"1月1日执行｜初始化零订单"</x:f>
        <x:v>1月1日执行｜初始化零订单</x:v>
      </x:c>
      <x:c r="AA34" s="19" t="n">
        <x:f>IF('原始输入与口径'!AW36,1,0)</x:f>
        <x:v>1</x:v>
      </x:c>
      <x:c r="AB34" s="19" t="n">
        <x:f>IF('原始输入与口径'!AY36,1,0)</x:f>
        <x:v>0</x:v>
      </x:c>
      <x:c r="AC34" s="18" t="n">
        <x:f>'原始输入与口径'!E36</x:f>
        <x:v>0.25</x:v>
      </x:c>
      <x:c r="AD34" s="20" t="n">
        <x:f>'原始输入与口径'!$F$5</x:f>
        <x:v>1</x:v>
      </x:c>
      <x:c r="AE34" s="20" t="n">
        <x:f>IF(AA34=0,0,AI34/(AG34*AC34))</x:f>
        <x:v>0.23600000000000002</x:v>
      </x:c>
      <x:c r="AF34" s="20" t="n">
        <x:f>IF(AA34=0,0,AJ34/(AH34*AC34))</x:f>
        <x:v>0</x:v>
      </x:c>
      <x:c r="AG34" s="18" t="n">
        <x:f>IF(ISNUMBER('原始输入与口径'!T36),'原始输入与口径'!T36,"缺失")</x:f>
        <x:v>193</x:v>
      </x:c>
      <x:c r="AH34" s="18" t="n">
        <x:f>IF(ISNUMBER('原始输入与口径'!Y36),'原始输入与口径'!Y36,"缺失")</x:f>
        <x:v>200</x:v>
      </x:c>
      <x:c r="AI34" s="18" t="n">
        <x:f>IF(ISNUMBER('原始输入与口径'!AI36),'原始输入与口径'!AI36,"缺失")</x:f>
        <x:v>11.387</x:v>
      </x:c>
      <x:c r="AJ34" s="18" t="n">
        <x:f>IF(ISNUMBER('原始输入与口径'!AL36),'原始输入与口径'!AL36,"缺失")</x:f>
        <x:v>0</x:v>
      </x:c>
      <x:c r="AK34" s="18" t="str">
        <x:f>IF(ISNUMBER('原始输入与口径'!O36),'原始输入与口径'!O36,"缺失")</x:f>
        <x:v>缺失</x:v>
      </x:c>
      <x:c r="AL34" s="18" t="n">
        <x:f>SUMIFS('相位SOC复算'!$N$7:$N$443,'相位SOC复算'!$S$7:$S$443,28)</x:f>
        <x:v>0</x:v>
      </x:c>
      <x:c r="AM34" s="18" t="n">
        <x:f>SUMIFS('相位SOC复算'!$Q$7:$Q$443,'相位SOC复算'!$S$7:$S$443,28)</x:f>
        <x:v>0</x:v>
      </x:c>
      <x:c r="AN34" s="18" t="n">
        <x:f>SUMIFS('相位SOC复算'!$R$7:$R$443,'相位SOC复算'!$S$7:$S$443,28)</x:f>
        <x:v>0</x:v>
      </x:c>
      <x:c r="AO34" s="18" t="n">
        <x:f>'相位SOC复算'!J76</x:f>
        <x:v>10</x:v>
      </x:c>
      <x:c r="AP34" s="18" t="n">
        <x:f>AO34-J34</x:f>
        <x:v>0</x:v>
      </x:c>
      <x:c r="AQ34" s="18" t="n">
        <x:f>IF(ISBLANK('原始输入与口径'!M36),"",'原始输入与口径'!M36)</x:f>
        <x:v>4.9741</x:v>
      </x:c>
      <x:c r="AR34" s="21" t="n">
        <x:f>IF(ISBLANK('原始输入与口径'!L36),"",'原始输入与口径'!L36)</x:f>
        <x:v>45657</x:v>
      </x:c>
      <x:c r="AS34" s="17" t="n">
        <x:f>IF(ISBLANK('原始输入与口径'!A36),"",'原始输入与口径'!A36)</x:f>
        <x:v>45658.197916666664</x:v>
      </x:c>
      <x:c r="AT34" s="18" t="str">
        <x:f>IF(ISBLANK('原始输入与口径'!I36),"",'原始输入与口径'!I36)</x:f>
        <x:v>2025-01-01_6</x:v>
      </x:c>
      <x:c r="AU34" s="19" t="n">
        <x:f>IF(ISBLANK('原始输入与口径'!J36),"",'原始输入与口径'!J36)</x:f>
        <x:v>60</x:v>
      </x:c>
      <x:c r="AV34" s="18" t="str">
        <x:f>IF(ISBLANK('原始输入与口径'!BB36),"",'原始输入与口径'!BB36)</x:f>
        <x:v>OK</x:v>
      </x:c>
    </x:row>
    <x:row r="35" ht="21" customHeight="1">
      <x:c r="A35" s="17" t="n">
        <x:f>45658.291666666664</x:f>
        <x:v>45658.291666666664</x:v>
      </x:c>
      <x:c r="B35" s="23" t="n">
        <x:f>IF(ISNUMBER('原始输入与口径'!H37),'原始输入与口径'!H37,"缺失")</x:f>
        <x:v>62.42</x:v>
      </x:c>
      <x:c r="C35" s="23" t="str">
        <x:f>IF(ISNUMBER('原始输入与口径'!R37),'原始输入与口径'!R37,"缺失")</x:f>
        <x:v>缺失</x:v>
      </x:c>
      <x:c r="D35" s="23" t="n">
        <x:f>IF(ISNUMBER('原始输入与口径'!W37),'原始输入与口径'!W37,"缺失")</x:f>
        <x:v>13.831647936310086</x:v>
      </x:c>
      <x:c r="E35" s="23" t="n">
        <x:f>IF(ISNUMBER('原始输入与口径'!AB37),'原始输入与口径'!AB37,"缺失")</x:f>
        <x:v>14.710198829939085</x:v>
      </x:c>
      <x:c r="F35" s="23" t="n">
        <x:f>IF(ISNUMBER('原始输入与口径'!AG37),'原始输入与口径'!AG37,"缺失")</x:f>
        <x:v>152.91610542610724</x:v>
      </x:c>
      <x:c r="G35" s="23" t="n">
        <x:f>IF(ISNUMBER('原始输入与口径'!AJ37),'原始输入与口径'!AJ37,"缺失")</x:f>
        <x:v>0</x:v>
      </x:c>
      <x:c r="H35" s="23" t="str">
        <x:f>"未模拟"</x:f>
        <x:v>未模拟</x:v>
      </x:c>
      <x:c r="I35" s="24" t="n">
        <x:f>'原始输入与口径'!BD37</x:f>
        <x:v>10</x:v>
      </x:c>
      <x:c r="J35" s="24" t="n">
        <x:f>'原始输入与口径'!BE37</x:f>
        <x:v>10</x:v>
      </x:c>
      <x:c r="K35" s="24" t="n">
        <x:f>'原始输入与口径'!BF37</x:f>
        <x:v>0</x:v>
      </x:c>
      <x:c r="L35" s="24" t="n">
        <x:f>'原始输入与口径'!BG37</x:f>
        <x:v>0</x:v>
      </x:c>
      <x:c r="M35" s="24" t="n">
        <x:f>'原始输入与口径'!BH37</x:f>
        <x:v>0</x:v>
      </x:c>
      <x:c r="N35" s="24" t="n">
        <x:f>'原始输入与口径'!BI37</x:f>
        <x:v>0</x:v>
      </x:c>
      <x:c r="O35" s="24" t="n">
        <x:f>M35*AE35*AC35</x:f>
        <x:v>0</x:v>
      </x:c>
      <x:c r="P35" s="24" t="n">
        <x:f>N35*AF35*AC35</x:f>
        <x:v>0</x:v>
      </x:c>
      <x:c r="Q35" s="25" t="n">
        <x:f>IF(K35=0,0,IF(ISNUMBER(B35),K35*AC35*B35,NA()))</x:f>
        <x:v>0</x:v>
      </x:c>
      <x:c r="R35" s="25" t="n">
        <x:f>IF(L35=0,0,IF(ISNUMBER(C35),L35*AC35*C35*AD35,NA()))</x:f>
        <x:v>0</x:v>
      </x:c>
      <x:c r="S35" s="25" t="n">
        <x:f>IF(M35=0,0,IF(ISNUMBER(D35),M35*AC35*D35*AD35,NA()))</x:f>
        <x:v>0</x:v>
      </x:c>
      <x:c r="T35" s="25" t="n">
        <x:f>IF(N35=0,0,IF(ISNUMBER(E35),N35*AC35*E35*AD35,NA()))</x:f>
        <x:v>0</x:v>
      </x:c>
      <x:c r="U35" s="25" t="n">
        <x:f>IF(O35=0,0,IF(ISNUMBER(F35),O35*F35,NA()))</x:f>
        <x:v>0</x:v>
      </x:c>
      <x:c r="V35" s="25" t="n">
        <x:f>IF(P35=0,0,IF(ISNUMBER(G35),-P35*G35,NA()))</x:f>
        <x:v>0</x:v>
      </x:c>
      <x:c r="W35" s="25" t="n">
        <x:f>SUM(Q35:V35)</x:f>
        <x:v>0</x:v>
      </x:c>
      <x:c r="X35" s="18" t="n">
        <x:f>'原始输入与口径'!BR37</x:f>
        <x:v>0</x:v>
      </x:c>
      <x:c r="Y35" s="18" t="n">
        <x:f>W35-X35</x:f>
        <x:v>0</x:v>
      </x:c>
      <x:c r="Z35" s="18" t="str">
        <x:f>"1月1日执行｜初始化零订单"</x:f>
        <x:v>1月1日执行｜初始化零订单</x:v>
      </x:c>
      <x:c r="AA35" s="19" t="n">
        <x:f>IF('原始输入与口径'!AW37,1,0)</x:f>
        <x:v>1</x:v>
      </x:c>
      <x:c r="AB35" s="19" t="n">
        <x:f>IF('原始输入与口径'!AY37,1,0)</x:f>
        <x:v>0</x:v>
      </x:c>
      <x:c r="AC35" s="18" t="n">
        <x:f>'原始输入与口径'!E37</x:f>
        <x:v>0.25</x:v>
      </x:c>
      <x:c r="AD35" s="20" t="n">
        <x:f>'原始输入与口径'!$F$5</x:f>
        <x:v>1</x:v>
      </x:c>
      <x:c r="AE35" s="20" t="n">
        <x:f>IF(AA35=0,0,AI35/(AG35*AC35))</x:f>
        <x:v>0.3394</x:v>
      </x:c>
      <x:c r="AF35" s="20" t="n">
        <x:f>IF(AA35=0,0,AJ35/(AH35*AC35))</x:f>
        <x:v>0</x:v>
      </x:c>
      <x:c r="AG35" s="18" t="n">
        <x:f>IF(ISNUMBER('原始输入与口径'!T37),'原始输入与口径'!T37,"缺失")</x:f>
        <x:v>200</x:v>
      </x:c>
      <x:c r="AH35" s="18" t="n">
        <x:f>IF(ISNUMBER('原始输入与口径'!Y37),'原始输入与口径'!Y37,"缺失")</x:f>
        <x:v>200</x:v>
      </x:c>
      <x:c r="AI35" s="18" t="n">
        <x:f>IF(ISNUMBER('原始输入与口径'!AI37),'原始输入与口径'!AI37,"缺失")</x:f>
        <x:v>16.97</x:v>
      </x:c>
      <x:c r="AJ35" s="18" t="n">
        <x:f>IF(ISNUMBER('原始输入与口径'!AL37),'原始输入与口径'!AL37,"缺失")</x:f>
        <x:v>0</x:v>
      </x:c>
      <x:c r="AK35" s="18" t="str">
        <x:f>IF(ISNUMBER('原始输入与口径'!O37),'原始输入与口径'!O37,"缺失")</x:f>
        <x:v>缺失</x:v>
      </x:c>
      <x:c r="AL35" s="18" t="n">
        <x:f>SUMIFS('相位SOC复算'!$N$7:$N$443,'相位SOC复算'!$S$7:$S$443,29)</x:f>
        <x:v>0</x:v>
      </x:c>
      <x:c r="AM35" s="18" t="n">
        <x:f>SUMIFS('相位SOC复算'!$Q$7:$Q$443,'相位SOC复算'!$S$7:$S$443,29)</x:f>
        <x:v>0</x:v>
      </x:c>
      <x:c r="AN35" s="18" t="n">
        <x:f>SUMIFS('相位SOC复算'!$R$7:$R$443,'相位SOC复算'!$S$7:$S$443,29)</x:f>
        <x:v>0</x:v>
      </x:c>
      <x:c r="AO35" s="18" t="n">
        <x:f>'相位SOC复算'!J78</x:f>
        <x:v>10</x:v>
      </x:c>
      <x:c r="AP35" s="18" t="n">
        <x:f>AO35-J35</x:f>
        <x:v>0</x:v>
      </x:c>
      <x:c r="AQ35" s="18" t="n">
        <x:f>IF(ISBLANK('原始输入与口径'!M37),"",'原始输入与口径'!M37)</x:f>
        <x:v>4.9741</x:v>
      </x:c>
      <x:c r="AR35" s="21" t="n">
        <x:f>IF(ISBLANK('原始输入与口径'!L37),"",'原始输入与口径'!L37)</x:f>
        <x:v>45657</x:v>
      </x:c>
      <x:c r="AS35" s="17" t="n">
        <x:f>IF(ISBLANK('原始输入与口径'!A37),"",'原始输入与口径'!A37)</x:f>
        <x:v>45658.208333333336</x:v>
      </x:c>
      <x:c r="AT35" s="18" t="str">
        <x:f>IF(ISBLANK('原始输入与口径'!I37),"",'原始输入与口径'!I37)</x:f>
        <x:v>2025-01-01_7</x:v>
      </x:c>
      <x:c r="AU35" s="19" t="n">
        <x:f>IF(ISBLANK('原始输入与口径'!J37),"",'原始输入与口径'!J37)</x:f>
        <x:v>60</x:v>
      </x:c>
      <x:c r="AV35" s="18" t="str">
        <x:f>IF(ISBLANK('原始输入与口径'!BB37),"",'原始输入与口径'!BB37)</x:f>
        <x:v>OK</x:v>
      </x:c>
    </x:row>
    <x:row r="36" ht="21" customHeight="1">
      <x:c r="A36" s="17" t="n">
        <x:f>45658.302083333336</x:f>
        <x:v>45658.302083333336</x:v>
      </x:c>
      <x:c r="B36" s="23" t="n">
        <x:f>IF(ISNUMBER('原始输入与口径'!H38),'原始输入与口径'!H38,"缺失")</x:f>
        <x:v>62.42</x:v>
      </x:c>
      <x:c r="C36" s="23" t="str">
        <x:f>IF(ISNUMBER('原始输入与口径'!R38),'原始输入与口径'!R38,"缺失")</x:f>
        <x:v>缺失</x:v>
      </x:c>
      <x:c r="D36" s="23" t="n">
        <x:f>IF(ISNUMBER('原始输入与口径'!W38),'原始输入与口径'!W38,"缺失")</x:f>
        <x:v>13.831647936310086</x:v>
      </x:c>
      <x:c r="E36" s="23" t="n">
        <x:f>IF(ISNUMBER('原始输入与口径'!AB38),'原始输入与口径'!AB38,"缺失")</x:f>
        <x:v>14.710198829939085</x:v>
      </x:c>
      <x:c r="F36" s="23" t="n">
        <x:f>IF(ISNUMBER('原始输入与口径'!AG38),'原始输入与口径'!AG38,"缺失")</x:f>
        <x:v>152.91610542610724</x:v>
      </x:c>
      <x:c r="G36" s="23" t="n">
        <x:f>IF(ISNUMBER('原始输入与口径'!AJ38),'原始输入与口径'!AJ38,"缺失")</x:f>
        <x:v>0</x:v>
      </x:c>
      <x:c r="H36" s="23" t="str">
        <x:f>"未模拟"</x:f>
        <x:v>未模拟</x:v>
      </x:c>
      <x:c r="I36" s="24" t="n">
        <x:f>'原始输入与口径'!BD38</x:f>
        <x:v>10</x:v>
      </x:c>
      <x:c r="J36" s="24" t="n">
        <x:f>'原始输入与口径'!BE38</x:f>
        <x:v>10</x:v>
      </x:c>
      <x:c r="K36" s="24" t="n">
        <x:f>'原始输入与口径'!BF38</x:f>
        <x:v>0</x:v>
      </x:c>
      <x:c r="L36" s="24" t="n">
        <x:f>'原始输入与口径'!BG38</x:f>
        <x:v>0</x:v>
      </x:c>
      <x:c r="M36" s="24" t="n">
        <x:f>'原始输入与口径'!BH38</x:f>
        <x:v>0</x:v>
      </x:c>
      <x:c r="N36" s="24" t="n">
        <x:f>'原始输入与口径'!BI38</x:f>
        <x:v>0</x:v>
      </x:c>
      <x:c r="O36" s="24" t="n">
        <x:f>M36*AE36*AC36</x:f>
        <x:v>0</x:v>
      </x:c>
      <x:c r="P36" s="24" t="n">
        <x:f>N36*AF36*AC36</x:f>
        <x:v>0</x:v>
      </x:c>
      <x:c r="Q36" s="25" t="n">
        <x:f>IF(K36=0,0,IF(ISNUMBER(B36),K36*AC36*B36,NA()))</x:f>
        <x:v>0</x:v>
      </x:c>
      <x:c r="R36" s="25" t="n">
        <x:f>IF(L36=0,0,IF(ISNUMBER(C36),L36*AC36*C36*AD36,NA()))</x:f>
        <x:v>0</x:v>
      </x:c>
      <x:c r="S36" s="25" t="n">
        <x:f>IF(M36=0,0,IF(ISNUMBER(D36),M36*AC36*D36*AD36,NA()))</x:f>
        <x:v>0</x:v>
      </x:c>
      <x:c r="T36" s="25" t="n">
        <x:f>IF(N36=0,0,IF(ISNUMBER(E36),N36*AC36*E36*AD36,NA()))</x:f>
        <x:v>0</x:v>
      </x:c>
      <x:c r="U36" s="25" t="n">
        <x:f>IF(O36=0,0,IF(ISNUMBER(F36),O36*F36,NA()))</x:f>
        <x:v>0</x:v>
      </x:c>
      <x:c r="V36" s="25" t="n">
        <x:f>IF(P36=0,0,IF(ISNUMBER(G36),-P36*G36,NA()))</x:f>
        <x:v>0</x:v>
      </x:c>
      <x:c r="W36" s="25" t="n">
        <x:f>SUM(Q36:V36)</x:f>
        <x:v>0</x:v>
      </x:c>
      <x:c r="X36" s="18" t="n">
        <x:f>'原始输入与口径'!BR38</x:f>
        <x:v>0</x:v>
      </x:c>
      <x:c r="Y36" s="18" t="n">
        <x:f>W36-X36</x:f>
        <x:v>0</x:v>
      </x:c>
      <x:c r="Z36" s="18" t="str">
        <x:f>"1月1日执行｜初始化零订单"</x:f>
        <x:v>1月1日执行｜初始化零订单</x:v>
      </x:c>
      <x:c r="AA36" s="19" t="n">
        <x:f>IF('原始输入与口径'!AW38,1,0)</x:f>
        <x:v>1</x:v>
      </x:c>
      <x:c r="AB36" s="19" t="n">
        <x:f>IF('原始输入与口径'!AY38,1,0)</x:f>
        <x:v>0</x:v>
      </x:c>
      <x:c r="AC36" s="18" t="n">
        <x:f>'原始输入与口径'!E38</x:f>
        <x:v>0.25</x:v>
      </x:c>
      <x:c r="AD36" s="20" t="n">
        <x:f>'原始输入与口径'!$F$5</x:f>
        <x:v>1</x:v>
      </x:c>
      <x:c r="AE36" s="20" t="n">
        <x:f>IF(AA36=0,0,AI36/(AG36*AC36))</x:f>
        <x:v>0.40184</x:v>
      </x:c>
      <x:c r="AF36" s="20" t="n">
        <x:f>IF(AA36=0,0,AJ36/(AH36*AC36))</x:f>
        <x:v>0</x:v>
      </x:c>
      <x:c r="AG36" s="18" t="n">
        <x:f>IF(ISNUMBER('原始输入与口径'!T38),'原始输入与口径'!T38,"缺失")</x:f>
        <x:v>200</x:v>
      </x:c>
      <x:c r="AH36" s="18" t="n">
        <x:f>IF(ISNUMBER('原始输入与口径'!Y38),'原始输入与口径'!Y38,"缺失")</x:f>
        <x:v>200</x:v>
      </x:c>
      <x:c r="AI36" s="18" t="n">
        <x:f>IF(ISNUMBER('原始输入与口径'!AI38),'原始输入与口径'!AI38,"缺失")</x:f>
        <x:v>20.092</x:v>
      </x:c>
      <x:c r="AJ36" s="18" t="n">
        <x:f>IF(ISNUMBER('原始输入与口径'!AL38),'原始输入与口径'!AL38,"缺失")</x:f>
        <x:v>0</x:v>
      </x:c>
      <x:c r="AK36" s="18" t="str">
        <x:f>IF(ISNUMBER('原始输入与口径'!O38),'原始输入与口径'!O38,"缺失")</x:f>
        <x:v>缺失</x:v>
      </x:c>
      <x:c r="AL36" s="18" t="n">
        <x:f>SUMIFS('相位SOC复算'!$N$7:$N$443,'相位SOC复算'!$S$7:$S$443,30)</x:f>
        <x:v>0</x:v>
      </x:c>
      <x:c r="AM36" s="18" t="n">
        <x:f>SUMIFS('相位SOC复算'!$Q$7:$Q$443,'相位SOC复算'!$S$7:$S$443,30)</x:f>
        <x:v>0</x:v>
      </x:c>
      <x:c r="AN36" s="18" t="n">
        <x:f>SUMIFS('相位SOC复算'!$R$7:$R$443,'相位SOC复算'!$S$7:$S$443,30)</x:f>
        <x:v>0</x:v>
      </x:c>
      <x:c r="AO36" s="18" t="n">
        <x:f>'相位SOC复算'!J80</x:f>
        <x:v>10</x:v>
      </x:c>
      <x:c r="AP36" s="18" t="n">
        <x:f>AO36-J36</x:f>
        <x:v>0</x:v>
      </x:c>
      <x:c r="AQ36" s="18" t="n">
        <x:f>IF(ISBLANK('原始输入与口径'!M38),"",'原始输入与口径'!M38)</x:f>
        <x:v>4.9741</x:v>
      </x:c>
      <x:c r="AR36" s="21" t="n">
        <x:f>IF(ISBLANK('原始输入与口径'!L38),"",'原始输入与口径'!L38)</x:f>
        <x:v>45657</x:v>
      </x:c>
      <x:c r="AS36" s="17" t="n">
        <x:f>IF(ISBLANK('原始输入与口径'!A38),"",'原始输入与口径'!A38)</x:f>
        <x:v>45658.21875</x:v>
      </x:c>
      <x:c r="AT36" s="18" t="str">
        <x:f>IF(ISBLANK('原始输入与口径'!I38),"",'原始输入与口径'!I38)</x:f>
        <x:v>2025-01-01_7</x:v>
      </x:c>
      <x:c r="AU36" s="19" t="n">
        <x:f>IF(ISBLANK('原始输入与口径'!J38),"",'原始输入与口径'!J38)</x:f>
        <x:v>60</x:v>
      </x:c>
      <x:c r="AV36" s="18" t="str">
        <x:f>IF(ISBLANK('原始输入与口径'!BB38),"",'原始输入与口径'!BB38)</x:f>
        <x:v>OK</x:v>
      </x:c>
    </x:row>
    <x:row r="37" ht="21" customHeight="1">
      <x:c r="A37" s="17" t="n">
        <x:f>45658.3125</x:f>
        <x:v>45658.3125</x:v>
      </x:c>
      <x:c r="B37" s="23" t="n">
        <x:f>IF(ISNUMBER('原始输入与口径'!H39),'原始输入与口径'!H39,"缺失")</x:f>
        <x:v>62.42</x:v>
      </x:c>
      <x:c r="C37" s="23" t="str">
        <x:f>IF(ISNUMBER('原始输入与口径'!R39),'原始输入与口径'!R39,"缺失")</x:f>
        <x:v>缺失</x:v>
      </x:c>
      <x:c r="D37" s="23" t="n">
        <x:f>IF(ISNUMBER('原始输入与口径'!W39),'原始输入与口径'!W39,"缺失")</x:f>
        <x:v>13.831647936310086</x:v>
      </x:c>
      <x:c r="E37" s="23" t="n">
        <x:f>IF(ISNUMBER('原始输入与口径'!AB39),'原始输入与口径'!AB39,"缺失")</x:f>
        <x:v>14.710198829939085</x:v>
      </x:c>
      <x:c r="F37" s="23" t="n">
        <x:f>IF(ISNUMBER('原始输入与口径'!AG39),'原始输入与口径'!AG39,"缺失")</x:f>
        <x:v>151.75046742124204</x:v>
      </x:c>
      <x:c r="G37" s="23" t="n">
        <x:f>IF(ISNUMBER('原始输入与口径'!AJ39),'原始输入与口径'!AJ39,"缺失")</x:f>
        <x:v>0</x:v>
      </x:c>
      <x:c r="H37" s="23" t="str">
        <x:f>"未模拟"</x:f>
        <x:v>未模拟</x:v>
      </x:c>
      <x:c r="I37" s="24" t="n">
        <x:f>'原始输入与口径'!BD39</x:f>
        <x:v>10</x:v>
      </x:c>
      <x:c r="J37" s="24" t="n">
        <x:f>'原始输入与口径'!BE39</x:f>
        <x:v>10</x:v>
      </x:c>
      <x:c r="K37" s="24" t="n">
        <x:f>'原始输入与口径'!BF39</x:f>
        <x:v>0</x:v>
      </x:c>
      <x:c r="L37" s="24" t="n">
        <x:f>'原始输入与口径'!BG39</x:f>
        <x:v>0</x:v>
      </x:c>
      <x:c r="M37" s="24" t="n">
        <x:f>'原始输入与口径'!BH39</x:f>
        <x:v>0</x:v>
      </x:c>
      <x:c r="N37" s="24" t="n">
        <x:f>'原始输入与口径'!BI39</x:f>
        <x:v>0</x:v>
      </x:c>
      <x:c r="O37" s="24" t="n">
        <x:f>M37*AE37*AC37</x:f>
        <x:v>0</x:v>
      </x:c>
      <x:c r="P37" s="24" t="n">
        <x:f>N37*AF37*AC37</x:f>
        <x:v>0</x:v>
      </x:c>
      <x:c r="Q37" s="25" t="n">
        <x:f>IF(K37=0,0,IF(ISNUMBER(B37),K37*AC37*B37,NA()))</x:f>
        <x:v>0</x:v>
      </x:c>
      <x:c r="R37" s="25" t="n">
        <x:f>IF(L37=0,0,IF(ISNUMBER(C37),L37*AC37*C37*AD37,NA()))</x:f>
        <x:v>0</x:v>
      </x:c>
      <x:c r="S37" s="25" t="n">
        <x:f>IF(M37=0,0,IF(ISNUMBER(D37),M37*AC37*D37*AD37,NA()))</x:f>
        <x:v>0</x:v>
      </x:c>
      <x:c r="T37" s="25" t="n">
        <x:f>IF(N37=0,0,IF(ISNUMBER(E37),N37*AC37*E37*AD37,NA()))</x:f>
        <x:v>0</x:v>
      </x:c>
      <x:c r="U37" s="25" t="n">
        <x:f>IF(O37=0,0,IF(ISNUMBER(F37),O37*F37,NA()))</x:f>
        <x:v>0</x:v>
      </x:c>
      <x:c r="V37" s="25" t="n">
        <x:f>IF(P37=0,0,IF(ISNUMBER(G37),-P37*G37,NA()))</x:f>
        <x:v>0</x:v>
      </x:c>
      <x:c r="W37" s="25" t="n">
        <x:f>SUM(Q37:V37)</x:f>
        <x:v>0</x:v>
      </x:c>
      <x:c r="X37" s="18" t="n">
        <x:f>'原始输入与口径'!BR39</x:f>
        <x:v>0</x:v>
      </x:c>
      <x:c r="Y37" s="18" t="n">
        <x:f>W37-X37</x:f>
        <x:v>0</x:v>
      </x:c>
      <x:c r="Z37" s="18" t="str">
        <x:f>"1月1日执行｜初始化零订单"</x:f>
        <x:v>1月1日执行｜初始化零订单</x:v>
      </x:c>
      <x:c r="AA37" s="19" t="n">
        <x:f>IF('原始输入与口径'!AW39,1,0)</x:f>
        <x:v>1</x:v>
      </x:c>
      <x:c r="AB37" s="19" t="n">
        <x:f>IF('原始输入与口径'!AY39,1,0)</x:f>
        <x:v>0</x:v>
      </x:c>
      <x:c r="AC37" s="18" t="n">
        <x:f>'原始输入与口径'!E39</x:f>
        <x:v>0.25</x:v>
      </x:c>
      <x:c r="AD37" s="20" t="n">
        <x:f>'原始输入与口径'!$F$5</x:f>
        <x:v>1</x:v>
      </x:c>
      <x:c r="AE37" s="20" t="n">
        <x:f>IF(AA37=0,0,AI37/(AG37*AC37))</x:f>
        <x:v>0.23056000000000001</x:v>
      </x:c>
      <x:c r="AF37" s="20" t="n">
        <x:f>IF(AA37=0,0,AJ37/(AH37*AC37))</x:f>
        <x:v>0</x:v>
      </x:c>
      <x:c r="AG37" s="18" t="n">
        <x:f>IF(ISNUMBER('原始输入与口径'!T39),'原始输入与口径'!T39,"缺失")</x:f>
        <x:v>200</x:v>
      </x:c>
      <x:c r="AH37" s="18" t="n">
        <x:f>IF(ISNUMBER('原始输入与口径'!Y39),'原始输入与口径'!Y39,"缺失")</x:f>
        <x:v>200</x:v>
      </x:c>
      <x:c r="AI37" s="18" t="n">
        <x:f>IF(ISNUMBER('原始输入与口径'!AI39),'原始输入与口径'!AI39,"缺失")</x:f>
        <x:v>11.528</x:v>
      </x:c>
      <x:c r="AJ37" s="18" t="n">
        <x:f>IF(ISNUMBER('原始输入与口径'!AL39),'原始输入与口径'!AL39,"缺失")</x:f>
        <x:v>0</x:v>
      </x:c>
      <x:c r="AK37" s="18" t="str">
        <x:f>IF(ISNUMBER('原始输入与口径'!O39),'原始输入与口径'!O39,"缺失")</x:f>
        <x:v>缺失</x:v>
      </x:c>
      <x:c r="AL37" s="18" t="n">
        <x:f>SUMIFS('相位SOC复算'!$N$7:$N$443,'相位SOC复算'!$S$7:$S$443,31)</x:f>
        <x:v>0</x:v>
      </x:c>
      <x:c r="AM37" s="18" t="n">
        <x:f>SUMIFS('相位SOC复算'!$Q$7:$Q$443,'相位SOC复算'!$S$7:$S$443,31)</x:f>
        <x:v>0</x:v>
      </x:c>
      <x:c r="AN37" s="18" t="n">
        <x:f>SUMIFS('相位SOC复算'!$R$7:$R$443,'相位SOC复算'!$S$7:$S$443,31)</x:f>
        <x:v>0</x:v>
      </x:c>
      <x:c r="AO37" s="18" t="n">
        <x:f>'相位SOC复算'!J82</x:f>
        <x:v>10</x:v>
      </x:c>
      <x:c r="AP37" s="18" t="n">
        <x:f>AO37-J37</x:f>
        <x:v>0</x:v>
      </x:c>
      <x:c r="AQ37" s="18" t="n">
        <x:f>IF(ISBLANK('原始输入与口径'!M39),"",'原始输入与口径'!M39)</x:f>
        <x:v>4.9741</x:v>
      </x:c>
      <x:c r="AR37" s="21" t="n">
        <x:f>IF(ISBLANK('原始输入与口径'!L39),"",'原始输入与口径'!L39)</x:f>
        <x:v>45657</x:v>
      </x:c>
      <x:c r="AS37" s="17" t="n">
        <x:f>IF(ISBLANK('原始输入与口径'!A39),"",'原始输入与口径'!A39)</x:f>
        <x:v>45658.229166666664</x:v>
      </x:c>
      <x:c r="AT37" s="18" t="str">
        <x:f>IF(ISBLANK('原始输入与口径'!I39),"",'原始输入与口径'!I39)</x:f>
        <x:v>2025-01-01_7</x:v>
      </x:c>
      <x:c r="AU37" s="19" t="n">
        <x:f>IF(ISBLANK('原始输入与口径'!J39),"",'原始输入与口径'!J39)</x:f>
        <x:v>60</x:v>
      </x:c>
      <x:c r="AV37" s="18" t="str">
        <x:f>IF(ISBLANK('原始输入与口径'!BB39),"",'原始输入与口径'!BB39)</x:f>
        <x:v>OK</x:v>
      </x:c>
    </x:row>
    <x:row r="38" ht="21" customHeight="1">
      <x:c r="A38" s="17" t="n">
        <x:f>45658.322916666664</x:f>
        <x:v>45658.322916666664</x:v>
      </x:c>
      <x:c r="B38" s="23" t="n">
        <x:f>IF(ISNUMBER('原始输入与口径'!H40),'原始输入与口径'!H40,"缺失")</x:f>
        <x:v>62.42</x:v>
      </x:c>
      <x:c r="C38" s="23" t="str">
        <x:f>IF(ISNUMBER('原始输入与口径'!R40),'原始输入与口径'!R40,"缺失")</x:f>
        <x:v>缺失</x:v>
      </x:c>
      <x:c r="D38" s="23" t="n">
        <x:f>IF(ISNUMBER('原始输入与口径'!W40),'原始输入与口径'!W40,"缺失")</x:f>
        <x:v>13.831647936310086</x:v>
      </x:c>
      <x:c r="E38" s="23" t="n">
        <x:f>IF(ISNUMBER('原始输入与口径'!AB40),'原始输入与口径'!AB40,"缺失")</x:f>
        <x:v>14.710198829939085</x:v>
      </x:c>
      <x:c r="F38" s="23" t="n">
        <x:f>IF(ISNUMBER('原始输入与口径'!AG40),'原始输入与口径'!AG40,"缺失")</x:f>
        <x:v>136.70814820771596</x:v>
      </x:c>
      <x:c r="G38" s="23" t="n">
        <x:f>IF(ISNUMBER('原始输入与口径'!AJ40),'原始输入与口径'!AJ40,"缺失")</x:f>
        <x:v>0</x:v>
      </x:c>
      <x:c r="H38" s="23" t="str">
        <x:f>"未模拟"</x:f>
        <x:v>未模拟</x:v>
      </x:c>
      <x:c r="I38" s="24" t="n">
        <x:f>'原始输入与口径'!BD40</x:f>
        <x:v>10</x:v>
      </x:c>
      <x:c r="J38" s="24" t="n">
        <x:f>'原始输入与口径'!BE40</x:f>
        <x:v>10</x:v>
      </x:c>
      <x:c r="K38" s="24" t="n">
        <x:f>'原始输入与口径'!BF40</x:f>
        <x:v>0</x:v>
      </x:c>
      <x:c r="L38" s="24" t="n">
        <x:f>'原始输入与口径'!BG40</x:f>
        <x:v>0</x:v>
      </x:c>
      <x:c r="M38" s="24" t="n">
        <x:f>'原始输入与口径'!BH40</x:f>
        <x:v>0</x:v>
      </x:c>
      <x:c r="N38" s="24" t="n">
        <x:f>'原始输入与口径'!BI40</x:f>
        <x:v>0</x:v>
      </x:c>
      <x:c r="O38" s="24" t="n">
        <x:f>M38*AE38*AC38</x:f>
        <x:v>0</x:v>
      </x:c>
      <x:c r="P38" s="24" t="n">
        <x:f>N38*AF38*AC38</x:f>
        <x:v>0</x:v>
      </x:c>
      <x:c r="Q38" s="25" t="n">
        <x:f>IF(K38=0,0,IF(ISNUMBER(B38),K38*AC38*B38,NA()))</x:f>
        <x:v>0</x:v>
      </x:c>
      <x:c r="R38" s="25" t="n">
        <x:f>IF(L38=0,0,IF(ISNUMBER(C38),L38*AC38*C38*AD38,NA()))</x:f>
        <x:v>0</x:v>
      </x:c>
      <x:c r="S38" s="25" t="n">
        <x:f>IF(M38=0,0,IF(ISNUMBER(D38),M38*AC38*D38*AD38,NA()))</x:f>
        <x:v>0</x:v>
      </x:c>
      <x:c r="T38" s="25" t="n">
        <x:f>IF(N38=0,0,IF(ISNUMBER(E38),N38*AC38*E38*AD38,NA()))</x:f>
        <x:v>0</x:v>
      </x:c>
      <x:c r="U38" s="25" t="n">
        <x:f>IF(O38=0,0,IF(ISNUMBER(F38),O38*F38,NA()))</x:f>
        <x:v>0</x:v>
      </x:c>
      <x:c r="V38" s="25" t="n">
        <x:f>IF(P38=0,0,IF(ISNUMBER(G38),-P38*G38,NA()))</x:f>
        <x:v>0</x:v>
      </x:c>
      <x:c r="W38" s="25" t="n">
        <x:f>SUM(Q38:V38)</x:f>
        <x:v>0</x:v>
      </x:c>
      <x:c r="X38" s="18" t="n">
        <x:f>'原始输入与口径'!BR40</x:f>
        <x:v>0</x:v>
      </x:c>
      <x:c r="Y38" s="18" t="n">
        <x:f>W38-X38</x:f>
        <x:v>0</x:v>
      </x:c>
      <x:c r="Z38" s="18" t="str">
        <x:f>"1月1日执行｜初始化零订单"</x:f>
        <x:v>1月1日执行｜初始化零订单</x:v>
      </x:c>
      <x:c r="AA38" s="19" t="n">
        <x:f>IF('原始输入与口径'!AW40,1,0)</x:f>
        <x:v>1</x:v>
      </x:c>
      <x:c r="AB38" s="19" t="n">
        <x:f>IF('原始输入与口径'!AY40,1,0)</x:f>
        <x:v>0</x:v>
      </x:c>
      <x:c r="AC38" s="18" t="n">
        <x:f>'原始输入与口径'!E40</x:f>
        <x:v>0.25</x:v>
      </x:c>
      <x:c r="AD38" s="20" t="n">
        <x:f>'原始输入与口径'!$F$5</x:f>
        <x:v>1</x:v>
      </x:c>
      <x:c r="AE38" s="20" t="n">
        <x:f>IF(AA38=0,0,AI38/(AG38*AC38))</x:f>
        <x:v>0.0401</x:v>
      </x:c>
      <x:c r="AF38" s="20" t="n">
        <x:f>IF(AA38=0,0,AJ38/(AH38*AC38))</x:f>
        <x:v>0</x:v>
      </x:c>
      <x:c r="AG38" s="18" t="n">
        <x:f>IF(ISNUMBER('原始输入与口径'!T40),'原始输入与口径'!T40,"缺失")</x:f>
        <x:v>200</x:v>
      </x:c>
      <x:c r="AH38" s="18" t="n">
        <x:f>IF(ISNUMBER('原始输入与口径'!Y40),'原始输入与口径'!Y40,"缺失")</x:f>
        <x:v>200</x:v>
      </x:c>
      <x:c r="AI38" s="18" t="n">
        <x:f>IF(ISNUMBER('原始输入与口径'!AI40),'原始输入与口径'!AI40,"缺失")</x:f>
        <x:v>2.005</x:v>
      </x:c>
      <x:c r="AJ38" s="18" t="n">
        <x:f>IF(ISNUMBER('原始输入与口径'!AL40),'原始输入与口径'!AL40,"缺失")</x:f>
        <x:v>0</x:v>
      </x:c>
      <x:c r="AK38" s="18" t="str">
        <x:f>IF(ISNUMBER('原始输入与口径'!O40),'原始输入与口径'!O40,"缺失")</x:f>
        <x:v>缺失</x:v>
      </x:c>
      <x:c r="AL38" s="18" t="n">
        <x:f>SUMIFS('相位SOC复算'!$N$7:$N$443,'相位SOC复算'!$S$7:$S$443,32)</x:f>
        <x:v>0</x:v>
      </x:c>
      <x:c r="AM38" s="18" t="n">
        <x:f>SUMIFS('相位SOC复算'!$Q$7:$Q$443,'相位SOC复算'!$S$7:$S$443,32)</x:f>
        <x:v>0</x:v>
      </x:c>
      <x:c r="AN38" s="18" t="n">
        <x:f>SUMIFS('相位SOC复算'!$R$7:$R$443,'相位SOC复算'!$S$7:$S$443,32)</x:f>
        <x:v>0</x:v>
      </x:c>
      <x:c r="AO38" s="18" t="n">
        <x:f>'相位SOC复算'!J84</x:f>
        <x:v>10</x:v>
      </x:c>
      <x:c r="AP38" s="18" t="n">
        <x:f>AO38-J38</x:f>
        <x:v>0</x:v>
      </x:c>
      <x:c r="AQ38" s="18" t="n">
        <x:f>IF(ISBLANK('原始输入与口径'!M40),"",'原始输入与口径'!M40)</x:f>
        <x:v>4.9741</x:v>
      </x:c>
      <x:c r="AR38" s="21" t="n">
        <x:f>IF(ISBLANK('原始输入与口径'!L40),"",'原始输入与口径'!L40)</x:f>
        <x:v>45657</x:v>
      </x:c>
      <x:c r="AS38" s="17" t="n">
        <x:f>IF(ISBLANK('原始输入与口径'!A40),"",'原始输入与口径'!A40)</x:f>
        <x:v>45658.239583333336</x:v>
      </x:c>
      <x:c r="AT38" s="18" t="str">
        <x:f>IF(ISBLANK('原始输入与口径'!I40),"",'原始输入与口径'!I40)</x:f>
        <x:v>2025-01-01_7</x:v>
      </x:c>
      <x:c r="AU38" s="19" t="n">
        <x:f>IF(ISBLANK('原始输入与口径'!J40),"",'原始输入与口径'!J40)</x:f>
        <x:v>60</x:v>
      </x:c>
      <x:c r="AV38" s="18" t="str">
        <x:f>IF(ISBLANK('原始输入与口径'!BB40),"",'原始输入与口径'!BB40)</x:f>
        <x:v>OK</x:v>
      </x:c>
    </x:row>
    <x:row r="39" ht="21" customHeight="1">
      <x:c r="A39" s="17" t="n">
        <x:f>45658.333333333336</x:f>
        <x:v>45658.333333333336</x:v>
      </x:c>
      <x:c r="B39" s="23" t="n">
        <x:f>IF(ISNUMBER('原始输入与口径'!H41),'原始输入与口径'!H41,"缺失")</x:f>
        <x:v>56.78</x:v>
      </x:c>
      <x:c r="C39" s="23" t="str">
        <x:f>IF(ISNUMBER('原始输入与口径'!R41),'原始输入与口径'!R41,"缺失")</x:f>
        <x:v>缺失</x:v>
      </x:c>
      <x:c r="D39" s="23" t="n">
        <x:f>IF(ISNUMBER('原始输入与口径'!W41),'原始输入与口径'!W41,"缺失")</x:f>
        <x:v>13.831647936310086</x:v>
      </x:c>
      <x:c r="E39" s="23" t="n">
        <x:f>IF(ISNUMBER('原始输入与口径'!AB41),'原始输入与口径'!AB41,"缺失")</x:f>
        <x:v>14.676021792887155</x:v>
      </x:c>
      <x:c r="F39" s="23" t="n">
        <x:f>IF(ISNUMBER('原始输入与口径'!AG41),'原始输入与口径'!AG41,"缺失")</x:f>
        <x:v>144.71763736153275</x:v>
      </x:c>
      <x:c r="G39" s="23" t="n">
        <x:f>IF(ISNUMBER('原始输入与口径'!AJ41),'原始输入与口径'!AJ41,"缺失")</x:f>
        <x:v>0</x:v>
      </x:c>
      <x:c r="H39" s="23" t="str">
        <x:f>"未模拟"</x:f>
        <x:v>未模拟</x:v>
      </x:c>
      <x:c r="I39" s="24" t="n">
        <x:f>'原始输入与口径'!BD41</x:f>
        <x:v>10</x:v>
      </x:c>
      <x:c r="J39" s="24" t="n">
        <x:f>'原始输入与口径'!BE41</x:f>
        <x:v>10</x:v>
      </x:c>
      <x:c r="K39" s="24" t="n">
        <x:f>'原始输入与口径'!BF41</x:f>
        <x:v>0</x:v>
      </x:c>
      <x:c r="L39" s="24" t="n">
        <x:f>'原始输入与口径'!BG41</x:f>
        <x:v>0</x:v>
      </x:c>
      <x:c r="M39" s="24" t="n">
        <x:f>'原始输入与口径'!BH41</x:f>
        <x:v>0</x:v>
      </x:c>
      <x:c r="N39" s="24" t="n">
        <x:f>'原始输入与口径'!BI41</x:f>
        <x:v>0</x:v>
      </x:c>
      <x:c r="O39" s="24" t="n">
        <x:f>M39*AE39*AC39</x:f>
        <x:v>0</x:v>
      </x:c>
      <x:c r="P39" s="24" t="n">
        <x:f>N39*AF39*AC39</x:f>
        <x:v>0</x:v>
      </x:c>
      <x:c r="Q39" s="25" t="n">
        <x:f>IF(K39=0,0,IF(ISNUMBER(B39),K39*AC39*B39,NA()))</x:f>
        <x:v>0</x:v>
      </x:c>
      <x:c r="R39" s="25" t="n">
        <x:f>IF(L39=0,0,IF(ISNUMBER(C39),L39*AC39*C39*AD39,NA()))</x:f>
        <x:v>0</x:v>
      </x:c>
      <x:c r="S39" s="25" t="n">
        <x:f>IF(M39=0,0,IF(ISNUMBER(D39),M39*AC39*D39*AD39,NA()))</x:f>
        <x:v>0</x:v>
      </x:c>
      <x:c r="T39" s="25" t="n">
        <x:f>IF(N39=0,0,IF(ISNUMBER(E39),N39*AC39*E39*AD39,NA()))</x:f>
        <x:v>0</x:v>
      </x:c>
      <x:c r="U39" s="25" t="n">
        <x:f>IF(O39=0,0,IF(ISNUMBER(F39),O39*F39,NA()))</x:f>
        <x:v>0</x:v>
      </x:c>
      <x:c r="V39" s="25" t="n">
        <x:f>IF(P39=0,0,IF(ISNUMBER(G39),-P39*G39,NA()))</x:f>
        <x:v>0</x:v>
      </x:c>
      <x:c r="W39" s="25" t="n">
        <x:f>SUM(Q39:V39)</x:f>
        <x:v>0</x:v>
      </x:c>
      <x:c r="X39" s="18" t="n">
        <x:f>'原始输入与口径'!BR41</x:f>
        <x:v>0</x:v>
      </x:c>
      <x:c r="Y39" s="18" t="n">
        <x:f>W39-X39</x:f>
        <x:v>0</x:v>
      </x:c>
      <x:c r="Z39" s="18" t="str">
        <x:f>"1月1日执行｜初始化零订单"</x:f>
        <x:v>1月1日执行｜初始化零订单</x:v>
      </x:c>
      <x:c r="AA39" s="19" t="n">
        <x:f>IF('原始输入与口径'!AW41,1,0)</x:f>
        <x:v>1</x:v>
      </x:c>
      <x:c r="AB39" s="19" t="n">
        <x:f>IF('原始输入与口径'!AY41,1,0)</x:f>
        <x:v>0</x:v>
      </x:c>
      <x:c r="AC39" s="18" t="n">
        <x:f>'原始输入与口径'!E41</x:f>
        <x:v>0.25</x:v>
      </x:c>
      <x:c r="AD39" s="20" t="n">
        <x:f>'原始输入与口径'!$F$5</x:f>
        <x:v>1</x:v>
      </x:c>
      <x:c r="AE39" s="20" t="n">
        <x:f>IF(AA39=0,0,AI39/(AG39*AC39))</x:f>
        <x:v>0.17768</x:v>
      </x:c>
      <x:c r="AF39" s="20" t="n">
        <x:f>IF(AA39=0,0,AJ39/(AH39*AC39))</x:f>
        <x:v>0</x:v>
      </x:c>
      <x:c r="AG39" s="18" t="n">
        <x:f>IF(ISNUMBER('原始输入与口径'!T41),'原始输入与口径'!T41,"缺失")</x:f>
        <x:v>200</x:v>
      </x:c>
      <x:c r="AH39" s="18" t="n">
        <x:f>IF(ISNUMBER('原始输入与口径'!Y41),'原始输入与口径'!Y41,"缺失")</x:f>
        <x:v>200</x:v>
      </x:c>
      <x:c r="AI39" s="18" t="n">
        <x:f>IF(ISNUMBER('原始输入与口径'!AI41),'原始输入与口径'!AI41,"缺失")</x:f>
        <x:v>8.884</x:v>
      </x:c>
      <x:c r="AJ39" s="18" t="n">
        <x:f>IF(ISNUMBER('原始输入与口径'!AL41),'原始输入与口径'!AL41,"缺失")</x:f>
        <x:v>0</x:v>
      </x:c>
      <x:c r="AK39" s="18" t="str">
        <x:f>IF(ISNUMBER('原始输入与口径'!O41),'原始输入与口径'!O41,"缺失")</x:f>
        <x:v>缺失</x:v>
      </x:c>
      <x:c r="AL39" s="18" t="n">
        <x:f>SUMIFS('相位SOC复算'!$N$7:$N$443,'相位SOC复算'!$S$7:$S$443,33)</x:f>
        <x:v>0</x:v>
      </x:c>
      <x:c r="AM39" s="18" t="n">
        <x:f>SUMIFS('相位SOC复算'!$Q$7:$Q$443,'相位SOC复算'!$S$7:$S$443,33)</x:f>
        <x:v>0</x:v>
      </x:c>
      <x:c r="AN39" s="18" t="n">
        <x:f>SUMIFS('相位SOC复算'!$R$7:$R$443,'相位SOC复算'!$S$7:$S$443,33)</x:f>
        <x:v>0</x:v>
      </x:c>
      <x:c r="AO39" s="18" t="n">
        <x:f>'相位SOC复算'!J86</x:f>
        <x:v>10</x:v>
      </x:c>
      <x:c r="AP39" s="18" t="n">
        <x:f>AO39-J39</x:f>
        <x:v>0</x:v>
      </x:c>
      <x:c r="AQ39" s="18" t="n">
        <x:f>IF(ISBLANK('原始输入与口径'!M41),"",'原始输入与口径'!M41)</x:f>
        <x:v>4.9741</x:v>
      </x:c>
      <x:c r="AR39" s="21" t="n">
        <x:f>IF(ISBLANK('原始输入与口径'!L41),"",'原始输入与口径'!L41)</x:f>
        <x:v>45657</x:v>
      </x:c>
      <x:c r="AS39" s="17" t="n">
        <x:f>IF(ISBLANK('原始输入与口径'!A41),"",'原始输入与口径'!A41)</x:f>
        <x:v>45658.25</x:v>
      </x:c>
      <x:c r="AT39" s="18" t="str">
        <x:f>IF(ISBLANK('原始输入与口径'!I41),"",'原始输入与口径'!I41)</x:f>
        <x:v>2025-01-01_8</x:v>
      </x:c>
      <x:c r="AU39" s="19" t="n">
        <x:f>IF(ISBLANK('原始输入与口径'!J41),"",'原始输入与口径'!J41)</x:f>
        <x:v>60</x:v>
      </x:c>
      <x:c r="AV39" s="18" t="str">
        <x:f>IF(ISBLANK('原始输入与口径'!BB41),"",'原始输入与口径'!BB41)</x:f>
        <x:v>OK</x:v>
      </x:c>
    </x:row>
    <x:row r="40" ht="21" customHeight="1">
      <x:c r="A40" s="17" t="n">
        <x:f>45658.34375</x:f>
        <x:v>45658.34375</x:v>
      </x:c>
      <x:c r="B40" s="23" t="n">
        <x:f>IF(ISNUMBER('原始输入与口径'!H42),'原始输入与口径'!H42,"缺失")</x:f>
        <x:v>56.78</x:v>
      </x:c>
      <x:c r="C40" s="23" t="str">
        <x:f>IF(ISNUMBER('原始输入与口径'!R42),'原始输入与口径'!R42,"缺失")</x:f>
        <x:v>缺失</x:v>
      </x:c>
      <x:c r="D40" s="23" t="n">
        <x:f>IF(ISNUMBER('原始输入与口径'!W42),'原始输入与口径'!W42,"缺失")</x:f>
        <x:v>13.831647936310086</x:v>
      </x:c>
      <x:c r="E40" s="23" t="n">
        <x:f>IF(ISNUMBER('原始输入与口径'!AB42),'原始输入与口径'!AB42,"缺失")</x:f>
        <x:v>14.676021792887155</x:v>
      </x:c>
      <x:c r="F40" s="23" t="n">
        <x:f>IF(ISNUMBER('原始输入与口径'!AG42),'原始输入与口径'!AG42,"缺失")</x:f>
        <x:v>136.70814820771596</x:v>
      </x:c>
      <x:c r="G40" s="23" t="n">
        <x:f>IF(ISNUMBER('原始输入与口径'!AJ42),'原始输入与口径'!AJ42,"缺失")</x:f>
        <x:v>0</x:v>
      </x:c>
      <x:c r="H40" s="23" t="str">
        <x:f>"未模拟"</x:f>
        <x:v>未模拟</x:v>
      </x:c>
      <x:c r="I40" s="24" t="n">
        <x:f>'原始输入与口径'!BD42</x:f>
        <x:v>10</x:v>
      </x:c>
      <x:c r="J40" s="24" t="n">
        <x:f>'原始输入与口径'!BE42</x:f>
        <x:v>10</x:v>
      </x:c>
      <x:c r="K40" s="24" t="n">
        <x:f>'原始输入与口径'!BF42</x:f>
        <x:v>0</x:v>
      </x:c>
      <x:c r="L40" s="24" t="n">
        <x:f>'原始输入与口径'!BG42</x:f>
        <x:v>0</x:v>
      </x:c>
      <x:c r="M40" s="24" t="n">
        <x:f>'原始输入与口径'!BH42</x:f>
        <x:v>0</x:v>
      </x:c>
      <x:c r="N40" s="24" t="n">
        <x:f>'原始输入与口径'!BI42</x:f>
        <x:v>0</x:v>
      </x:c>
      <x:c r="O40" s="24" t="n">
        <x:f>M40*AE40*AC40</x:f>
        <x:v>0</x:v>
      </x:c>
      <x:c r="P40" s="24" t="n">
        <x:f>N40*AF40*AC40</x:f>
        <x:v>0</x:v>
      </x:c>
      <x:c r="Q40" s="25" t="n">
        <x:f>IF(K40=0,0,IF(ISNUMBER(B40),K40*AC40*B40,NA()))</x:f>
        <x:v>0</x:v>
      </x:c>
      <x:c r="R40" s="25" t="n">
        <x:f>IF(L40=0,0,IF(ISNUMBER(C40),L40*AC40*C40*AD40,NA()))</x:f>
        <x:v>0</x:v>
      </x:c>
      <x:c r="S40" s="25" t="n">
        <x:f>IF(M40=0,0,IF(ISNUMBER(D40),M40*AC40*D40*AD40,NA()))</x:f>
        <x:v>0</x:v>
      </x:c>
      <x:c r="T40" s="25" t="n">
        <x:f>IF(N40=0,0,IF(ISNUMBER(E40),N40*AC40*E40*AD40,NA()))</x:f>
        <x:v>0</x:v>
      </x:c>
      <x:c r="U40" s="25" t="n">
        <x:f>IF(O40=0,0,IF(ISNUMBER(F40),O40*F40,NA()))</x:f>
        <x:v>0</x:v>
      </x:c>
      <x:c r="V40" s="25" t="n">
        <x:f>IF(P40=0,0,IF(ISNUMBER(G40),-P40*G40,NA()))</x:f>
        <x:v>0</x:v>
      </x:c>
      <x:c r="W40" s="25" t="n">
        <x:f>SUM(Q40:V40)</x:f>
        <x:v>0</x:v>
      </x:c>
      <x:c r="X40" s="18" t="n">
        <x:f>'原始输入与口径'!BR42</x:f>
        <x:v>0</x:v>
      </x:c>
      <x:c r="Y40" s="18" t="n">
        <x:f>W40-X40</x:f>
        <x:v>0</x:v>
      </x:c>
      <x:c r="Z40" s="18" t="str">
        <x:f>"1月1日执行｜初始化零订单"</x:f>
        <x:v>1月1日执行｜初始化零订单</x:v>
      </x:c>
      <x:c r="AA40" s="19" t="n">
        <x:f>IF('原始输入与口径'!AW42,1,0)</x:f>
        <x:v>1</x:v>
      </x:c>
      <x:c r="AB40" s="19" t="n">
        <x:f>IF('原始输入与口径'!AY42,1,0)</x:f>
        <x:v>0</x:v>
      </x:c>
      <x:c r="AC40" s="18" t="n">
        <x:f>'原始输入与口径'!E42</x:f>
        <x:v>0.25</x:v>
      </x:c>
      <x:c r="AD40" s="20" t="n">
        <x:f>'原始输入与口径'!$F$5</x:f>
        <x:v>1</x:v>
      </x:c>
      <x:c r="AE40" s="20" t="n">
        <x:f>IF(AA40=0,0,AI40/(AG40*AC40))</x:f>
        <x:v>0.028679999999999997</x:v>
      </x:c>
      <x:c r="AF40" s="20" t="n">
        <x:f>IF(AA40=0,0,AJ40/(AH40*AC40))</x:f>
        <x:v>0</x:v>
      </x:c>
      <x:c r="AG40" s="18" t="n">
        <x:f>IF(ISNUMBER('原始输入与口径'!T42),'原始输入与口径'!T42,"缺失")</x:f>
        <x:v>200</x:v>
      </x:c>
      <x:c r="AH40" s="18" t="n">
        <x:f>IF(ISNUMBER('原始输入与口径'!Y42),'原始输入与口径'!Y42,"缺失")</x:f>
        <x:v>200</x:v>
      </x:c>
      <x:c r="AI40" s="18" t="n">
        <x:f>IF(ISNUMBER('原始输入与口径'!AI42),'原始输入与口径'!AI42,"缺失")</x:f>
        <x:v>1.434</x:v>
      </x:c>
      <x:c r="AJ40" s="18" t="n">
        <x:f>IF(ISNUMBER('原始输入与口径'!AL42),'原始输入与口径'!AL42,"缺失")</x:f>
        <x:v>0</x:v>
      </x:c>
      <x:c r="AK40" s="18" t="str">
        <x:f>IF(ISNUMBER('原始输入与口径'!O42),'原始输入与口径'!O42,"缺失")</x:f>
        <x:v>缺失</x:v>
      </x:c>
      <x:c r="AL40" s="18" t="n">
        <x:f>SUMIFS('相位SOC复算'!$N$7:$N$443,'相位SOC复算'!$S$7:$S$443,34)</x:f>
        <x:v>0</x:v>
      </x:c>
      <x:c r="AM40" s="18" t="n">
        <x:f>SUMIFS('相位SOC复算'!$Q$7:$Q$443,'相位SOC复算'!$S$7:$S$443,34)</x:f>
        <x:v>0</x:v>
      </x:c>
      <x:c r="AN40" s="18" t="n">
        <x:f>SUMIFS('相位SOC复算'!$R$7:$R$443,'相位SOC复算'!$S$7:$S$443,34)</x:f>
        <x:v>0</x:v>
      </x:c>
      <x:c r="AO40" s="18" t="n">
        <x:f>'相位SOC复算'!J88</x:f>
        <x:v>10</x:v>
      </x:c>
      <x:c r="AP40" s="18" t="n">
        <x:f>AO40-J40</x:f>
        <x:v>0</x:v>
      </x:c>
      <x:c r="AQ40" s="18" t="n">
        <x:f>IF(ISBLANK('原始输入与口径'!M42),"",'原始输入与口径'!M42)</x:f>
        <x:v>4.9741</x:v>
      </x:c>
      <x:c r="AR40" s="21" t="n">
        <x:f>IF(ISBLANK('原始输入与口径'!L42),"",'原始输入与口径'!L42)</x:f>
        <x:v>45657</x:v>
      </x:c>
      <x:c r="AS40" s="17" t="n">
        <x:f>IF(ISBLANK('原始输入与口径'!A42),"",'原始输入与口径'!A42)</x:f>
        <x:v>45658.260416666664</x:v>
      </x:c>
      <x:c r="AT40" s="18" t="str">
        <x:f>IF(ISBLANK('原始输入与口径'!I42),"",'原始输入与口径'!I42)</x:f>
        <x:v>2025-01-01_8</x:v>
      </x:c>
      <x:c r="AU40" s="19" t="n">
        <x:f>IF(ISBLANK('原始输入与口径'!J42),"",'原始输入与口径'!J42)</x:f>
        <x:v>60</x:v>
      </x:c>
      <x:c r="AV40" s="18" t="str">
        <x:f>IF(ISBLANK('原始输入与口径'!BB42),"",'原始输入与口径'!BB42)</x:f>
        <x:v>OK</x:v>
      </x:c>
    </x:row>
    <x:row r="41" ht="21" customHeight="1">
      <x:c r="A41" s="17" t="n">
        <x:f>45658.354166666664</x:f>
        <x:v>45658.354166666664</x:v>
      </x:c>
      <x:c r="B41" s="23" t="n">
        <x:f>IF(ISNUMBER('原始输入与口径'!H43),'原始输入与口径'!H43,"缺失")</x:f>
        <x:v>56.78</x:v>
      </x:c>
      <x:c r="C41" s="23" t="str">
        <x:f>IF(ISNUMBER('原始输入与口径'!R43),'原始输入与口径'!R43,"缺失")</x:f>
        <x:v>缺失</x:v>
      </x:c>
      <x:c r="D41" s="23" t="n">
        <x:f>IF(ISNUMBER('原始输入与口径'!W43),'原始输入与口径'!W43,"缺失")</x:f>
        <x:v>13.831647936310086</x:v>
      </x:c>
      <x:c r="E41" s="23" t="n">
        <x:f>IF(ISNUMBER('原始输入与口径'!AB43),'原始输入与口径'!AB43,"缺失")</x:f>
        <x:v>14.676021792887155</x:v>
      </x:c>
      <x:c r="F41" s="23" t="n">
        <x:f>IF(ISNUMBER('原始输入与口径'!AG43),'原始输入与口径'!AG43,"缺失")</x:f>
        <x:v>136.70814820771596</x:v>
      </x:c>
      <x:c r="G41" s="23" t="n">
        <x:f>IF(ISNUMBER('原始输入与口径'!AJ43),'原始输入与口径'!AJ43,"缺失")</x:f>
        <x:v>41.106732876299226</x:v>
      </x:c>
      <x:c r="H41" s="23" t="str">
        <x:f>"未模拟"</x:f>
        <x:v>未模拟</x:v>
      </x:c>
      <x:c r="I41" s="24" t="n">
        <x:f>'原始输入与口径'!BD43</x:f>
        <x:v>10</x:v>
      </x:c>
      <x:c r="J41" s="24" t="n">
        <x:f>'原始输入与口径'!BE43</x:f>
        <x:v>10</x:v>
      </x:c>
      <x:c r="K41" s="24" t="n">
        <x:f>'原始输入与口径'!BF43</x:f>
        <x:v>0</x:v>
      </x:c>
      <x:c r="L41" s="24" t="n">
        <x:f>'原始输入与口径'!BG43</x:f>
        <x:v>0</x:v>
      </x:c>
      <x:c r="M41" s="24" t="n">
        <x:f>'原始输入与口径'!BH43</x:f>
        <x:v>0</x:v>
      </x:c>
      <x:c r="N41" s="24" t="n">
        <x:f>'原始输入与口径'!BI43</x:f>
        <x:v>0</x:v>
      </x:c>
      <x:c r="O41" s="24" t="n">
        <x:f>M41*AE41*AC41</x:f>
        <x:v>0</x:v>
      </x:c>
      <x:c r="P41" s="24" t="n">
        <x:f>N41*AF41*AC41</x:f>
        <x:v>0</x:v>
      </x:c>
      <x:c r="Q41" s="25" t="n">
        <x:f>IF(K41=0,0,IF(ISNUMBER(B41),K41*AC41*B41,NA()))</x:f>
        <x:v>0</x:v>
      </x:c>
      <x:c r="R41" s="25" t="n">
        <x:f>IF(L41=0,0,IF(ISNUMBER(C41),L41*AC41*C41*AD41,NA()))</x:f>
        <x:v>0</x:v>
      </x:c>
      <x:c r="S41" s="25" t="n">
        <x:f>IF(M41=0,0,IF(ISNUMBER(D41),M41*AC41*D41*AD41,NA()))</x:f>
        <x:v>0</x:v>
      </x:c>
      <x:c r="T41" s="25" t="n">
        <x:f>IF(N41=0,0,IF(ISNUMBER(E41),N41*AC41*E41*AD41,NA()))</x:f>
        <x:v>0</x:v>
      </x:c>
      <x:c r="U41" s="25" t="n">
        <x:f>IF(O41=0,0,IF(ISNUMBER(F41),O41*F41,NA()))</x:f>
        <x:v>0</x:v>
      </x:c>
      <x:c r="V41" s="25" t="n">
        <x:f>IF(P41=0,0,IF(ISNUMBER(G41),-P41*G41,NA()))</x:f>
        <x:v>0</x:v>
      </x:c>
      <x:c r="W41" s="25" t="n">
        <x:f>SUM(Q41:V41)</x:f>
        <x:v>0</x:v>
      </x:c>
      <x:c r="X41" s="18" t="n">
        <x:f>'原始输入与口径'!BR43</x:f>
        <x:v>0</x:v>
      </x:c>
      <x:c r="Y41" s="18" t="n">
        <x:f>W41-X41</x:f>
        <x:v>0</x:v>
      </x:c>
      <x:c r="Z41" s="18" t="str">
        <x:f>"1月1日执行｜初始化零订单"</x:f>
        <x:v>1月1日执行｜初始化零订单</x:v>
      </x:c>
      <x:c r="AA41" s="19" t="n">
        <x:f>IF('原始输入与口径'!AW43,1,0)</x:f>
        <x:v>1</x:v>
      </x:c>
      <x:c r="AB41" s="19" t="n">
        <x:f>IF('原始输入与口径'!AY43,1,0)</x:f>
        <x:v>0</x:v>
      </x:c>
      <x:c r="AC41" s="18" t="n">
        <x:f>'原始输入与口径'!E43</x:f>
        <x:v>0.25</x:v>
      </x:c>
      <x:c r="AD41" s="20" t="n">
        <x:f>'原始输入与口径'!$F$5</x:f>
        <x:v>1</x:v>
      </x:c>
      <x:c r="AE41" s="20" t="n">
        <x:f>IF(AA41=0,0,AI41/(AG41*AC41))</x:f>
        <x:v>0.0014199999999999998</x:v>
      </x:c>
      <x:c r="AF41" s="20" t="n">
        <x:f>IF(AA41=0,0,AJ41/(AH41*AC41))</x:f>
        <x:v>0.00912</x:v>
      </x:c>
      <x:c r="AG41" s="18" t="n">
        <x:f>IF(ISNUMBER('原始输入与口径'!T43),'原始输入与口径'!T43,"缺失")</x:f>
        <x:v>200</x:v>
      </x:c>
      <x:c r="AH41" s="18" t="n">
        <x:f>IF(ISNUMBER('原始输入与口径'!Y43),'原始输入与口径'!Y43,"缺失")</x:f>
        <x:v>200</x:v>
      </x:c>
      <x:c r="AI41" s="18" t="n">
        <x:f>IF(ISNUMBER('原始输入与口径'!AI43),'原始输入与口径'!AI43,"缺失")</x:f>
        <x:v>0.071</x:v>
      </x:c>
      <x:c r="AJ41" s="18" t="n">
        <x:f>IF(ISNUMBER('原始输入与口径'!AL43),'原始输入与口径'!AL43,"缺失")</x:f>
        <x:v>0.456</x:v>
      </x:c>
      <x:c r="AK41" s="18" t="str">
        <x:f>IF(ISNUMBER('原始输入与口径'!O43),'原始输入与口径'!O43,"缺失")</x:f>
        <x:v>缺失</x:v>
      </x:c>
      <x:c r="AL41" s="18" t="n">
        <x:f>SUMIFS('相位SOC复算'!$N$7:$N$443,'相位SOC复算'!$S$7:$S$443,35)</x:f>
        <x:v>0</x:v>
      </x:c>
      <x:c r="AM41" s="18" t="n">
        <x:f>SUMIFS('相位SOC复算'!$Q$7:$Q$443,'相位SOC复算'!$S$7:$S$443,35)</x:f>
        <x:v>0</x:v>
      </x:c>
      <x:c r="AN41" s="18" t="n">
        <x:f>SUMIFS('相位SOC复算'!$R$7:$R$443,'相位SOC复算'!$S$7:$S$443,35)</x:f>
        <x:v>0</x:v>
      </x:c>
      <x:c r="AO41" s="18" t="n">
        <x:f>'相位SOC复算'!J91</x:f>
        <x:v>10</x:v>
      </x:c>
      <x:c r="AP41" s="18" t="n">
        <x:f>AO41-J41</x:f>
        <x:v>0</x:v>
      </x:c>
      <x:c r="AQ41" s="18" t="n">
        <x:f>IF(ISBLANK('原始输入与口径'!M43),"",'原始输入与口径'!M43)</x:f>
        <x:v>4.9741</x:v>
      </x:c>
      <x:c r="AR41" s="21" t="n">
        <x:f>IF(ISBLANK('原始输入与口径'!L43),"",'原始输入与口径'!L43)</x:f>
        <x:v>45657</x:v>
      </x:c>
      <x:c r="AS41" s="17" t="n">
        <x:f>IF(ISBLANK('原始输入与口径'!A43),"",'原始输入与口径'!A43)</x:f>
        <x:v>45658.270833333336</x:v>
      </x:c>
      <x:c r="AT41" s="18" t="str">
        <x:f>IF(ISBLANK('原始输入与口径'!I43),"",'原始输入与口径'!I43)</x:f>
        <x:v>2025-01-01_8</x:v>
      </x:c>
      <x:c r="AU41" s="19" t="n">
        <x:f>IF(ISBLANK('原始输入与口径'!J43),"",'原始输入与口径'!J43)</x:f>
        <x:v>60</x:v>
      </x:c>
      <x:c r="AV41" s="18" t="str">
        <x:f>IF(ISBLANK('原始输入与口径'!BB43),"",'原始输入与口径'!BB43)</x:f>
        <x:v>OK</x:v>
      </x:c>
    </x:row>
    <x:row r="42" ht="21" customHeight="1">
      <x:c r="A42" s="17" t="n">
        <x:f>45658.364583333336</x:f>
        <x:v>45658.364583333336</x:v>
      </x:c>
      <x:c r="B42" s="23" t="n">
        <x:f>IF(ISNUMBER('原始输入与口径'!H44),'原始输入与口径'!H44,"缺失")</x:f>
        <x:v>56.78</x:v>
      </x:c>
      <x:c r="C42" s="23" t="str">
        <x:f>IF(ISNUMBER('原始输入与口径'!R44),'原始输入与口径'!R44,"缺失")</x:f>
        <x:v>缺失</x:v>
      </x:c>
      <x:c r="D42" s="23" t="n">
        <x:f>IF(ISNUMBER('原始输入与口径'!W44),'原始输入与口径'!W44,"缺失")</x:f>
        <x:v>13.831647936310086</x:v>
      </x:c>
      <x:c r="E42" s="23" t="n">
        <x:f>IF(ISNUMBER('原始输入与口径'!AB44),'原始输入与口径'!AB44,"缺失")</x:f>
        <x:v>14.676021792887155</x:v>
      </x:c>
      <x:c r="F42" s="23" t="n">
        <x:f>IF(ISNUMBER('原始输入与口径'!AG44),'原始输入与口径'!AG44,"缺失")</x:f>
        <x:v>0</x:v>
      </x:c>
      <x:c r="G42" s="23" t="n">
        <x:f>IF(ISNUMBER('原始输入与口径'!AJ44),'原始输入与口径'!AJ44,"缺失")</x:f>
        <x:v>11.022898614824793</x:v>
      </x:c>
      <x:c r="H42" s="23" t="str">
        <x:f>"未模拟"</x:f>
        <x:v>未模拟</x:v>
      </x:c>
      <x:c r="I42" s="24" t="n">
        <x:f>'原始输入与口径'!BD44</x:f>
        <x:v>10</x:v>
      </x:c>
      <x:c r="J42" s="24" t="n">
        <x:f>'原始输入与口径'!BE44</x:f>
        <x:v>10</x:v>
      </x:c>
      <x:c r="K42" s="24" t="n">
        <x:f>'原始输入与口径'!BF44</x:f>
        <x:v>0</x:v>
      </x:c>
      <x:c r="L42" s="24" t="n">
        <x:f>'原始输入与口径'!BG44</x:f>
        <x:v>0</x:v>
      </x:c>
      <x:c r="M42" s="24" t="n">
        <x:f>'原始输入与口径'!BH44</x:f>
        <x:v>0</x:v>
      </x:c>
      <x:c r="N42" s="24" t="n">
        <x:f>'原始输入与口径'!BI44</x:f>
        <x:v>0</x:v>
      </x:c>
      <x:c r="O42" s="24" t="n">
        <x:f>M42*AE42*AC42</x:f>
        <x:v>0</x:v>
      </x:c>
      <x:c r="P42" s="24" t="n">
        <x:f>N42*AF42*AC42</x:f>
        <x:v>0</x:v>
      </x:c>
      <x:c r="Q42" s="25" t="n">
        <x:f>IF(K42=0,0,IF(ISNUMBER(B42),K42*AC42*B42,NA()))</x:f>
        <x:v>0</x:v>
      </x:c>
      <x:c r="R42" s="25" t="n">
        <x:f>IF(L42=0,0,IF(ISNUMBER(C42),L42*AC42*C42*AD42,NA()))</x:f>
        <x:v>0</x:v>
      </x:c>
      <x:c r="S42" s="25" t="n">
        <x:f>IF(M42=0,0,IF(ISNUMBER(D42),M42*AC42*D42*AD42,NA()))</x:f>
        <x:v>0</x:v>
      </x:c>
      <x:c r="T42" s="25" t="n">
        <x:f>IF(N42=0,0,IF(ISNUMBER(E42),N42*AC42*E42*AD42,NA()))</x:f>
        <x:v>0</x:v>
      </x:c>
      <x:c r="U42" s="25" t="n">
        <x:f>IF(O42=0,0,IF(ISNUMBER(F42),O42*F42,NA()))</x:f>
        <x:v>0</x:v>
      </x:c>
      <x:c r="V42" s="25" t="n">
        <x:f>IF(P42=0,0,IF(ISNUMBER(G42),-P42*G42,NA()))</x:f>
        <x:v>0</x:v>
      </x:c>
      <x:c r="W42" s="25" t="n">
        <x:f>SUM(Q42:V42)</x:f>
        <x:v>0</x:v>
      </x:c>
      <x:c r="X42" s="18" t="n">
        <x:f>'原始输入与口径'!BR44</x:f>
        <x:v>0</x:v>
      </x:c>
      <x:c r="Y42" s="18" t="n">
        <x:f>W42-X42</x:f>
        <x:v>0</x:v>
      </x:c>
      <x:c r="Z42" s="18" t="str">
        <x:f>"1月1日执行｜初始化零订单"</x:f>
        <x:v>1月1日执行｜初始化零订单</x:v>
      </x:c>
      <x:c r="AA42" s="19" t="n">
        <x:f>IF('原始输入与口径'!AW44,1,0)</x:f>
        <x:v>1</x:v>
      </x:c>
      <x:c r="AB42" s="19" t="n">
        <x:f>IF('原始输入与口径'!AY44,1,0)</x:f>
        <x:v>0</x:v>
      </x:c>
      <x:c r="AC42" s="18" t="n">
        <x:f>'原始输入与口径'!E44</x:f>
        <x:v>0.25</x:v>
      </x:c>
      <x:c r="AD42" s="20" t="n">
        <x:f>'原始输入与口径'!$F$5</x:f>
        <x:v>1</x:v>
      </x:c>
      <x:c r="AE42" s="20" t="n">
        <x:f>IF(AA42=0,0,AI42/(AG42*AC42))</x:f>
        <x:v>0</x:v>
      </x:c>
      <x:c r="AF42" s="20" t="n">
        <x:f>IF(AA42=0,0,AJ42/(AH42*AC42))</x:f>
        <x:v>0.27440000000000003</x:v>
      </x:c>
      <x:c r="AG42" s="18" t="n">
        <x:f>IF(ISNUMBER('原始输入与口径'!T44),'原始输入与口径'!T44,"缺失")</x:f>
        <x:v>200</x:v>
      </x:c>
      <x:c r="AH42" s="18" t="n">
        <x:f>IF(ISNUMBER('原始输入与口径'!Y44),'原始输入与口径'!Y44,"缺失")</x:f>
        <x:v>200</x:v>
      </x:c>
      <x:c r="AI42" s="18" t="n">
        <x:f>IF(ISNUMBER('原始输入与口径'!AI44),'原始输入与口径'!AI44,"缺失")</x:f>
        <x:v>0</x:v>
      </x:c>
      <x:c r="AJ42" s="18" t="n">
        <x:f>IF(ISNUMBER('原始输入与口径'!AL44),'原始输入与口径'!AL44,"缺失")</x:f>
        <x:v>13.72</x:v>
      </x:c>
      <x:c r="AK42" s="18" t="str">
        <x:f>IF(ISNUMBER('原始输入与口径'!O44),'原始输入与口径'!O44,"缺失")</x:f>
        <x:v>缺失</x:v>
      </x:c>
      <x:c r="AL42" s="18" t="n">
        <x:f>SUMIFS('相位SOC复算'!$N$7:$N$443,'相位SOC复算'!$S$7:$S$443,36)</x:f>
        <x:v>0</x:v>
      </x:c>
      <x:c r="AM42" s="18" t="n">
        <x:f>SUMIFS('相位SOC复算'!$Q$7:$Q$443,'相位SOC复算'!$S$7:$S$443,36)</x:f>
        <x:v>0</x:v>
      </x:c>
      <x:c r="AN42" s="18" t="n">
        <x:f>SUMIFS('相位SOC复算'!$R$7:$R$443,'相位SOC复算'!$S$7:$S$443,36)</x:f>
        <x:v>0</x:v>
      </x:c>
      <x:c r="AO42" s="18" t="n">
        <x:f>'相位SOC复算'!J93</x:f>
        <x:v>10</x:v>
      </x:c>
      <x:c r="AP42" s="18" t="n">
        <x:f>AO42-J42</x:f>
        <x:v>0</x:v>
      </x:c>
      <x:c r="AQ42" s="18" t="n">
        <x:f>IF(ISBLANK('原始输入与口径'!M44),"",'原始输入与口径'!M44)</x:f>
        <x:v>4.9741</x:v>
      </x:c>
      <x:c r="AR42" s="21" t="n">
        <x:f>IF(ISBLANK('原始输入与口径'!L44),"",'原始输入与口径'!L44)</x:f>
        <x:v>45657</x:v>
      </x:c>
      <x:c r="AS42" s="17" t="n">
        <x:f>IF(ISBLANK('原始输入与口径'!A44),"",'原始输入与口径'!A44)</x:f>
        <x:v>45658.28125</x:v>
      </x:c>
      <x:c r="AT42" s="18" t="str">
        <x:f>IF(ISBLANK('原始输入与口径'!I44),"",'原始输入与口径'!I44)</x:f>
        <x:v>2025-01-01_8</x:v>
      </x:c>
      <x:c r="AU42" s="19" t="n">
        <x:f>IF(ISBLANK('原始输入与口径'!J44),"",'原始输入与口径'!J44)</x:f>
        <x:v>60</x:v>
      </x:c>
      <x:c r="AV42" s="18" t="str">
        <x:f>IF(ISBLANK('原始输入与口径'!BB44),"",'原始输入与口径'!BB44)</x:f>
        <x:v>OK</x:v>
      </x:c>
    </x:row>
    <x:row r="43" ht="21" customHeight="1">
      <x:c r="A43" s="17" t="n">
        <x:f>45658.375</x:f>
        <x:v>45658.375</x:v>
      </x:c>
      <x:c r="B43" s="23" t="n">
        <x:f>IF(ISNUMBER('原始输入与口径'!H45),'原始输入与口径'!H45,"缺失")</x:f>
        <x:v>29.22</x:v>
      </x:c>
      <x:c r="C43" s="23" t="str">
        <x:f>IF(ISNUMBER('原始输入与口径'!R45),'原始输入与口径'!R45,"缺失")</x:f>
        <x:v>缺失</x:v>
      </x:c>
      <x:c r="D43" s="23" t="n">
        <x:f>IF(ISNUMBER('原始输入与口径'!W45),'原始输入与口径'!W45,"缺失")</x:f>
        <x:v>13.831647936310086</x:v>
      </x:c>
      <x:c r="E43" s="23" t="n">
        <x:f>IF(ISNUMBER('原始输入与口径'!AB45),'原始输入与口径'!AB45,"缺失")</x:f>
        <x:v>14.676021792887155</x:v>
      </x:c>
      <x:c r="F43" s="23" t="n">
        <x:f>IF(ISNUMBER('原始输入与口径'!AG45),'原始输入与口径'!AG45,"缺失")</x:f>
        <x:v>0</x:v>
      </x:c>
      <x:c r="G43" s="23" t="n">
        <x:f>IF(ISNUMBER('原始输入与口径'!AJ45),'原始输入与口径'!AJ45,"缺失")</x:f>
        <x:v>34.24840674694919</x:v>
      </x:c>
      <x:c r="H43" s="23" t="str">
        <x:f>"未模拟"</x:f>
        <x:v>未模拟</x:v>
      </x:c>
      <x:c r="I43" s="24" t="n">
        <x:f>'原始输入与口径'!BD45</x:f>
        <x:v>10</x:v>
      </x:c>
      <x:c r="J43" s="24" t="n">
        <x:f>'原始输入与口径'!BE45</x:f>
        <x:v>10</x:v>
      </x:c>
      <x:c r="K43" s="24" t="n">
        <x:f>'原始输入与口径'!BF45</x:f>
        <x:v>0</x:v>
      </x:c>
      <x:c r="L43" s="24" t="n">
        <x:f>'原始输入与口径'!BG45</x:f>
        <x:v>0</x:v>
      </x:c>
      <x:c r="M43" s="24" t="n">
        <x:f>'原始输入与口径'!BH45</x:f>
        <x:v>0</x:v>
      </x:c>
      <x:c r="N43" s="24" t="n">
        <x:f>'原始输入与口径'!BI45</x:f>
        <x:v>0</x:v>
      </x:c>
      <x:c r="O43" s="24" t="n">
        <x:f>M43*AE43*AC43</x:f>
        <x:v>0</x:v>
      </x:c>
      <x:c r="P43" s="24" t="n">
        <x:f>N43*AF43*AC43</x:f>
        <x:v>0</x:v>
      </x:c>
      <x:c r="Q43" s="25" t="n">
        <x:f>IF(K43=0,0,IF(ISNUMBER(B43),K43*AC43*B43,NA()))</x:f>
        <x:v>0</x:v>
      </x:c>
      <x:c r="R43" s="25" t="n">
        <x:f>IF(L43=0,0,IF(ISNUMBER(C43),L43*AC43*C43*AD43,NA()))</x:f>
        <x:v>0</x:v>
      </x:c>
      <x:c r="S43" s="25" t="n">
        <x:f>IF(M43=0,0,IF(ISNUMBER(D43),M43*AC43*D43*AD43,NA()))</x:f>
        <x:v>0</x:v>
      </x:c>
      <x:c r="T43" s="25" t="n">
        <x:f>IF(N43=0,0,IF(ISNUMBER(E43),N43*AC43*E43*AD43,NA()))</x:f>
        <x:v>0</x:v>
      </x:c>
      <x:c r="U43" s="25" t="n">
        <x:f>IF(O43=0,0,IF(ISNUMBER(F43),O43*F43,NA()))</x:f>
        <x:v>0</x:v>
      </x:c>
      <x:c r="V43" s="25" t="n">
        <x:f>IF(P43=0,0,IF(ISNUMBER(G43),-P43*G43,NA()))</x:f>
        <x:v>0</x:v>
      </x:c>
      <x:c r="W43" s="25" t="n">
        <x:f>SUM(Q43:V43)</x:f>
        <x:v>0</x:v>
      </x:c>
      <x:c r="X43" s="18" t="n">
        <x:f>'原始输入与口径'!BR45</x:f>
        <x:v>0</x:v>
      </x:c>
      <x:c r="Y43" s="18" t="n">
        <x:f>W43-X43</x:f>
        <x:v>0</x:v>
      </x:c>
      <x:c r="Z43" s="18" t="str">
        <x:f>"1月1日执行｜初始化零订单"</x:f>
        <x:v>1月1日执行｜初始化零订单</x:v>
      </x:c>
      <x:c r="AA43" s="19" t="n">
        <x:f>IF('原始输入与口径'!AW45,1,0)</x:f>
        <x:v>0</x:v>
      </x:c>
      <x:c r="AB43" s="19" t="n">
        <x:f>IF('原始输入与口径'!AY45,1,0)</x:f>
        <x:v>0</x:v>
      </x:c>
      <x:c r="AC43" s="18" t="n">
        <x:f>'原始输入与口径'!E45</x:f>
        <x:v>0.25</x:v>
      </x:c>
      <x:c r="AD43" s="20" t="n">
        <x:f>'原始输入与口径'!$F$5</x:f>
        <x:v>1</x:v>
      </x:c>
      <x:c r="AE43" s="20" t="n">
        <x:f>IF(AA43=0,0,AI43/(AG43*AC43))</x:f>
        <x:v>0</x:v>
      </x:c>
      <x:c r="AF43" s="20" t="n">
        <x:f>IF(AA43=0,0,AJ43/(AH43*AC43))</x:f>
        <x:v>0</x:v>
      </x:c>
      <x:c r="AG43" s="18" t="n">
        <x:f>IF(ISNUMBER('原始输入与口径'!T45),'原始输入与口径'!T45,"缺失")</x:f>
        <x:v>200</x:v>
      </x:c>
      <x:c r="AH43" s="18" t="n">
        <x:f>IF(ISNUMBER('原始输入与口径'!Y45),'原始输入与口径'!Y45,"缺失")</x:f>
        <x:v>200</x:v>
      </x:c>
      <x:c r="AI43" s="18" t="n">
        <x:f>IF(ISNUMBER('原始输入与口径'!AI45),'原始输入与口径'!AI45,"缺失")</x:f>
        <x:v>0</x:v>
      </x:c>
      <x:c r="AJ43" s="18" t="n">
        <x:f>IF(ISNUMBER('原始输入与口径'!AL45),'原始输入与口径'!AL45,"缺失")</x:f>
        <x:v>2.921</x:v>
      </x:c>
      <x:c r="AK43" s="18" t="str">
        <x:f>IF(ISNUMBER('原始输入与口径'!O45),'原始输入与口径'!O45,"缺失")</x:f>
        <x:v>缺失</x:v>
      </x:c>
      <x:c r="AL43" s="18" t="n">
        <x:f>SUMIFS('相位SOC复算'!$N$7:$N$443,'相位SOC复算'!$S$7:$S$443,37)</x:f>
        <x:v>0</x:v>
      </x:c>
      <x:c r="AM43" s="18" t="n">
        <x:f>SUMIFS('相位SOC复算'!$Q$7:$Q$443,'相位SOC复算'!$S$7:$S$443,37)</x:f>
        <x:v>0</x:v>
      </x:c>
      <x:c r="AN43" s="18" t="n">
        <x:f>SUMIFS('相位SOC复算'!$R$7:$R$443,'相位SOC复算'!$S$7:$S$443,37)</x:f>
        <x:v>0</x:v>
      </x:c>
      <x:c r="AO43" s="18" t="n">
        <x:f>'相位SOC复算'!J94</x:f>
        <x:v>10</x:v>
      </x:c>
      <x:c r="AP43" s="18" t="n">
        <x:f>AO43-J43</x:f>
        <x:v>0</x:v>
      </x:c>
      <x:c r="AQ43" s="18" t="n">
        <x:f>IF(ISBLANK('原始输入与口径'!M45),"",'原始输入与口径'!M45)</x:f>
        <x:v>4.9741</x:v>
      </x:c>
      <x:c r="AR43" s="21" t="n">
        <x:f>IF(ISBLANK('原始输入与口径'!L45),"",'原始输入与口径'!L45)</x:f>
        <x:v>45657</x:v>
      </x:c>
      <x:c r="AS43" s="17" t="n">
        <x:f>IF(ISBLANK('原始输入与口径'!A45),"",'原始输入与口径'!A45)</x:f>
        <x:v>45658.291666666664</x:v>
      </x:c>
      <x:c r="AT43" s="18" t="str">
        <x:f>IF(ISBLANK('原始输入与口径'!I45),"",'原始输入与口径'!I45)</x:f>
        <x:v>2025-01-01_9</x:v>
      </x:c>
      <x:c r="AU43" s="19" t="n">
        <x:f>IF(ISBLANK('原始输入与口径'!J45),"",'原始输入与口径'!J45)</x:f>
        <x:v>60</x:v>
      </x:c>
      <x:c r="AV43" s="18" t="str">
        <x:f>IF(ISBLANK('原始输入与口径'!BB45),"",'原始输入与口径'!BB45)</x:f>
        <x:v>OTHER_QH_IN_SAME_HOUR_INVALID</x:v>
      </x:c>
    </x:row>
    <x:row r="44" ht="21" customHeight="1">
      <x:c r="A44" s="17" t="n">
        <x:f>45658.385416666664</x:f>
        <x:v>45658.385416666664</x:v>
      </x:c>
      <x:c r="B44" s="23" t="n">
        <x:f>IF(ISNUMBER('原始输入与口径'!H46),'原始输入与口径'!H46,"缺失")</x:f>
        <x:v>29.22</x:v>
      </x:c>
      <x:c r="C44" s="23" t="str">
        <x:f>IF(ISNUMBER('原始输入与口径'!R46),'原始输入与口径'!R46,"缺失")</x:f>
        <x:v>缺失</x:v>
      </x:c>
      <x:c r="D44" s="23" t="n">
        <x:f>IF(ISNUMBER('原始输入与口径'!W46),'原始输入与口径'!W46,"缺失")</x:f>
        <x:v>13.831647936310086</x:v>
      </x:c>
      <x:c r="E44" s="23" t="n">
        <x:f>IF(ISNUMBER('原始输入与口径'!AB46),'原始输入与口径'!AB46,"缺失")</x:f>
        <x:v>14.676021792887155</x:v>
      </x:c>
      <x:c r="F44" s="23" t="n">
        <x:f>IF(ISNUMBER('原始输入与口径'!AG46),'原始输入与口径'!AG46,"缺失")</x:f>
        <x:v>0</x:v>
      </x:c>
      <x:c r="G44" s="23" t="n">
        <x:f>IF(ISNUMBER('原始输入与口径'!AJ46),'原始输入与口径'!AJ46,"缺失")</x:f>
        <x:v>6.865563619549265</x:v>
      </x:c>
      <x:c r="H44" s="23" t="str">
        <x:f>"未模拟"</x:f>
        <x:v>未模拟</x:v>
      </x:c>
      <x:c r="I44" s="24" t="n">
        <x:f>'原始输入与口径'!BD46</x:f>
        <x:v>10</x:v>
      </x:c>
      <x:c r="J44" s="24" t="n">
        <x:f>'原始输入与口径'!BE46</x:f>
        <x:v>10</x:v>
      </x:c>
      <x:c r="K44" s="24" t="n">
        <x:f>'原始输入与口径'!BF46</x:f>
        <x:v>0</x:v>
      </x:c>
      <x:c r="L44" s="24" t="n">
        <x:f>'原始输入与口径'!BG46</x:f>
        <x:v>0</x:v>
      </x:c>
      <x:c r="M44" s="24" t="n">
        <x:f>'原始输入与口径'!BH46</x:f>
        <x:v>0</x:v>
      </x:c>
      <x:c r="N44" s="24" t="n">
        <x:f>'原始输入与口径'!BI46</x:f>
        <x:v>0</x:v>
      </x:c>
      <x:c r="O44" s="24" t="n">
        <x:f>M44*AE44*AC44</x:f>
        <x:v>0</x:v>
      </x:c>
      <x:c r="P44" s="24" t="n">
        <x:f>N44*AF44*AC44</x:f>
        <x:v>0</x:v>
      </x:c>
      <x:c r="Q44" s="25" t="n">
        <x:f>IF(K44=0,0,IF(ISNUMBER(B44),K44*AC44*B44,NA()))</x:f>
        <x:v>0</x:v>
      </x:c>
      <x:c r="R44" s="25" t="n">
        <x:f>IF(L44=0,0,IF(ISNUMBER(C44),L44*AC44*C44*AD44,NA()))</x:f>
        <x:v>0</x:v>
      </x:c>
      <x:c r="S44" s="25" t="n">
        <x:f>IF(M44=0,0,IF(ISNUMBER(D44),M44*AC44*D44*AD44,NA()))</x:f>
        <x:v>0</x:v>
      </x:c>
      <x:c r="T44" s="25" t="n">
        <x:f>IF(N44=0,0,IF(ISNUMBER(E44),N44*AC44*E44*AD44,NA()))</x:f>
        <x:v>0</x:v>
      </x:c>
      <x:c r="U44" s="25" t="n">
        <x:f>IF(O44=0,0,IF(ISNUMBER(F44),O44*F44,NA()))</x:f>
        <x:v>0</x:v>
      </x:c>
      <x:c r="V44" s="25" t="n">
        <x:f>IF(P44=0,0,IF(ISNUMBER(G44),-P44*G44,NA()))</x:f>
        <x:v>0</x:v>
      </x:c>
      <x:c r="W44" s="25" t="n">
        <x:f>SUM(Q44:V44)</x:f>
        <x:v>0</x:v>
      </x:c>
      <x:c r="X44" s="18" t="n">
        <x:f>'原始输入与口径'!BR46</x:f>
        <x:v>0</x:v>
      </x:c>
      <x:c r="Y44" s="18" t="n">
        <x:f>W44-X44</x:f>
        <x:v>0</x:v>
      </x:c>
      <x:c r="Z44" s="18" t="str">
        <x:f>"1月1日执行｜初始化零订单"</x:f>
        <x:v>1月1日执行｜初始化零订单</x:v>
      </x:c>
      <x:c r="AA44" s="19" t="n">
        <x:f>IF('原始输入与口径'!AW46,1,0)</x:f>
        <x:v>0</x:v>
      </x:c>
      <x:c r="AB44" s="19" t="n">
        <x:f>IF('原始输入与口径'!AY46,1,0)</x:f>
        <x:v>0</x:v>
      </x:c>
      <x:c r="AC44" s="18" t="n">
        <x:f>'原始输入与口径'!E46</x:f>
        <x:v>0.25</x:v>
      </x:c>
      <x:c r="AD44" s="20" t="n">
        <x:f>'原始输入与口径'!$F$5</x:f>
        <x:v>1</x:v>
      </x:c>
      <x:c r="AE44" s="20" t="n">
        <x:f>IF(AA44=0,0,AI44/(AG44*AC44))</x:f>
        <x:v>0</x:v>
      </x:c>
      <x:c r="AF44" s="20" t="n">
        <x:f>IF(AA44=0,0,AJ44/(AH44*AC44))</x:f>
        <x:v>0</x:v>
      </x:c>
      <x:c r="AG44" s="18" t="n">
        <x:f>IF(ISNUMBER('原始输入与口径'!T46),'原始输入与口径'!T46,"缺失")</x:f>
        <x:v>200</x:v>
      </x:c>
      <x:c r="AH44" s="18" t="n">
        <x:f>IF(ISNUMBER('原始输入与口径'!Y46),'原始输入与口径'!Y46,"缺失")</x:f>
        <x:v>200</x:v>
      </x:c>
      <x:c r="AI44" s="18" t="n">
        <x:f>IF(ISNUMBER('原始输入与口径'!AI46),'原始输入与口径'!AI46,"缺失")</x:f>
        <x:v>0</x:v>
      </x:c>
      <x:c r="AJ44" s="18" t="n">
        <x:f>IF(ISNUMBER('原始输入与口径'!AL46),'原始输入与口径'!AL46,"缺失")</x:f>
        <x:v>16.352</x:v>
      </x:c>
      <x:c r="AK44" s="18" t="str">
        <x:f>IF(ISNUMBER('原始输入与口径'!O46),'原始输入与口径'!O46,"缺失")</x:f>
        <x:v>缺失</x:v>
      </x:c>
      <x:c r="AL44" s="18" t="n">
        <x:f>SUMIFS('相位SOC复算'!$N$7:$N$443,'相位SOC复算'!$S$7:$S$443,38)</x:f>
        <x:v>0</x:v>
      </x:c>
      <x:c r="AM44" s="18" t="n">
        <x:f>SUMIFS('相位SOC复算'!$Q$7:$Q$443,'相位SOC复算'!$S$7:$S$443,38)</x:f>
        <x:v>0</x:v>
      </x:c>
      <x:c r="AN44" s="18" t="n">
        <x:f>SUMIFS('相位SOC复算'!$R$7:$R$443,'相位SOC复算'!$S$7:$S$443,38)</x:f>
        <x:v>0</x:v>
      </x:c>
      <x:c r="AO44" s="18" t="n">
        <x:f>'相位SOC复算'!J95</x:f>
        <x:v>10</x:v>
      </x:c>
      <x:c r="AP44" s="18" t="n">
        <x:f>AO44-J44</x:f>
        <x:v>0</x:v>
      </x:c>
      <x:c r="AQ44" s="18" t="n">
        <x:f>IF(ISBLANK('原始输入与口径'!M46),"",'原始输入与口径'!M46)</x:f>
        <x:v>4.9741</x:v>
      </x:c>
      <x:c r="AR44" s="21" t="n">
        <x:f>IF(ISBLANK('原始输入与口径'!L46),"",'原始输入与口径'!L46)</x:f>
        <x:v>45657</x:v>
      </x:c>
      <x:c r="AS44" s="17" t="n">
        <x:f>IF(ISBLANK('原始输入与口径'!A46),"",'原始输入与口径'!A46)</x:f>
        <x:v>45658.302083333336</x:v>
      </x:c>
      <x:c r="AT44" s="18" t="str">
        <x:f>IF(ISBLANK('原始输入与口径'!I46),"",'原始输入与口径'!I46)</x:f>
        <x:v>2025-01-01_9</x:v>
      </x:c>
      <x:c r="AU44" s="19" t="n">
        <x:f>IF(ISBLANK('原始输入与口径'!J46),"",'原始输入与口径'!J46)</x:f>
        <x:v>60</x:v>
      </x:c>
      <x:c r="AV44" s="18" t="str">
        <x:f>IF(ISBLANK('原始输入与口径'!BB46),"",'原始输入与口径'!BB46)</x:f>
        <x:v>OTHER_QH_IN_SAME_HOUR_INVALID</x:v>
      </x:c>
    </x:row>
    <x:row r="45" ht="21" customHeight="1">
      <x:c r="A45" s="17" t="n">
        <x:f>45658.395833333336</x:f>
        <x:v>45658.395833333336</x:v>
      </x:c>
      <x:c r="B45" s="23" t="n">
        <x:f>IF(ISNUMBER('原始输入与口径'!H47),'原始输入与口径'!H47,"缺失")</x:f>
        <x:v>29.22</x:v>
      </x:c>
      <x:c r="C45" s="23" t="str">
        <x:f>IF(ISNUMBER('原始输入与口径'!R47),'原始输入与口径'!R47,"缺失")</x:f>
        <x:v>缺失</x:v>
      </x:c>
      <x:c r="D45" s="23" t="n">
        <x:f>IF(ISNUMBER('原始输入与口径'!W47),'原始输入与口径'!W47,"缺失")</x:f>
        <x:v>13.831647936310086</x:v>
      </x:c>
      <x:c r="E45" s="23" t="n">
        <x:f>IF(ISNUMBER('原始输入与口径'!AB47),'原始输入与口径'!AB47,"缺失")</x:f>
        <x:v>14.676021792887155</x:v>
      </x:c>
      <x:c r="F45" s="23" t="n">
        <x:f>IF(ISNUMBER('原始输入与口径'!AG47),'原始输入与口径'!AG47,"缺失")</x:f>
        <x:v>0</x:v>
      </x:c>
      <x:c r="G45" s="23" t="n">
        <x:f>IF(ISNUMBER('原始输入与口径'!AJ47),'原始输入与口径'!AJ47,"缺失")</x:f>
        <x:v>-459.588066182827</x:v>
      </x:c>
      <x:c r="H45" s="23" t="str">
        <x:f>"未模拟"</x:f>
        <x:v>未模拟</x:v>
      </x:c>
      <x:c r="I45" s="24" t="n">
        <x:f>'原始输入与口径'!BD47</x:f>
        <x:v>10</x:v>
      </x:c>
      <x:c r="J45" s="24" t="n">
        <x:f>'原始输入与口径'!BE47</x:f>
        <x:v>10</x:v>
      </x:c>
      <x:c r="K45" s="24" t="n">
        <x:f>'原始输入与口径'!BF47</x:f>
        <x:v>0</x:v>
      </x:c>
      <x:c r="L45" s="24" t="n">
        <x:f>'原始输入与口径'!BG47</x:f>
        <x:v>0</x:v>
      </x:c>
      <x:c r="M45" s="24" t="n">
        <x:f>'原始输入与口径'!BH47</x:f>
        <x:v>0</x:v>
      </x:c>
      <x:c r="N45" s="24" t="n">
        <x:f>'原始输入与口径'!BI47</x:f>
        <x:v>0</x:v>
      </x:c>
      <x:c r="O45" s="24" t="n">
        <x:f>M45*AE45*AC45</x:f>
        <x:v>0</x:v>
      </x:c>
      <x:c r="P45" s="24" t="n">
        <x:f>N45*AF45*AC45</x:f>
        <x:v>0</x:v>
      </x:c>
      <x:c r="Q45" s="25" t="n">
        <x:f>IF(K45=0,0,IF(ISNUMBER(B45),K45*AC45*B45,NA()))</x:f>
        <x:v>0</x:v>
      </x:c>
      <x:c r="R45" s="25" t="n">
        <x:f>IF(L45=0,0,IF(ISNUMBER(C45),L45*AC45*C45*AD45,NA()))</x:f>
        <x:v>0</x:v>
      </x:c>
      <x:c r="S45" s="25" t="n">
        <x:f>IF(M45=0,0,IF(ISNUMBER(D45),M45*AC45*D45*AD45,NA()))</x:f>
        <x:v>0</x:v>
      </x:c>
      <x:c r="T45" s="25" t="n">
        <x:f>IF(N45=0,0,IF(ISNUMBER(E45),N45*AC45*E45*AD45,NA()))</x:f>
        <x:v>0</x:v>
      </x:c>
      <x:c r="U45" s="25" t="n">
        <x:f>IF(O45=0,0,IF(ISNUMBER(F45),O45*F45,NA()))</x:f>
        <x:v>0</x:v>
      </x:c>
      <x:c r="V45" s="25" t="n">
        <x:f>IF(P45=0,0,IF(ISNUMBER(G45),-P45*G45,NA()))</x:f>
        <x:v>0</x:v>
      </x:c>
      <x:c r="W45" s="25" t="n">
        <x:f>SUM(Q45:V45)</x:f>
        <x:v>0</x:v>
      </x:c>
      <x:c r="X45" s="18" t="n">
        <x:f>'原始输入与口径'!BR47</x:f>
        <x:v>0</x:v>
      </x:c>
      <x:c r="Y45" s="18" t="n">
        <x:f>W45-X45</x:f>
        <x:v>0</x:v>
      </x:c>
      <x:c r="Z45" s="18" t="str">
        <x:f>"1月1日执行｜初始化零订单"</x:f>
        <x:v>1月1日执行｜初始化零订单</x:v>
      </x:c>
      <x:c r="AA45" s="19" t="n">
        <x:f>IF('原始输入与口径'!AW47,1,0)</x:f>
        <x:v>0</x:v>
      </x:c>
      <x:c r="AB45" s="19" t="n">
        <x:f>IF('原始输入与口径'!AY47,1,0)</x:f>
        <x:v>0</x:v>
      </x:c>
      <x:c r="AC45" s="18" t="n">
        <x:f>'原始输入与口径'!E47</x:f>
        <x:v>0.25</x:v>
      </x:c>
      <x:c r="AD45" s="20" t="n">
        <x:f>'原始输入与口径'!$F$5</x:f>
        <x:v>1</x:v>
      </x:c>
      <x:c r="AE45" s="20" t="n">
        <x:f>IF(AA45=0,0,AI45/(AG45*AC45))</x:f>
        <x:v>0</x:v>
      </x:c>
      <x:c r="AF45" s="20" t="n">
        <x:f>IF(AA45=0,0,AJ45/(AH45*AC45))</x:f>
        <x:v>0</x:v>
      </x:c>
      <x:c r="AG45" s="18" t="n">
        <x:f>IF(ISNUMBER('原始输入与口径'!T47),'原始输入与口径'!T47,"缺失")</x:f>
        <x:v>200</x:v>
      </x:c>
      <x:c r="AH45" s="18" t="n">
        <x:f>IF(ISNUMBER('原始输入与口径'!Y47),'原始输入与口径'!Y47,"缺失")</x:f>
        <x:v>200</x:v>
      </x:c>
      <x:c r="AI45" s="18" t="n">
        <x:f>IF(ISNUMBER('原始输入与口径'!AI47),'原始输入与口径'!AI47,"缺失")</x:f>
        <x:v>0</x:v>
      </x:c>
      <x:c r="AJ45" s="18" t="n">
        <x:f>IF(ISNUMBER('原始输入与口径'!AL47),'原始输入与口径'!AL47,"缺失")</x:f>
        <x:v>38.258</x:v>
      </x:c>
      <x:c r="AK45" s="18" t="str">
        <x:f>IF(ISNUMBER('原始输入与口径'!O47),'原始输入与口径'!O47,"缺失")</x:f>
        <x:v>缺失</x:v>
      </x:c>
      <x:c r="AL45" s="18" t="n">
        <x:f>SUMIFS('相位SOC复算'!$N$7:$N$443,'相位SOC复算'!$S$7:$S$443,39)</x:f>
        <x:v>0</x:v>
      </x:c>
      <x:c r="AM45" s="18" t="n">
        <x:f>SUMIFS('相位SOC复算'!$Q$7:$Q$443,'相位SOC复算'!$S$7:$S$443,39)</x:f>
        <x:v>0</x:v>
      </x:c>
      <x:c r="AN45" s="18" t="n">
        <x:f>SUMIFS('相位SOC复算'!$R$7:$R$443,'相位SOC复算'!$S$7:$S$443,39)</x:f>
        <x:v>0</x:v>
      </x:c>
      <x:c r="AO45" s="18" t="n">
        <x:f>'相位SOC复算'!J96</x:f>
        <x:v>10</x:v>
      </x:c>
      <x:c r="AP45" s="18" t="n">
        <x:f>AO45-J45</x:f>
        <x:v>0</x:v>
      </x:c>
      <x:c r="AQ45" s="18" t="n">
        <x:f>IF(ISBLANK('原始输入与口径'!M47),"",'原始输入与口径'!M47)</x:f>
        <x:v>4.9741</x:v>
      </x:c>
      <x:c r="AR45" s="21" t="n">
        <x:f>IF(ISBLANK('原始输入与口径'!L47),"",'原始输入与口径'!L47)</x:f>
        <x:v>45657</x:v>
      </x:c>
      <x:c r="AS45" s="17" t="n">
        <x:f>IF(ISBLANK('原始输入与口径'!A47),"",'原始输入与口径'!A47)</x:f>
        <x:v>45658.3125</x:v>
      </x:c>
      <x:c r="AT45" s="18" t="str">
        <x:f>IF(ISBLANK('原始输入与口径'!I47),"",'原始输入与口径'!I47)</x:f>
        <x:v>2025-01-01_9</x:v>
      </x:c>
      <x:c r="AU45" s="19" t="n">
        <x:f>IF(ISBLANK('原始输入与口径'!J47),"",'原始输入与口径'!J47)</x:f>
        <x:v>60</x:v>
      </x:c>
      <x:c r="AV45" s="18" t="str">
        <x:f>IF(ISBLANK('原始输入与口径'!BB47),"",'原始输入与口径'!BB47)</x:f>
        <x:v>OTHER_QH_IN_SAME_HOUR_INVALID</x:v>
      </x:c>
    </x:row>
    <x:row r="46" ht="21" customHeight="1">
      <x:c r="A46" s="17" t="n">
        <x:f>45658.40625</x:f>
        <x:v>45658.40625</x:v>
      </x:c>
      <x:c r="B46" s="23" t="n">
        <x:f>IF(ISNUMBER('原始输入与口径'!H48),'原始输入与口径'!H48,"缺失")</x:f>
        <x:v>29.22</x:v>
      </x:c>
      <x:c r="C46" s="23" t="str">
        <x:f>IF(ISNUMBER('原始输入与口径'!R48),'原始输入与口径'!R48,"缺失")</x:f>
        <x:v>缺失</x:v>
      </x:c>
      <x:c r="D46" s="23" t="n">
        <x:f>IF(ISNUMBER('原始输入与口径'!W48),'原始输入与口径'!W48,"缺失")</x:f>
        <x:v>13.831647936310086</x:v>
      </x:c>
      <x:c r="E46" s="23" t="n">
        <x:f>IF(ISNUMBER('原始输入与口径'!AB48),'原始输入与口径'!AB48,"缺失")</x:f>
        <x:v>14.676021792887155</x:v>
      </x:c>
      <x:c r="F46" s="23" t="n">
        <x:f>IF(ISNUMBER('原始输入与口径'!AG48),'原始输入与口径'!AG48,"缺失")</x:f>
        <x:v>0</x:v>
      </x:c>
      <x:c r="G46" s="23" t="n">
        <x:f>IF(ISNUMBER('原始输入与口径'!AJ48),'原始输入与口径'!AJ48,"缺失")</x:f>
        <x:v>-1005.4080135099817</x:v>
      </x:c>
      <x:c r="H46" s="23" t="str">
        <x:f>"未模拟"</x:f>
        <x:v>未模拟</x:v>
      </x:c>
      <x:c r="I46" s="24" t="n">
        <x:f>'原始输入与口径'!BD48</x:f>
        <x:v>10</x:v>
      </x:c>
      <x:c r="J46" s="24" t="n">
        <x:f>'原始输入与口径'!BE48</x:f>
        <x:v>10</x:v>
      </x:c>
      <x:c r="K46" s="24" t="n">
        <x:f>'原始输入与口径'!BF48</x:f>
        <x:v>0</x:v>
      </x:c>
      <x:c r="L46" s="24" t="n">
        <x:f>'原始输入与口径'!BG48</x:f>
        <x:v>0</x:v>
      </x:c>
      <x:c r="M46" s="24" t="n">
        <x:f>'原始输入与口径'!BH48</x:f>
        <x:v>0</x:v>
      </x:c>
      <x:c r="N46" s="24" t="n">
        <x:f>'原始输入与口径'!BI48</x:f>
        <x:v>0</x:v>
      </x:c>
      <x:c r="O46" s="24" t="n">
        <x:f>M46*AE46*AC46</x:f>
        <x:v>0</x:v>
      </x:c>
      <x:c r="P46" s="24" t="n">
        <x:f>N46*AF46*AC46</x:f>
        <x:v>0</x:v>
      </x:c>
      <x:c r="Q46" s="25" t="n">
        <x:f>IF(K46=0,0,IF(ISNUMBER(B46),K46*AC46*B46,NA()))</x:f>
        <x:v>0</x:v>
      </x:c>
      <x:c r="R46" s="25" t="n">
        <x:f>IF(L46=0,0,IF(ISNUMBER(C46),L46*AC46*C46*AD46,NA()))</x:f>
        <x:v>0</x:v>
      </x:c>
      <x:c r="S46" s="25" t="n">
        <x:f>IF(M46=0,0,IF(ISNUMBER(D46),M46*AC46*D46*AD46,NA()))</x:f>
        <x:v>0</x:v>
      </x:c>
      <x:c r="T46" s="25" t="n">
        <x:f>IF(N46=0,0,IF(ISNUMBER(E46),N46*AC46*E46*AD46,NA()))</x:f>
        <x:v>0</x:v>
      </x:c>
      <x:c r="U46" s="25" t="n">
        <x:f>IF(O46=0,0,IF(ISNUMBER(F46),O46*F46,NA()))</x:f>
        <x:v>0</x:v>
      </x:c>
      <x:c r="V46" s="25" t="n">
        <x:f>IF(P46=0,0,IF(ISNUMBER(G46),-P46*G46,NA()))</x:f>
        <x:v>0</x:v>
      </x:c>
      <x:c r="W46" s="25" t="n">
        <x:f>SUM(Q46:V46)</x:f>
        <x:v>0</x:v>
      </x:c>
      <x:c r="X46" s="18" t="n">
        <x:f>'原始输入与口径'!BR48</x:f>
        <x:v>0</x:v>
      </x:c>
      <x:c r="Y46" s="18" t="n">
        <x:f>W46-X46</x:f>
        <x:v>0</x:v>
      </x:c>
      <x:c r="Z46" s="18" t="str">
        <x:f>"1月1日执行｜初始化零订单"</x:f>
        <x:v>1月1日执行｜初始化零订单</x:v>
      </x:c>
      <x:c r="AA46" s="19" t="n">
        <x:f>IF('原始输入与口径'!AW48,1,0)</x:f>
        <x:v>0</x:v>
      </x:c>
      <x:c r="AB46" s="19" t="n">
        <x:f>IF('原始输入与口径'!AY48,1,0)</x:f>
        <x:v>0</x:v>
      </x:c>
      <x:c r="AC46" s="18" t="n">
        <x:f>'原始输入与口径'!E48</x:f>
        <x:v>0.25</x:v>
      </x:c>
      <x:c r="AD46" s="20" t="n">
        <x:f>'原始输入与口径'!$F$5</x:f>
        <x:v>1</x:v>
      </x:c>
      <x:c r="AE46" s="20" t="n">
        <x:f>IF(AA46=0,0,AI46/(AG46*AC46))</x:f>
        <x:v>0</x:v>
      </x:c>
      <x:c r="AF46" s="20" t="n">
        <x:f>IF(AA46=0,0,AJ46/(AH46*AC46))</x:f>
        <x:v>0</x:v>
      </x:c>
      <x:c r="AG46" s="18" t="n">
        <x:f>IF(ISNUMBER('原始输入与口径'!T48),'原始输入与口径'!T48,"缺失")</x:f>
        <x:v>200</x:v>
      </x:c>
      <x:c r="AH46" s="18" t="n">
        <x:f>IF(ISNUMBER('原始输入与口径'!Y48),'原始输入与口径'!Y48,"缺失")</x:f>
        <x:v>200</x:v>
      </x:c>
      <x:c r="AI46" s="18" t="n">
        <x:f>IF(ISNUMBER('原始输入与口径'!AI48),'原始输入与口径'!AI48,"缺失")</x:f>
        <x:v>0</x:v>
      </x:c>
      <x:c r="AJ46" s="18" t="n">
        <x:f>IF(ISNUMBER('原始输入与口径'!AL48),'原始输入与口径'!AL48,"缺失")</x:f>
        <x:v>51.525</x:v>
      </x:c>
      <x:c r="AK46" s="18" t="str">
        <x:f>IF(ISNUMBER('原始输入与口径'!O48),'原始输入与口径'!O48,"缺失")</x:f>
        <x:v>缺失</x:v>
      </x:c>
      <x:c r="AL46" s="18" t="n">
        <x:f>SUMIFS('相位SOC复算'!$N$7:$N$443,'相位SOC复算'!$S$7:$S$443,40)</x:f>
        <x:v>0</x:v>
      </x:c>
      <x:c r="AM46" s="18" t="n">
        <x:f>SUMIFS('相位SOC复算'!$Q$7:$Q$443,'相位SOC复算'!$S$7:$S$443,40)</x:f>
        <x:v>0</x:v>
      </x:c>
      <x:c r="AN46" s="18" t="n">
        <x:f>SUMIFS('相位SOC复算'!$R$7:$R$443,'相位SOC复算'!$S$7:$S$443,40)</x:f>
        <x:v>0</x:v>
      </x:c>
      <x:c r="AO46" s="18" t="n">
        <x:f>'相位SOC复算'!J97</x:f>
        <x:v>10</x:v>
      </x:c>
      <x:c r="AP46" s="18" t="n">
        <x:f>AO46-J46</x:f>
        <x:v>0</x:v>
      </x:c>
      <x:c r="AQ46" s="18" t="n">
        <x:f>IF(ISBLANK('原始输入与口径'!M48),"",'原始输入与口径'!M48)</x:f>
        <x:v>4.9741</x:v>
      </x:c>
      <x:c r="AR46" s="21" t="n">
        <x:f>IF(ISBLANK('原始输入与口径'!L48),"",'原始输入与口径'!L48)</x:f>
        <x:v>45657</x:v>
      </x:c>
      <x:c r="AS46" s="17" t="n">
        <x:f>IF(ISBLANK('原始输入与口径'!A48),"",'原始输入与口径'!A48)</x:f>
        <x:v>45658.322916666664</x:v>
      </x:c>
      <x:c r="AT46" s="18" t="str">
        <x:f>IF(ISBLANK('原始输入与口径'!I48),"",'原始输入与口径'!I48)</x:f>
        <x:v>2025-01-01_9</x:v>
      </x:c>
      <x:c r="AU46" s="19" t="n">
        <x:f>IF(ISBLANK('原始输入与口径'!J48),"",'原始输入与口径'!J48)</x:f>
        <x:v>60</x:v>
      </x:c>
      <x:c r="AV46" s="18" t="str">
        <x:f>IF(ISBLANK('原始输入与口径'!BB48),"",'原始输入与口径'!BB48)</x:f>
        <x:v>ALPHA_OUTSIDE_SIMPLEX</x:v>
      </x:c>
    </x:row>
    <x:row r="47" ht="21" customHeight="1">
      <x:c r="A47" s="17" t="n">
        <x:f>45658.416666666664</x:f>
        <x:v>45658.416666666664</x:v>
      </x:c>
      <x:c r="B47" s="23" t="n">
        <x:f>IF(ISNUMBER('原始输入与口径'!H49),'原始输入与口径'!H49,"缺失")</x:f>
        <x:v>41.43</x:v>
      </x:c>
      <x:c r="C47" s="23" t="str">
        <x:f>IF(ISNUMBER('原始输入与口径'!R49),'原始输入与口径'!R49,"缺失")</x:f>
        <x:v>缺失</x:v>
      </x:c>
      <x:c r="D47" s="23" t="n">
        <x:f>IF(ISNUMBER('原始输入与口径'!W49),'原始输入与口径'!W49,"缺失")</x:f>
        <x:v>13.831647936310086</x:v>
      </x:c>
      <x:c r="E47" s="23" t="n">
        <x:f>IF(ISNUMBER('原始输入与口径'!AB49),'原始输入与口径'!AB49,"缺失")</x:f>
        <x:v>14.710198829939085</x:v>
      </x:c>
      <x:c r="F47" s="23" t="n">
        <x:f>IF(ISNUMBER('原始输入与口径'!AG49),'原始输入与口径'!AG49,"缺失")</x:f>
        <x:v>0</x:v>
      </x:c>
      <x:c r="G47" s="23" t="n">
        <x:f>IF(ISNUMBER('原始输入与口径'!AJ49),'原始输入与口径'!AJ49,"缺失")</x:f>
        <x:v>-118.41639693612915</x:v>
      </x:c>
      <x:c r="H47" s="23" t="str">
        <x:f>"未模拟"</x:f>
        <x:v>未模拟</x:v>
      </x:c>
      <x:c r="I47" s="24" t="n">
        <x:f>'原始输入与口径'!BD49</x:f>
        <x:v>10</x:v>
      </x:c>
      <x:c r="J47" s="24" t="n">
        <x:f>'原始输入与口径'!BE49</x:f>
        <x:v>10</x:v>
      </x:c>
      <x:c r="K47" s="24" t="n">
        <x:f>'原始输入与口径'!BF49</x:f>
        <x:v>0</x:v>
      </x:c>
      <x:c r="L47" s="24" t="n">
        <x:f>'原始输入与口径'!BG49</x:f>
        <x:v>0</x:v>
      </x:c>
      <x:c r="M47" s="24" t="n">
        <x:f>'原始输入与口径'!BH49</x:f>
        <x:v>0</x:v>
      </x:c>
      <x:c r="N47" s="24" t="n">
        <x:f>'原始输入与口径'!BI49</x:f>
        <x:v>0</x:v>
      </x:c>
      <x:c r="O47" s="24" t="n">
        <x:f>M47*AE47*AC47</x:f>
        <x:v>0</x:v>
      </x:c>
      <x:c r="P47" s="24" t="n">
        <x:f>N47*AF47*AC47</x:f>
        <x:v>0</x:v>
      </x:c>
      <x:c r="Q47" s="25" t="n">
        <x:f>IF(K47=0,0,IF(ISNUMBER(B47),K47*AC47*B47,NA()))</x:f>
        <x:v>0</x:v>
      </x:c>
      <x:c r="R47" s="25" t="n">
        <x:f>IF(L47=0,0,IF(ISNUMBER(C47),L47*AC47*C47*AD47,NA()))</x:f>
        <x:v>0</x:v>
      </x:c>
      <x:c r="S47" s="25" t="n">
        <x:f>IF(M47=0,0,IF(ISNUMBER(D47),M47*AC47*D47*AD47,NA()))</x:f>
        <x:v>0</x:v>
      </x:c>
      <x:c r="T47" s="25" t="n">
        <x:f>IF(N47=0,0,IF(ISNUMBER(E47),N47*AC47*E47*AD47,NA()))</x:f>
        <x:v>0</x:v>
      </x:c>
      <x:c r="U47" s="25" t="n">
        <x:f>IF(O47=0,0,IF(ISNUMBER(F47),O47*F47,NA()))</x:f>
        <x:v>0</x:v>
      </x:c>
      <x:c r="V47" s="25" t="n">
        <x:f>IF(P47=0,0,IF(ISNUMBER(G47),-P47*G47,NA()))</x:f>
        <x:v>0</x:v>
      </x:c>
      <x:c r="W47" s="25" t="n">
        <x:f>SUM(Q47:V47)</x:f>
        <x:v>0</x:v>
      </x:c>
      <x:c r="X47" s="18" t="n">
        <x:f>'原始输入与口径'!BR49</x:f>
        <x:v>0</x:v>
      </x:c>
      <x:c r="Y47" s="18" t="n">
        <x:f>W47-X47</x:f>
        <x:v>0</x:v>
      </x:c>
      <x:c r="Z47" s="18" t="str">
        <x:f>"1月1日执行｜初始化零订单"</x:f>
        <x:v>1月1日执行｜初始化零订单</x:v>
      </x:c>
      <x:c r="AA47" s="19" t="n">
        <x:f>IF('原始输入与口径'!AW49,1,0)</x:f>
        <x:v>1</x:v>
      </x:c>
      <x:c r="AB47" s="19" t="n">
        <x:f>IF('原始输入与口径'!AY49,1,0)</x:f>
        <x:v>0</x:v>
      </x:c>
      <x:c r="AC47" s="18" t="n">
        <x:f>'原始输入与口径'!E49</x:f>
        <x:v>0.25</x:v>
      </x:c>
      <x:c r="AD47" s="20" t="n">
        <x:f>'原始输入与口径'!$F$5</x:f>
        <x:v>1</x:v>
      </x:c>
      <x:c r="AE47" s="20" t="n">
        <x:f>IF(AA47=0,0,AI47/(AG47*AC47))</x:f>
        <x:v>0</x:v>
      </x:c>
      <x:c r="AF47" s="20" t="n">
        <x:f>IF(AA47=0,0,AJ47/(AH47*AC47))</x:f>
        <x:v>0.57706</x:v>
      </x:c>
      <x:c r="AG47" s="18" t="n">
        <x:f>IF(ISNUMBER('原始输入与口径'!T49),'原始输入与口径'!T49,"缺失")</x:f>
        <x:v>200</x:v>
      </x:c>
      <x:c r="AH47" s="18" t="n">
        <x:f>IF(ISNUMBER('原始输入与口径'!Y49),'原始输入与口径'!Y49,"缺失")</x:f>
        <x:v>200</x:v>
      </x:c>
      <x:c r="AI47" s="18" t="n">
        <x:f>IF(ISNUMBER('原始输入与口径'!AI49),'原始输入与口径'!AI49,"缺失")</x:f>
        <x:v>0</x:v>
      </x:c>
      <x:c r="AJ47" s="18" t="n">
        <x:f>IF(ISNUMBER('原始输入与口径'!AL49),'原始输入与口径'!AL49,"缺失")</x:f>
        <x:v>28.853</x:v>
      </x:c>
      <x:c r="AK47" s="18" t="str">
        <x:f>IF(ISNUMBER('原始输入与口径'!O49),'原始输入与口径'!O49,"缺失")</x:f>
        <x:v>缺失</x:v>
      </x:c>
      <x:c r="AL47" s="18" t="n">
        <x:f>SUMIFS('相位SOC复算'!$N$7:$N$443,'相位SOC复算'!$S$7:$S$443,41)</x:f>
        <x:v>0</x:v>
      </x:c>
      <x:c r="AM47" s="18" t="n">
        <x:f>SUMIFS('相位SOC复算'!$Q$7:$Q$443,'相位SOC复算'!$S$7:$S$443,41)</x:f>
        <x:v>0</x:v>
      </x:c>
      <x:c r="AN47" s="18" t="n">
        <x:f>SUMIFS('相位SOC复算'!$R$7:$R$443,'相位SOC复算'!$S$7:$S$443,41)</x:f>
        <x:v>0</x:v>
      </x:c>
      <x:c r="AO47" s="18" t="n">
        <x:f>'相位SOC复算'!J99</x:f>
        <x:v>10</x:v>
      </x:c>
      <x:c r="AP47" s="18" t="n">
        <x:f>AO47-J47</x:f>
        <x:v>0</x:v>
      </x:c>
      <x:c r="AQ47" s="18" t="n">
        <x:f>IF(ISBLANK('原始输入与口径'!M49),"",'原始输入与口径'!M49)</x:f>
        <x:v>4.9741</x:v>
      </x:c>
      <x:c r="AR47" s="21" t="n">
        <x:f>IF(ISBLANK('原始输入与口径'!L49),"",'原始输入与口径'!L49)</x:f>
        <x:v>45657</x:v>
      </x:c>
      <x:c r="AS47" s="17" t="n">
        <x:f>IF(ISBLANK('原始输入与口径'!A49),"",'原始输入与口径'!A49)</x:f>
        <x:v>45658.333333333336</x:v>
      </x:c>
      <x:c r="AT47" s="18" t="str">
        <x:f>IF(ISBLANK('原始输入与口径'!I49),"",'原始输入与口径'!I49)</x:f>
        <x:v>2025-01-01_10</x:v>
      </x:c>
      <x:c r="AU47" s="19" t="n">
        <x:f>IF(ISBLANK('原始输入与口径'!J49),"",'原始输入与口径'!J49)</x:f>
        <x:v>60</x:v>
      </x:c>
      <x:c r="AV47" s="18" t="str">
        <x:f>IF(ISBLANK('原始输入与口径'!BB49),"",'原始输入与口径'!BB49)</x:f>
        <x:v>OK</x:v>
      </x:c>
    </x:row>
    <x:row r="48" ht="21" customHeight="1">
      <x:c r="A48" s="17" t="n">
        <x:f>45658.427083333336</x:f>
        <x:v>45658.427083333336</x:v>
      </x:c>
      <x:c r="B48" s="23" t="n">
        <x:f>IF(ISNUMBER('原始输入与口径'!H50),'原始输入与口径'!H50,"缺失")</x:f>
        <x:v>41.43</x:v>
      </x:c>
      <x:c r="C48" s="23" t="str">
        <x:f>IF(ISNUMBER('原始输入与口径'!R50),'原始输入与口径'!R50,"缺失")</x:f>
        <x:v>缺失</x:v>
      </x:c>
      <x:c r="D48" s="23" t="n">
        <x:f>IF(ISNUMBER('原始输入与口径'!W50),'原始输入与口径'!W50,"缺失")</x:f>
        <x:v>13.831647936310086</x:v>
      </x:c>
      <x:c r="E48" s="23" t="n">
        <x:f>IF(ISNUMBER('原始输入与口径'!AB50),'原始输入与口径'!AB50,"缺失")</x:f>
        <x:v>14.710198829939085</x:v>
      </x:c>
      <x:c r="F48" s="23" t="n">
        <x:f>IF(ISNUMBER('原始输入与口径'!AG50),'原始输入与口径'!AG50,"缺失")</x:f>
        <x:v>0</x:v>
      </x:c>
      <x:c r="G48" s="23" t="n">
        <x:f>IF(ISNUMBER('原始输入与口径'!AJ50),'原始输入与口径'!AJ50,"缺失")</x:f>
        <x:v>-161.84556000080414</x:v>
      </x:c>
      <x:c r="H48" s="23" t="str">
        <x:f>"未模拟"</x:f>
        <x:v>未模拟</x:v>
      </x:c>
      <x:c r="I48" s="24" t="n">
        <x:f>'原始输入与口径'!BD50</x:f>
        <x:v>10</x:v>
      </x:c>
      <x:c r="J48" s="24" t="n">
        <x:f>'原始输入与口径'!BE50</x:f>
        <x:v>10</x:v>
      </x:c>
      <x:c r="K48" s="24" t="n">
        <x:f>'原始输入与口径'!BF50</x:f>
        <x:v>0</x:v>
      </x:c>
      <x:c r="L48" s="24" t="n">
        <x:f>'原始输入与口径'!BG50</x:f>
        <x:v>0</x:v>
      </x:c>
      <x:c r="M48" s="24" t="n">
        <x:f>'原始输入与口径'!BH50</x:f>
        <x:v>0</x:v>
      </x:c>
      <x:c r="N48" s="24" t="n">
        <x:f>'原始输入与口径'!BI50</x:f>
        <x:v>0</x:v>
      </x:c>
      <x:c r="O48" s="24" t="n">
        <x:f>M48*AE48*AC48</x:f>
        <x:v>0</x:v>
      </x:c>
      <x:c r="P48" s="24" t="n">
        <x:f>N48*AF48*AC48</x:f>
        <x:v>0</x:v>
      </x:c>
      <x:c r="Q48" s="25" t="n">
        <x:f>IF(K48=0,0,IF(ISNUMBER(B48),K48*AC48*B48,NA()))</x:f>
        <x:v>0</x:v>
      </x:c>
      <x:c r="R48" s="25" t="n">
        <x:f>IF(L48=0,0,IF(ISNUMBER(C48),L48*AC48*C48*AD48,NA()))</x:f>
        <x:v>0</x:v>
      </x:c>
      <x:c r="S48" s="25" t="n">
        <x:f>IF(M48=0,0,IF(ISNUMBER(D48),M48*AC48*D48*AD48,NA()))</x:f>
        <x:v>0</x:v>
      </x:c>
      <x:c r="T48" s="25" t="n">
        <x:f>IF(N48=0,0,IF(ISNUMBER(E48),N48*AC48*E48*AD48,NA()))</x:f>
        <x:v>0</x:v>
      </x:c>
      <x:c r="U48" s="25" t="n">
        <x:f>IF(O48=0,0,IF(ISNUMBER(F48),O48*F48,NA()))</x:f>
        <x:v>0</x:v>
      </x:c>
      <x:c r="V48" s="25" t="n">
        <x:f>IF(P48=0,0,IF(ISNUMBER(G48),-P48*G48,NA()))</x:f>
        <x:v>0</x:v>
      </x:c>
      <x:c r="W48" s="25" t="n">
        <x:f>SUM(Q48:V48)</x:f>
        <x:v>0</x:v>
      </x:c>
      <x:c r="X48" s="18" t="n">
        <x:f>'原始输入与口径'!BR50</x:f>
        <x:v>0</x:v>
      </x:c>
      <x:c r="Y48" s="18" t="n">
        <x:f>W48-X48</x:f>
        <x:v>0</x:v>
      </x:c>
      <x:c r="Z48" s="18" t="str">
        <x:f>"1月1日执行｜初始化零订单"</x:f>
        <x:v>1月1日执行｜初始化零订单</x:v>
      </x:c>
      <x:c r="AA48" s="19" t="n">
        <x:f>IF('原始输入与口径'!AW50,1,0)</x:f>
        <x:v>1</x:v>
      </x:c>
      <x:c r="AB48" s="19" t="n">
        <x:f>IF('原始输入与口径'!AY50,1,0)</x:f>
        <x:v>0</x:v>
      </x:c>
      <x:c r="AC48" s="18" t="n">
        <x:f>'原始输入与口径'!E50</x:f>
        <x:v>0.25</x:v>
      </x:c>
      <x:c r="AD48" s="20" t="n">
        <x:f>'原始输入与口径'!$F$5</x:f>
        <x:v>1</x:v>
      </x:c>
      <x:c r="AE48" s="20" t="n">
        <x:f>IF(AA48=0,0,AI48/(AG48*AC48))</x:f>
        <x:v>0</x:v>
      </x:c>
      <x:c r="AF48" s="20" t="n">
        <x:f>IF(AA48=0,0,AJ48/(AH48*AC48))</x:f>
        <x:v>0.58506</x:v>
      </x:c>
      <x:c r="AG48" s="18" t="n">
        <x:f>IF(ISNUMBER('原始输入与口径'!T50),'原始输入与口径'!T50,"缺失")</x:f>
        <x:v>200</x:v>
      </x:c>
      <x:c r="AH48" s="18" t="n">
        <x:f>IF(ISNUMBER('原始输入与口径'!Y50),'原始输入与口径'!Y50,"缺失")</x:f>
        <x:v>200</x:v>
      </x:c>
      <x:c r="AI48" s="18" t="n">
        <x:f>IF(ISNUMBER('原始输入与口径'!AI50),'原始输入与口径'!AI50,"缺失")</x:f>
        <x:v>0</x:v>
      </x:c>
      <x:c r="AJ48" s="18" t="n">
        <x:f>IF(ISNUMBER('原始输入与口径'!AL50),'原始输入与口径'!AL50,"缺失")</x:f>
        <x:v>29.253</x:v>
      </x:c>
      <x:c r="AK48" s="18" t="str">
        <x:f>IF(ISNUMBER('原始输入与口径'!O50),'原始输入与口径'!O50,"缺失")</x:f>
        <x:v>缺失</x:v>
      </x:c>
      <x:c r="AL48" s="18" t="n">
        <x:f>SUMIFS('相位SOC复算'!$N$7:$N$443,'相位SOC复算'!$S$7:$S$443,42)</x:f>
        <x:v>0</x:v>
      </x:c>
      <x:c r="AM48" s="18" t="n">
        <x:f>SUMIFS('相位SOC复算'!$Q$7:$Q$443,'相位SOC复算'!$S$7:$S$443,42)</x:f>
        <x:v>0</x:v>
      </x:c>
      <x:c r="AN48" s="18" t="n">
        <x:f>SUMIFS('相位SOC复算'!$R$7:$R$443,'相位SOC复算'!$S$7:$S$443,42)</x:f>
        <x:v>0</x:v>
      </x:c>
      <x:c r="AO48" s="18" t="n">
        <x:f>'相位SOC复算'!J101</x:f>
        <x:v>10</x:v>
      </x:c>
      <x:c r="AP48" s="18" t="n">
        <x:f>AO48-J48</x:f>
        <x:v>0</x:v>
      </x:c>
      <x:c r="AQ48" s="18" t="n">
        <x:f>IF(ISBLANK('原始输入与口径'!M50),"",'原始输入与口径'!M50)</x:f>
        <x:v>4.9741</x:v>
      </x:c>
      <x:c r="AR48" s="21" t="n">
        <x:f>IF(ISBLANK('原始输入与口径'!L50),"",'原始输入与口径'!L50)</x:f>
        <x:v>45657</x:v>
      </x:c>
      <x:c r="AS48" s="17" t="n">
        <x:f>IF(ISBLANK('原始输入与口径'!A50),"",'原始输入与口径'!A50)</x:f>
        <x:v>45658.34375</x:v>
      </x:c>
      <x:c r="AT48" s="18" t="str">
        <x:f>IF(ISBLANK('原始输入与口径'!I50),"",'原始输入与口径'!I50)</x:f>
        <x:v>2025-01-01_10</x:v>
      </x:c>
      <x:c r="AU48" s="19" t="n">
        <x:f>IF(ISBLANK('原始输入与口径'!J50),"",'原始输入与口径'!J50)</x:f>
        <x:v>60</x:v>
      </x:c>
      <x:c r="AV48" s="18" t="str">
        <x:f>IF(ISBLANK('原始输入与口径'!BB50),"",'原始输入与口径'!BB50)</x:f>
        <x:v>OK</x:v>
      </x:c>
    </x:row>
    <x:row r="49" ht="21" customHeight="1">
      <x:c r="A49" s="17" t="n">
        <x:f>45658.4375</x:f>
        <x:v>45658.4375</x:v>
      </x:c>
      <x:c r="B49" s="23" t="n">
        <x:f>IF(ISNUMBER('原始输入与口径'!H51),'原始输入与口径'!H51,"缺失")</x:f>
        <x:v>41.43</x:v>
      </x:c>
      <x:c r="C49" s="23" t="str">
        <x:f>IF(ISNUMBER('原始输入与口径'!R51),'原始输入与口径'!R51,"缺失")</x:f>
        <x:v>缺失</x:v>
      </x:c>
      <x:c r="D49" s="23" t="n">
        <x:f>IF(ISNUMBER('原始输入与口径'!W51),'原始输入与口径'!W51,"缺失")</x:f>
        <x:v>13.831647936310086</x:v>
      </x:c>
      <x:c r="E49" s="23" t="n">
        <x:f>IF(ISNUMBER('原始输入与口径'!AB51),'原始输入与口径'!AB51,"缺失")</x:f>
        <x:v>14.710198829939085</x:v>
      </x:c>
      <x:c r="F49" s="23" t="n">
        <x:f>IF(ISNUMBER('原始输入与口径'!AG51),'原始输入与口径'!AG51,"缺失")</x:f>
        <x:v>0</x:v>
      </x:c>
      <x:c r="G49" s="23" t="n">
        <x:f>IF(ISNUMBER('原始输入与口径'!AJ51),'原始输入与口径'!AJ51,"缺失")</x:f>
        <x:v>-55.336442773567086</x:v>
      </x:c>
      <x:c r="H49" s="23" t="str">
        <x:f>"未模拟"</x:f>
        <x:v>未模拟</x:v>
      </x:c>
      <x:c r="I49" s="24" t="n">
        <x:f>'原始输入与口径'!BD51</x:f>
        <x:v>10</x:v>
      </x:c>
      <x:c r="J49" s="24" t="n">
        <x:f>'原始输入与口径'!BE51</x:f>
        <x:v>10</x:v>
      </x:c>
      <x:c r="K49" s="24" t="n">
        <x:f>'原始输入与口径'!BF51</x:f>
        <x:v>0</x:v>
      </x:c>
      <x:c r="L49" s="24" t="n">
        <x:f>'原始输入与口径'!BG51</x:f>
        <x:v>0</x:v>
      </x:c>
      <x:c r="M49" s="24" t="n">
        <x:f>'原始输入与口径'!BH51</x:f>
        <x:v>0</x:v>
      </x:c>
      <x:c r="N49" s="24" t="n">
        <x:f>'原始输入与口径'!BI51</x:f>
        <x:v>0</x:v>
      </x:c>
      <x:c r="O49" s="24" t="n">
        <x:f>M49*AE49*AC49</x:f>
        <x:v>0</x:v>
      </x:c>
      <x:c r="P49" s="24" t="n">
        <x:f>N49*AF49*AC49</x:f>
        <x:v>0</x:v>
      </x:c>
      <x:c r="Q49" s="25" t="n">
        <x:f>IF(K49=0,0,IF(ISNUMBER(B49),K49*AC49*B49,NA()))</x:f>
        <x:v>0</x:v>
      </x:c>
      <x:c r="R49" s="25" t="n">
        <x:f>IF(L49=0,0,IF(ISNUMBER(C49),L49*AC49*C49*AD49,NA()))</x:f>
        <x:v>0</x:v>
      </x:c>
      <x:c r="S49" s="25" t="n">
        <x:f>IF(M49=0,0,IF(ISNUMBER(D49),M49*AC49*D49*AD49,NA()))</x:f>
        <x:v>0</x:v>
      </x:c>
      <x:c r="T49" s="25" t="n">
        <x:f>IF(N49=0,0,IF(ISNUMBER(E49),N49*AC49*E49*AD49,NA()))</x:f>
        <x:v>0</x:v>
      </x:c>
      <x:c r="U49" s="25" t="n">
        <x:f>IF(O49=0,0,IF(ISNUMBER(F49),O49*F49,NA()))</x:f>
        <x:v>0</x:v>
      </x:c>
      <x:c r="V49" s="25" t="n">
        <x:f>IF(P49=0,0,IF(ISNUMBER(G49),-P49*G49,NA()))</x:f>
        <x:v>0</x:v>
      </x:c>
      <x:c r="W49" s="25" t="n">
        <x:f>SUM(Q49:V49)</x:f>
        <x:v>0</x:v>
      </x:c>
      <x:c r="X49" s="18" t="n">
        <x:f>'原始输入与口径'!BR51</x:f>
        <x:v>0</x:v>
      </x:c>
      <x:c r="Y49" s="18" t="n">
        <x:f>W49-X49</x:f>
        <x:v>0</x:v>
      </x:c>
      <x:c r="Z49" s="18" t="str">
        <x:f>"1月1日执行｜初始化零订单"</x:f>
        <x:v>1月1日执行｜初始化零订单</x:v>
      </x:c>
      <x:c r="AA49" s="19" t="n">
        <x:f>IF('原始输入与口径'!AW51,1,0)</x:f>
        <x:v>1</x:v>
      </x:c>
      <x:c r="AB49" s="19" t="n">
        <x:f>IF('原始输入与口径'!AY51,1,0)</x:f>
        <x:v>0</x:v>
      </x:c>
      <x:c r="AC49" s="18" t="n">
        <x:f>'原始输入与口径'!E51</x:f>
        <x:v>0.25</x:v>
      </x:c>
      <x:c r="AD49" s="20" t="n">
        <x:f>'原始输入与口径'!$F$5</x:f>
        <x:v>1</x:v>
      </x:c>
      <x:c r="AE49" s="20" t="n">
        <x:f>IF(AA49=0,0,AI49/(AG49*AC49))</x:f>
        <x:v>0</x:v>
      </x:c>
      <x:c r="AF49" s="20" t="n">
        <x:f>IF(AA49=0,0,AJ49/(AH49*AC49))</x:f>
        <x:v>0.63854</x:v>
      </x:c>
      <x:c r="AG49" s="18" t="n">
        <x:f>IF(ISNUMBER('原始输入与口径'!T51),'原始输入与口径'!T51,"缺失")</x:f>
        <x:v>200</x:v>
      </x:c>
      <x:c r="AH49" s="18" t="n">
        <x:f>IF(ISNUMBER('原始输入与口径'!Y51),'原始输入与口径'!Y51,"缺失")</x:f>
        <x:v>200</x:v>
      </x:c>
      <x:c r="AI49" s="18" t="n">
        <x:f>IF(ISNUMBER('原始输入与口径'!AI51),'原始输入与口径'!AI51,"缺失")</x:f>
        <x:v>0</x:v>
      </x:c>
      <x:c r="AJ49" s="18" t="n">
        <x:f>IF(ISNUMBER('原始输入与口径'!AL51),'原始输入与口径'!AL51,"缺失")</x:f>
        <x:v>31.927</x:v>
      </x:c>
      <x:c r="AK49" s="18" t="str">
        <x:f>IF(ISNUMBER('原始输入与口径'!O51),'原始输入与口径'!O51,"缺失")</x:f>
        <x:v>缺失</x:v>
      </x:c>
      <x:c r="AL49" s="18" t="n">
        <x:f>SUMIFS('相位SOC复算'!$N$7:$N$443,'相位SOC复算'!$S$7:$S$443,43)</x:f>
        <x:v>0</x:v>
      </x:c>
      <x:c r="AM49" s="18" t="n">
        <x:f>SUMIFS('相位SOC复算'!$Q$7:$Q$443,'相位SOC复算'!$S$7:$S$443,43)</x:f>
        <x:v>0</x:v>
      </x:c>
      <x:c r="AN49" s="18" t="n">
        <x:f>SUMIFS('相位SOC复算'!$R$7:$R$443,'相位SOC复算'!$S$7:$S$443,43)</x:f>
        <x:v>0</x:v>
      </x:c>
      <x:c r="AO49" s="18" t="n">
        <x:f>'相位SOC复算'!J103</x:f>
        <x:v>10</x:v>
      </x:c>
      <x:c r="AP49" s="18" t="n">
        <x:f>AO49-J49</x:f>
        <x:v>0</x:v>
      </x:c>
      <x:c r="AQ49" s="18" t="n">
        <x:f>IF(ISBLANK('原始输入与口径'!M51),"",'原始输入与口径'!M51)</x:f>
        <x:v>4.9741</x:v>
      </x:c>
      <x:c r="AR49" s="21" t="n">
        <x:f>IF(ISBLANK('原始输入与口径'!L51),"",'原始输入与口径'!L51)</x:f>
        <x:v>45657</x:v>
      </x:c>
      <x:c r="AS49" s="17" t="n">
        <x:f>IF(ISBLANK('原始输入与口径'!A51),"",'原始输入与口径'!A51)</x:f>
        <x:v>45658.354166666664</x:v>
      </x:c>
      <x:c r="AT49" s="18" t="str">
        <x:f>IF(ISBLANK('原始输入与口径'!I51),"",'原始输入与口径'!I51)</x:f>
        <x:v>2025-01-01_10</x:v>
      </x:c>
      <x:c r="AU49" s="19" t="n">
        <x:f>IF(ISBLANK('原始输入与口径'!J51),"",'原始输入与口径'!J51)</x:f>
        <x:v>60</x:v>
      </x:c>
      <x:c r="AV49" s="18" t="str">
        <x:f>IF(ISBLANK('原始输入与口径'!BB51),"",'原始输入与口径'!BB51)</x:f>
        <x:v>OK</x:v>
      </x:c>
    </x:row>
    <x:row r="50" ht="21" customHeight="1">
      <x:c r="A50" s="17" t="n">
        <x:f>45658.447916666664</x:f>
        <x:v>45658.447916666664</x:v>
      </x:c>
      <x:c r="B50" s="23" t="n">
        <x:f>IF(ISNUMBER('原始输入与口径'!H52),'原始输入与口径'!H52,"缺失")</x:f>
        <x:v>41.43</x:v>
      </x:c>
      <x:c r="C50" s="23" t="str">
        <x:f>IF(ISNUMBER('原始输入与口径'!R52),'原始输入与口径'!R52,"缺失")</x:f>
        <x:v>缺失</x:v>
      </x:c>
      <x:c r="D50" s="23" t="n">
        <x:f>IF(ISNUMBER('原始输入与口径'!W52),'原始输入与口径'!W52,"缺失")</x:f>
        <x:v>13.831647936310086</x:v>
      </x:c>
      <x:c r="E50" s="23" t="n">
        <x:f>IF(ISNUMBER('原始输入与口径'!AB52),'原始输入与口径'!AB52,"缺失")</x:f>
        <x:v>14.710198829939085</x:v>
      </x:c>
      <x:c r="F50" s="23" t="n">
        <x:f>IF(ISNUMBER('原始输入与口径'!AG52),'原始输入与口径'!AG52,"缺失")</x:f>
        <x:v>0</x:v>
      </x:c>
      <x:c r="G50" s="23" t="n">
        <x:f>IF(ISNUMBER('原始输入与口径'!AJ52),'原始输入与口径'!AJ52,"缺失")</x:f>
        <x:v>-38.434892744416075</x:v>
      </x:c>
      <x:c r="H50" s="23" t="str">
        <x:f>"未模拟"</x:f>
        <x:v>未模拟</x:v>
      </x:c>
      <x:c r="I50" s="24" t="n">
        <x:f>'原始输入与口径'!BD52</x:f>
        <x:v>10</x:v>
      </x:c>
      <x:c r="J50" s="24" t="n">
        <x:f>'原始输入与口径'!BE52</x:f>
        <x:v>10</x:v>
      </x:c>
      <x:c r="K50" s="24" t="n">
        <x:f>'原始输入与口径'!BF52</x:f>
        <x:v>0</x:v>
      </x:c>
      <x:c r="L50" s="24" t="n">
        <x:f>'原始输入与口径'!BG52</x:f>
        <x:v>0</x:v>
      </x:c>
      <x:c r="M50" s="24" t="n">
        <x:f>'原始输入与口径'!BH52</x:f>
        <x:v>0</x:v>
      </x:c>
      <x:c r="N50" s="24" t="n">
        <x:f>'原始输入与口径'!BI52</x:f>
        <x:v>0</x:v>
      </x:c>
      <x:c r="O50" s="24" t="n">
        <x:f>M50*AE50*AC50</x:f>
        <x:v>0</x:v>
      </x:c>
      <x:c r="P50" s="24" t="n">
        <x:f>N50*AF50*AC50</x:f>
        <x:v>0</x:v>
      </x:c>
      <x:c r="Q50" s="25" t="n">
        <x:f>IF(K50=0,0,IF(ISNUMBER(B50),K50*AC50*B50,NA()))</x:f>
        <x:v>0</x:v>
      </x:c>
      <x:c r="R50" s="25" t="n">
        <x:f>IF(L50=0,0,IF(ISNUMBER(C50),L50*AC50*C50*AD50,NA()))</x:f>
        <x:v>0</x:v>
      </x:c>
      <x:c r="S50" s="25" t="n">
        <x:f>IF(M50=0,0,IF(ISNUMBER(D50),M50*AC50*D50*AD50,NA()))</x:f>
        <x:v>0</x:v>
      </x:c>
      <x:c r="T50" s="25" t="n">
        <x:f>IF(N50=0,0,IF(ISNUMBER(E50),N50*AC50*E50*AD50,NA()))</x:f>
        <x:v>0</x:v>
      </x:c>
      <x:c r="U50" s="25" t="n">
        <x:f>IF(O50=0,0,IF(ISNUMBER(F50),O50*F50,NA()))</x:f>
        <x:v>0</x:v>
      </x:c>
      <x:c r="V50" s="25" t="n">
        <x:f>IF(P50=0,0,IF(ISNUMBER(G50),-P50*G50,NA()))</x:f>
        <x:v>0</x:v>
      </x:c>
      <x:c r="W50" s="25" t="n">
        <x:f>SUM(Q50:V50)</x:f>
        <x:v>0</x:v>
      </x:c>
      <x:c r="X50" s="18" t="n">
        <x:f>'原始输入与口径'!BR52</x:f>
        <x:v>0</x:v>
      </x:c>
      <x:c r="Y50" s="18" t="n">
        <x:f>W50-X50</x:f>
        <x:v>0</x:v>
      </x:c>
      <x:c r="Z50" s="18" t="str">
        <x:f>"1月1日执行｜初始化零订单"</x:f>
        <x:v>1月1日执行｜初始化零订单</x:v>
      </x:c>
      <x:c r="AA50" s="19" t="n">
        <x:f>IF('原始输入与口径'!AW52,1,0)</x:f>
        <x:v>1</x:v>
      </x:c>
      <x:c r="AB50" s="19" t="n">
        <x:f>IF('原始输入与口径'!AY52,1,0)</x:f>
        <x:v>0</x:v>
      </x:c>
      <x:c r="AC50" s="18" t="n">
        <x:f>'原始输入与口径'!E52</x:f>
        <x:v>0.25</x:v>
      </x:c>
      <x:c r="AD50" s="20" t="n">
        <x:f>'原始输入与口径'!$F$5</x:f>
        <x:v>1</x:v>
      </x:c>
      <x:c r="AE50" s="20" t="n">
        <x:f>IF(AA50=0,0,AI50/(AG50*AC50))</x:f>
        <x:v>0</x:v>
      </x:c>
      <x:c r="AF50" s="20" t="n">
        <x:f>IF(AA50=0,0,AJ50/(AH50*AC50))</x:f>
        <x:v>0.6648999999999999</x:v>
      </x:c>
      <x:c r="AG50" s="18" t="n">
        <x:f>IF(ISNUMBER('原始输入与口径'!T52),'原始输入与口径'!T52,"缺失")</x:f>
        <x:v>200</x:v>
      </x:c>
      <x:c r="AH50" s="18" t="n">
        <x:f>IF(ISNUMBER('原始输入与口径'!Y52),'原始输入与口径'!Y52,"缺失")</x:f>
        <x:v>200</x:v>
      </x:c>
      <x:c r="AI50" s="18" t="n">
        <x:f>IF(ISNUMBER('原始输入与口径'!AI52),'原始输入与口径'!AI52,"缺失")</x:f>
        <x:v>0</x:v>
      </x:c>
      <x:c r="AJ50" s="18" t="n">
        <x:f>IF(ISNUMBER('原始输入与口径'!AL52),'原始输入与口径'!AL52,"缺失")</x:f>
        <x:v>33.245</x:v>
      </x:c>
      <x:c r="AK50" s="18" t="str">
        <x:f>IF(ISNUMBER('原始输入与口径'!O52),'原始输入与口径'!O52,"缺失")</x:f>
        <x:v>缺失</x:v>
      </x:c>
      <x:c r="AL50" s="18" t="n">
        <x:f>SUMIFS('相位SOC复算'!$N$7:$N$443,'相位SOC复算'!$S$7:$S$443,44)</x:f>
        <x:v>0</x:v>
      </x:c>
      <x:c r="AM50" s="18" t="n">
        <x:f>SUMIFS('相位SOC复算'!$Q$7:$Q$443,'相位SOC复算'!$S$7:$S$443,44)</x:f>
        <x:v>0</x:v>
      </x:c>
      <x:c r="AN50" s="18" t="n">
        <x:f>SUMIFS('相位SOC复算'!$R$7:$R$443,'相位SOC复算'!$S$7:$S$443,44)</x:f>
        <x:v>0</x:v>
      </x:c>
      <x:c r="AO50" s="18" t="n">
        <x:f>'相位SOC复算'!J105</x:f>
        <x:v>10</x:v>
      </x:c>
      <x:c r="AP50" s="18" t="n">
        <x:f>AO50-J50</x:f>
        <x:v>0</x:v>
      </x:c>
      <x:c r="AQ50" s="18" t="n">
        <x:f>IF(ISBLANK('原始输入与口径'!M52),"",'原始输入与口径'!M52)</x:f>
        <x:v>4.9741</x:v>
      </x:c>
      <x:c r="AR50" s="21" t="n">
        <x:f>IF(ISBLANK('原始输入与口径'!L52),"",'原始输入与口径'!L52)</x:f>
        <x:v>45657</x:v>
      </x:c>
      <x:c r="AS50" s="17" t="n">
        <x:f>IF(ISBLANK('原始输入与口径'!A52),"",'原始输入与口径'!A52)</x:f>
        <x:v>45658.364583333336</x:v>
      </x:c>
      <x:c r="AT50" s="18" t="str">
        <x:f>IF(ISBLANK('原始输入与口径'!I52),"",'原始输入与口径'!I52)</x:f>
        <x:v>2025-01-01_10</x:v>
      </x:c>
      <x:c r="AU50" s="19" t="n">
        <x:f>IF(ISBLANK('原始输入与口径'!J52),"",'原始输入与口径'!J52)</x:f>
        <x:v>60</x:v>
      </x:c>
      <x:c r="AV50" s="18" t="str">
        <x:f>IF(ISBLANK('原始输入与口径'!BB52),"",'原始输入与口径'!BB52)</x:f>
        <x:v>OK</x:v>
      </x:c>
    </x:row>
    <x:row r="51" ht="21" customHeight="1">
      <x:c r="A51" s="17" t="n">
        <x:f>45658.458333333336</x:f>
        <x:v>45658.458333333336</x:v>
      </x:c>
      <x:c r="B51" s="23" t="n">
        <x:f>IF(ISNUMBER('原始输入与口径'!H53),'原始输入与口径'!H53,"缺失")</x:f>
        <x:v>28.98</x:v>
      </x:c>
      <x:c r="C51" s="23" t="str">
        <x:f>IF(ISNUMBER('原始输入与口径'!R53),'原始输入与口径'!R53,"缺失")</x:f>
        <x:v>缺失</x:v>
      </x:c>
      <x:c r="D51" s="23" t="n">
        <x:f>IF(ISNUMBER('原始输入与口径'!W53),'原始输入与口径'!W53,"缺失")</x:f>
        <x:v>13.71102309965622</x:v>
      </x:c>
      <x:c r="E51" s="23" t="n">
        <x:f>IF(ISNUMBER('原始输入与口径'!AB53),'原始输入与口径'!AB53,"缺失")</x:f>
        <x:v>14.710198829939085</x:v>
      </x:c>
      <x:c r="F51" s="23" t="n">
        <x:f>IF(ISNUMBER('原始输入与口径'!AG53),'原始输入与口径'!AG53,"缺失")</x:f>
        <x:v>0</x:v>
      </x:c>
      <x:c r="G51" s="23" t="n">
        <x:f>IF(ISNUMBER('原始输入与口径'!AJ53),'原始输入与口径'!AJ53,"缺失")</x:f>
        <x:v>-0.6421262137874189</x:v>
      </x:c>
      <x:c r="H51" s="23" t="str">
        <x:f>"未模拟"</x:f>
        <x:v>未模拟</x:v>
      </x:c>
      <x:c r="I51" s="24" t="n">
        <x:f>'原始输入与口径'!BD53</x:f>
        <x:v>10</x:v>
      </x:c>
      <x:c r="J51" s="24" t="n">
        <x:f>'原始输入与口径'!BE53</x:f>
        <x:v>10</x:v>
      </x:c>
      <x:c r="K51" s="24" t="n">
        <x:f>'原始输入与口径'!BF53</x:f>
        <x:v>0</x:v>
      </x:c>
      <x:c r="L51" s="24" t="n">
        <x:f>'原始输入与口径'!BG53</x:f>
        <x:v>0</x:v>
      </x:c>
      <x:c r="M51" s="24" t="n">
        <x:f>'原始输入与口径'!BH53</x:f>
        <x:v>0</x:v>
      </x:c>
      <x:c r="N51" s="24" t="n">
        <x:f>'原始输入与口径'!BI53</x:f>
        <x:v>0</x:v>
      </x:c>
      <x:c r="O51" s="24" t="n">
        <x:f>M51*AE51*AC51</x:f>
        <x:v>0</x:v>
      </x:c>
      <x:c r="P51" s="24" t="n">
        <x:f>N51*AF51*AC51</x:f>
        <x:v>0</x:v>
      </x:c>
      <x:c r="Q51" s="25" t="n">
        <x:f>IF(K51=0,0,IF(ISNUMBER(B51),K51*AC51*B51,NA()))</x:f>
        <x:v>0</x:v>
      </x:c>
      <x:c r="R51" s="25" t="n">
        <x:f>IF(L51=0,0,IF(ISNUMBER(C51),L51*AC51*C51*AD51,NA()))</x:f>
        <x:v>0</x:v>
      </x:c>
      <x:c r="S51" s="25" t="n">
        <x:f>IF(M51=0,0,IF(ISNUMBER(D51),M51*AC51*D51*AD51,NA()))</x:f>
        <x:v>0</x:v>
      </x:c>
      <x:c r="T51" s="25" t="n">
        <x:f>IF(N51=0,0,IF(ISNUMBER(E51),N51*AC51*E51*AD51,NA()))</x:f>
        <x:v>0</x:v>
      </x:c>
      <x:c r="U51" s="25" t="n">
        <x:f>IF(O51=0,0,IF(ISNUMBER(F51),O51*F51,NA()))</x:f>
        <x:v>0</x:v>
      </x:c>
      <x:c r="V51" s="25" t="n">
        <x:f>IF(P51=0,0,IF(ISNUMBER(G51),-P51*G51,NA()))</x:f>
        <x:v>0</x:v>
      </x:c>
      <x:c r="W51" s="25" t="n">
        <x:f>SUM(Q51:V51)</x:f>
        <x:v>0</x:v>
      </x:c>
      <x:c r="X51" s="18" t="n">
        <x:f>'原始输入与口径'!BR53</x:f>
        <x:v>0</x:v>
      </x:c>
      <x:c r="Y51" s="18" t="n">
        <x:f>W51-X51</x:f>
        <x:v>0</x:v>
      </x:c>
      <x:c r="Z51" s="18" t="str">
        <x:f>"1月1日执行｜初始化零订单"</x:f>
        <x:v>1月1日执行｜初始化零订单</x:v>
      </x:c>
      <x:c r="AA51" s="19" t="n">
        <x:f>IF('原始输入与口径'!AW53,1,0)</x:f>
        <x:v>1</x:v>
      </x:c>
      <x:c r="AB51" s="19" t="n">
        <x:f>IF('原始输入与口径'!AY53,1,0)</x:f>
        <x:v>0</x:v>
      </x:c>
      <x:c r="AC51" s="18" t="n">
        <x:f>'原始输入与口径'!E53</x:f>
        <x:v>0.25</x:v>
      </x:c>
      <x:c r="AD51" s="20" t="n">
        <x:f>'原始输入与口径'!$F$5</x:f>
        <x:v>1</x:v>
      </x:c>
      <x:c r="AE51" s="20" t="n">
        <x:f>IF(AA51=0,0,AI51/(AG51*AC51))</x:f>
        <x:v>0</x:v>
      </x:c>
      <x:c r="AF51" s="20" t="n">
        <x:f>IF(AA51=0,0,AJ51/(AH51*AC51))</x:f>
        <x:v>0.47892</x:v>
      </x:c>
      <x:c r="AG51" s="18" t="n">
        <x:f>IF(ISNUMBER('原始输入与口径'!T53),'原始输入与口径'!T53,"缺失")</x:f>
        <x:v>200</x:v>
      </x:c>
      <x:c r="AH51" s="18" t="n">
        <x:f>IF(ISNUMBER('原始输入与口径'!Y53),'原始输入与口径'!Y53,"缺失")</x:f>
        <x:v>200</x:v>
      </x:c>
      <x:c r="AI51" s="18" t="n">
        <x:f>IF(ISNUMBER('原始输入与口径'!AI53),'原始输入与口径'!AI53,"缺失")</x:f>
        <x:v>0</x:v>
      </x:c>
      <x:c r="AJ51" s="18" t="n">
        <x:f>IF(ISNUMBER('原始输入与口径'!AL53),'原始输入与口径'!AL53,"缺失")</x:f>
        <x:v>23.946</x:v>
      </x:c>
      <x:c r="AK51" s="18" t="str">
        <x:f>IF(ISNUMBER('原始输入与口径'!O53),'原始输入与口径'!O53,"缺失")</x:f>
        <x:v>缺失</x:v>
      </x:c>
      <x:c r="AL51" s="18" t="n">
        <x:f>SUMIFS('相位SOC复算'!$N$7:$N$443,'相位SOC复算'!$S$7:$S$443,45)</x:f>
        <x:v>0</x:v>
      </x:c>
      <x:c r="AM51" s="18" t="n">
        <x:f>SUMIFS('相位SOC复算'!$Q$7:$Q$443,'相位SOC复算'!$S$7:$S$443,45)</x:f>
        <x:v>0</x:v>
      </x:c>
      <x:c r="AN51" s="18" t="n">
        <x:f>SUMIFS('相位SOC复算'!$R$7:$R$443,'相位SOC复算'!$S$7:$S$443,45)</x:f>
        <x:v>0</x:v>
      </x:c>
      <x:c r="AO51" s="18" t="n">
        <x:f>'相位SOC复算'!J107</x:f>
        <x:v>10</x:v>
      </x:c>
      <x:c r="AP51" s="18" t="n">
        <x:f>AO51-J51</x:f>
        <x:v>0</x:v>
      </x:c>
      <x:c r="AQ51" s="18" t="n">
        <x:f>IF(ISBLANK('原始输入与口径'!M53),"",'原始输入与口径'!M53)</x:f>
        <x:v>4.9741</x:v>
      </x:c>
      <x:c r="AR51" s="21" t="n">
        <x:f>IF(ISBLANK('原始输入与口径'!L53),"",'原始输入与口径'!L53)</x:f>
        <x:v>45657</x:v>
      </x:c>
      <x:c r="AS51" s="17" t="n">
        <x:f>IF(ISBLANK('原始输入与口径'!A53),"",'原始输入与口径'!A53)</x:f>
        <x:v>45658.375</x:v>
      </x:c>
      <x:c r="AT51" s="18" t="str">
        <x:f>IF(ISBLANK('原始输入与口径'!I53),"",'原始输入与口径'!I53)</x:f>
        <x:v>2025-01-01_11</x:v>
      </x:c>
      <x:c r="AU51" s="19" t="n">
        <x:f>IF(ISBLANK('原始输入与口径'!J53),"",'原始输入与口径'!J53)</x:f>
        <x:v>60</x:v>
      </x:c>
      <x:c r="AV51" s="18" t="str">
        <x:f>IF(ISBLANK('原始输入与口径'!BB53),"",'原始输入与口径'!BB53)</x:f>
        <x:v>OK</x:v>
      </x:c>
    </x:row>
    <x:row r="52" ht="21" customHeight="1">
      <x:c r="A52" s="17" t="n">
        <x:f>45658.46875</x:f>
        <x:v>45658.46875</x:v>
      </x:c>
      <x:c r="B52" s="23" t="n">
        <x:f>IF(ISNUMBER('原始输入与口径'!H54),'原始输入与口径'!H54,"缺失")</x:f>
        <x:v>28.98</x:v>
      </x:c>
      <x:c r="C52" s="23" t="str">
        <x:f>IF(ISNUMBER('原始输入与口径'!R54),'原始输入与口径'!R54,"缺失")</x:f>
        <x:v>缺失</x:v>
      </x:c>
      <x:c r="D52" s="23" t="n">
        <x:f>IF(ISNUMBER('原始输入与口径'!W54),'原始输入与口径'!W54,"缺失")</x:f>
        <x:v>13.71102309965622</x:v>
      </x:c>
      <x:c r="E52" s="23" t="n">
        <x:f>IF(ISNUMBER('原始输入与口径'!AB54),'原始输入与口径'!AB54,"缺失")</x:f>
        <x:v>14.710198829939085</x:v>
      </x:c>
      <x:c r="F52" s="23" t="n">
        <x:f>IF(ISNUMBER('原始输入与口径'!AG54),'原始输入与口径'!AG54,"缺失")</x:f>
        <x:v>0</x:v>
      </x:c>
      <x:c r="G52" s="23" t="n">
        <x:f>IF(ISNUMBER('原始输入与口径'!AJ54),'原始输入与口径'!AJ54,"缺失")</x:f>
        <x:v>5.266681409702257</x:v>
      </x:c>
      <x:c r="H52" s="23" t="str">
        <x:f>"未模拟"</x:f>
        <x:v>未模拟</x:v>
      </x:c>
      <x:c r="I52" s="24" t="n">
        <x:f>'原始输入与口径'!BD54</x:f>
        <x:v>10</x:v>
      </x:c>
      <x:c r="J52" s="24" t="n">
        <x:f>'原始输入与口径'!BE54</x:f>
        <x:v>10</x:v>
      </x:c>
      <x:c r="K52" s="24" t="n">
        <x:f>'原始输入与口径'!BF54</x:f>
        <x:v>0</x:v>
      </x:c>
      <x:c r="L52" s="24" t="n">
        <x:f>'原始输入与口径'!BG54</x:f>
        <x:v>0</x:v>
      </x:c>
      <x:c r="M52" s="24" t="n">
        <x:f>'原始输入与口径'!BH54</x:f>
        <x:v>0</x:v>
      </x:c>
      <x:c r="N52" s="24" t="n">
        <x:f>'原始输入与口径'!BI54</x:f>
        <x:v>0</x:v>
      </x:c>
      <x:c r="O52" s="24" t="n">
        <x:f>M52*AE52*AC52</x:f>
        <x:v>0</x:v>
      </x:c>
      <x:c r="P52" s="24" t="n">
        <x:f>N52*AF52*AC52</x:f>
        <x:v>0</x:v>
      </x:c>
      <x:c r="Q52" s="25" t="n">
        <x:f>IF(K52=0,0,IF(ISNUMBER(B52),K52*AC52*B52,NA()))</x:f>
        <x:v>0</x:v>
      </x:c>
      <x:c r="R52" s="25" t="n">
        <x:f>IF(L52=0,0,IF(ISNUMBER(C52),L52*AC52*C52*AD52,NA()))</x:f>
        <x:v>0</x:v>
      </x:c>
      <x:c r="S52" s="25" t="n">
        <x:f>IF(M52=0,0,IF(ISNUMBER(D52),M52*AC52*D52*AD52,NA()))</x:f>
        <x:v>0</x:v>
      </x:c>
      <x:c r="T52" s="25" t="n">
        <x:f>IF(N52=0,0,IF(ISNUMBER(E52),N52*AC52*E52*AD52,NA()))</x:f>
        <x:v>0</x:v>
      </x:c>
      <x:c r="U52" s="25" t="n">
        <x:f>IF(O52=0,0,IF(ISNUMBER(F52),O52*F52,NA()))</x:f>
        <x:v>0</x:v>
      </x:c>
      <x:c r="V52" s="25" t="n">
        <x:f>IF(P52=0,0,IF(ISNUMBER(G52),-P52*G52,NA()))</x:f>
        <x:v>0</x:v>
      </x:c>
      <x:c r="W52" s="25" t="n">
        <x:f>SUM(Q52:V52)</x:f>
        <x:v>0</x:v>
      </x:c>
      <x:c r="X52" s="18" t="n">
        <x:f>'原始输入与口径'!BR54</x:f>
        <x:v>0</x:v>
      </x:c>
      <x:c r="Y52" s="18" t="n">
        <x:f>W52-X52</x:f>
        <x:v>0</x:v>
      </x:c>
      <x:c r="Z52" s="18" t="str">
        <x:f>"1月1日执行｜初始化零订单"</x:f>
        <x:v>1月1日执行｜初始化零订单</x:v>
      </x:c>
      <x:c r="AA52" s="19" t="n">
        <x:f>IF('原始输入与口径'!AW54,1,0)</x:f>
        <x:v>1</x:v>
      </x:c>
      <x:c r="AB52" s="19" t="n">
        <x:f>IF('原始输入与口径'!AY54,1,0)</x:f>
        <x:v>0</x:v>
      </x:c>
      <x:c r="AC52" s="18" t="n">
        <x:f>'原始输入与口径'!E54</x:f>
        <x:v>0.25</x:v>
      </x:c>
      <x:c r="AD52" s="20" t="n">
        <x:f>'原始输入与口径'!$F$5</x:f>
        <x:v>1</x:v>
      </x:c>
      <x:c r="AE52" s="20" t="n">
        <x:f>IF(AA52=0,0,AI52/(AG52*AC52))</x:f>
        <x:v>0</x:v>
      </x:c>
      <x:c r="AF52" s="20" t="n">
        <x:f>IF(AA52=0,0,AJ52/(AH52*AC52))</x:f>
        <x:v>0.33537999999999996</x:v>
      </x:c>
      <x:c r="AG52" s="18" t="n">
        <x:f>IF(ISNUMBER('原始输入与口径'!T54),'原始输入与口径'!T54,"缺失")</x:f>
        <x:v>200</x:v>
      </x:c>
      <x:c r="AH52" s="18" t="n">
        <x:f>IF(ISNUMBER('原始输入与口径'!Y54),'原始输入与口径'!Y54,"缺失")</x:f>
        <x:v>200</x:v>
      </x:c>
      <x:c r="AI52" s="18" t="n">
        <x:f>IF(ISNUMBER('原始输入与口径'!AI54),'原始输入与口径'!AI54,"缺失")</x:f>
        <x:v>0</x:v>
      </x:c>
      <x:c r="AJ52" s="18" t="n">
        <x:f>IF(ISNUMBER('原始输入与口径'!AL54),'原始输入与口径'!AL54,"缺失")</x:f>
        <x:v>16.769</x:v>
      </x:c>
      <x:c r="AK52" s="18" t="str">
        <x:f>IF(ISNUMBER('原始输入与口径'!O54),'原始输入与口径'!O54,"缺失")</x:f>
        <x:v>缺失</x:v>
      </x:c>
      <x:c r="AL52" s="18" t="n">
        <x:f>SUMIFS('相位SOC复算'!$N$7:$N$443,'相位SOC复算'!$S$7:$S$443,46)</x:f>
        <x:v>0</x:v>
      </x:c>
      <x:c r="AM52" s="18" t="n">
        <x:f>SUMIFS('相位SOC复算'!$Q$7:$Q$443,'相位SOC复算'!$S$7:$S$443,46)</x:f>
        <x:v>0</x:v>
      </x:c>
      <x:c r="AN52" s="18" t="n">
        <x:f>SUMIFS('相位SOC复算'!$R$7:$R$443,'相位SOC复算'!$S$7:$S$443,46)</x:f>
        <x:v>0</x:v>
      </x:c>
      <x:c r="AO52" s="18" t="n">
        <x:f>'相位SOC复算'!J109</x:f>
        <x:v>10</x:v>
      </x:c>
      <x:c r="AP52" s="18" t="n">
        <x:f>AO52-J52</x:f>
        <x:v>0</x:v>
      </x:c>
      <x:c r="AQ52" s="18" t="n">
        <x:f>IF(ISBLANK('原始输入与口径'!M54),"",'原始输入与口径'!M54)</x:f>
        <x:v>4.9741</x:v>
      </x:c>
      <x:c r="AR52" s="21" t="n">
        <x:f>IF(ISBLANK('原始输入与口径'!L54),"",'原始输入与口径'!L54)</x:f>
        <x:v>45657</x:v>
      </x:c>
      <x:c r="AS52" s="17" t="n">
        <x:f>IF(ISBLANK('原始输入与口径'!A54),"",'原始输入与口径'!A54)</x:f>
        <x:v>45658.385416666664</x:v>
      </x:c>
      <x:c r="AT52" s="18" t="str">
        <x:f>IF(ISBLANK('原始输入与口径'!I54),"",'原始输入与口径'!I54)</x:f>
        <x:v>2025-01-01_11</x:v>
      </x:c>
      <x:c r="AU52" s="19" t="n">
        <x:f>IF(ISBLANK('原始输入与口径'!J54),"",'原始输入与口径'!J54)</x:f>
        <x:v>60</x:v>
      </x:c>
      <x:c r="AV52" s="18" t="str">
        <x:f>IF(ISBLANK('原始输入与口径'!BB54),"",'原始输入与口径'!BB54)</x:f>
        <x:v>OK</x:v>
      </x:c>
    </x:row>
    <x:row r="53" ht="21" customHeight="1">
      <x:c r="A53" s="17" t="n">
        <x:f>45658.479166666664</x:f>
        <x:v>45658.479166666664</x:v>
      </x:c>
      <x:c r="B53" s="23" t="n">
        <x:f>IF(ISNUMBER('原始输入与口径'!H55),'原始输入与口径'!H55,"缺失")</x:f>
        <x:v>28.98</x:v>
      </x:c>
      <x:c r="C53" s="23" t="str">
        <x:f>IF(ISNUMBER('原始输入与口径'!R55),'原始输入与口径'!R55,"缺失")</x:f>
        <x:v>缺失</x:v>
      </x:c>
      <x:c r="D53" s="23" t="n">
        <x:f>IF(ISNUMBER('原始输入与口径'!W55),'原始输入与口径'!W55,"缺失")</x:f>
        <x:v>13.71102309965622</x:v>
      </x:c>
      <x:c r="E53" s="23" t="n">
        <x:f>IF(ISNUMBER('原始输入与口径'!AB55),'原始输入与口径'!AB55,"缺失")</x:f>
        <x:v>14.710198829939085</x:v>
      </x:c>
      <x:c r="F53" s="23" t="n">
        <x:f>IF(ISNUMBER('原始输入与口径'!AG55),'原始输入与口径'!AG55,"缺失")</x:f>
        <x:v>0</x:v>
      </x:c>
      <x:c r="G53" s="23" t="n">
        <x:f>IF(ISNUMBER('原始输入与口径'!AJ55),'原始输入与口径'!AJ55,"缺失")</x:f>
        <x:v>19.65762650529744</x:v>
      </x:c>
      <x:c r="H53" s="23" t="str">
        <x:f>"未模拟"</x:f>
        <x:v>未模拟</x:v>
      </x:c>
      <x:c r="I53" s="24" t="n">
        <x:f>'原始输入与口径'!BD55</x:f>
        <x:v>10</x:v>
      </x:c>
      <x:c r="J53" s="24" t="n">
        <x:f>'原始输入与口径'!BE55</x:f>
        <x:v>10</x:v>
      </x:c>
      <x:c r="K53" s="24" t="n">
        <x:f>'原始输入与口径'!BF55</x:f>
        <x:v>0</x:v>
      </x:c>
      <x:c r="L53" s="24" t="n">
        <x:f>'原始输入与口径'!BG55</x:f>
        <x:v>0</x:v>
      </x:c>
      <x:c r="M53" s="24" t="n">
        <x:f>'原始输入与口径'!BH55</x:f>
        <x:v>0</x:v>
      </x:c>
      <x:c r="N53" s="24" t="n">
        <x:f>'原始输入与口径'!BI55</x:f>
        <x:v>0</x:v>
      </x:c>
      <x:c r="O53" s="24" t="n">
        <x:f>M53*AE53*AC53</x:f>
        <x:v>0</x:v>
      </x:c>
      <x:c r="P53" s="24" t="n">
        <x:f>N53*AF53*AC53</x:f>
        <x:v>0</x:v>
      </x:c>
      <x:c r="Q53" s="25" t="n">
        <x:f>IF(K53=0,0,IF(ISNUMBER(B53),K53*AC53*B53,NA()))</x:f>
        <x:v>0</x:v>
      </x:c>
      <x:c r="R53" s="25" t="n">
        <x:f>IF(L53=0,0,IF(ISNUMBER(C53),L53*AC53*C53*AD53,NA()))</x:f>
        <x:v>0</x:v>
      </x:c>
      <x:c r="S53" s="25" t="n">
        <x:f>IF(M53=0,0,IF(ISNUMBER(D53),M53*AC53*D53*AD53,NA()))</x:f>
        <x:v>0</x:v>
      </x:c>
      <x:c r="T53" s="25" t="n">
        <x:f>IF(N53=0,0,IF(ISNUMBER(E53),N53*AC53*E53*AD53,NA()))</x:f>
        <x:v>0</x:v>
      </x:c>
      <x:c r="U53" s="25" t="n">
        <x:f>IF(O53=0,0,IF(ISNUMBER(F53),O53*F53,NA()))</x:f>
        <x:v>0</x:v>
      </x:c>
      <x:c r="V53" s="25" t="n">
        <x:f>IF(P53=0,0,IF(ISNUMBER(G53),-P53*G53,NA()))</x:f>
        <x:v>0</x:v>
      </x:c>
      <x:c r="W53" s="25" t="n">
        <x:f>SUM(Q53:V53)</x:f>
        <x:v>0</x:v>
      </x:c>
      <x:c r="X53" s="18" t="n">
        <x:f>'原始输入与口径'!BR55</x:f>
        <x:v>0</x:v>
      </x:c>
      <x:c r="Y53" s="18" t="n">
        <x:f>W53-X53</x:f>
        <x:v>0</x:v>
      </x:c>
      <x:c r="Z53" s="18" t="str">
        <x:f>"1月1日执行｜初始化零订单"</x:f>
        <x:v>1月1日执行｜初始化零订单</x:v>
      </x:c>
      <x:c r="AA53" s="19" t="n">
        <x:f>IF('原始输入与口径'!AW55,1,0)</x:f>
        <x:v>1</x:v>
      </x:c>
      <x:c r="AB53" s="19" t="n">
        <x:f>IF('原始输入与口径'!AY55,1,0)</x:f>
        <x:v>0</x:v>
      </x:c>
      <x:c r="AC53" s="18" t="n">
        <x:f>'原始输入与口径'!E55</x:f>
        <x:v>0.25</x:v>
      </x:c>
      <x:c r="AD53" s="20" t="n">
        <x:f>'原始输入与口径'!$F$5</x:f>
        <x:v>1</x:v>
      </x:c>
      <x:c r="AE53" s="20" t="n">
        <x:f>IF(AA53=0,0,AI53/(AG53*AC53))</x:f>
        <x:v>0</x:v>
      </x:c>
      <x:c r="AF53" s="20" t="n">
        <x:f>IF(AA53=0,0,AJ53/(AH53*AC53))</x:f>
        <x:v>0.13448000000000002</x:v>
      </x:c>
      <x:c r="AG53" s="18" t="n">
        <x:f>IF(ISNUMBER('原始输入与口径'!T55),'原始输入与口径'!T55,"缺失")</x:f>
        <x:v>200</x:v>
      </x:c>
      <x:c r="AH53" s="18" t="n">
        <x:f>IF(ISNUMBER('原始输入与口径'!Y55),'原始输入与口径'!Y55,"缺失")</x:f>
        <x:v>200</x:v>
      </x:c>
      <x:c r="AI53" s="18" t="n">
        <x:f>IF(ISNUMBER('原始输入与口径'!AI55),'原始输入与口径'!AI55,"缺失")</x:f>
        <x:v>0</x:v>
      </x:c>
      <x:c r="AJ53" s="18" t="n">
        <x:f>IF(ISNUMBER('原始输入与口径'!AL55),'原始输入与口径'!AL55,"缺失")</x:f>
        <x:v>6.724</x:v>
      </x:c>
      <x:c r="AK53" s="18" t="str">
        <x:f>IF(ISNUMBER('原始输入与口径'!O55),'原始输入与口径'!O55,"缺失")</x:f>
        <x:v>缺失</x:v>
      </x:c>
      <x:c r="AL53" s="18" t="n">
        <x:f>SUMIFS('相位SOC复算'!$N$7:$N$443,'相位SOC复算'!$S$7:$S$443,47)</x:f>
        <x:v>0</x:v>
      </x:c>
      <x:c r="AM53" s="18" t="n">
        <x:f>SUMIFS('相位SOC复算'!$Q$7:$Q$443,'相位SOC复算'!$S$7:$S$443,47)</x:f>
        <x:v>0</x:v>
      </x:c>
      <x:c r="AN53" s="18" t="n">
        <x:f>SUMIFS('相位SOC复算'!$R$7:$R$443,'相位SOC复算'!$S$7:$S$443,47)</x:f>
        <x:v>0</x:v>
      </x:c>
      <x:c r="AO53" s="18" t="n">
        <x:f>'相位SOC复算'!J111</x:f>
        <x:v>10</x:v>
      </x:c>
      <x:c r="AP53" s="18" t="n">
        <x:f>AO53-J53</x:f>
        <x:v>0</x:v>
      </x:c>
      <x:c r="AQ53" s="18" t="n">
        <x:f>IF(ISBLANK('原始输入与口径'!M55),"",'原始输入与口径'!M55)</x:f>
        <x:v>4.9741</x:v>
      </x:c>
      <x:c r="AR53" s="21" t="n">
        <x:f>IF(ISBLANK('原始输入与口径'!L55),"",'原始输入与口径'!L55)</x:f>
        <x:v>45657</x:v>
      </x:c>
      <x:c r="AS53" s="17" t="n">
        <x:f>IF(ISBLANK('原始输入与口径'!A55),"",'原始输入与口径'!A55)</x:f>
        <x:v>45658.395833333336</x:v>
      </x:c>
      <x:c r="AT53" s="18" t="str">
        <x:f>IF(ISBLANK('原始输入与口径'!I55),"",'原始输入与口径'!I55)</x:f>
        <x:v>2025-01-01_11</x:v>
      </x:c>
      <x:c r="AU53" s="19" t="n">
        <x:f>IF(ISBLANK('原始输入与口径'!J55),"",'原始输入与口径'!J55)</x:f>
        <x:v>60</x:v>
      </x:c>
      <x:c r="AV53" s="18" t="str">
        <x:f>IF(ISBLANK('原始输入与口径'!BB55),"",'原始输入与口径'!BB55)</x:f>
        <x:v>OK</x:v>
      </x:c>
    </x:row>
    <x:row r="54" ht="21" customHeight="1">
      <x:c r="A54" s="17" t="n">
        <x:f>45658.489583333336</x:f>
        <x:v>45658.489583333336</x:v>
      </x:c>
      <x:c r="B54" s="23" t="n">
        <x:f>IF(ISNUMBER('原始输入与口径'!H56),'原始输入与口径'!H56,"缺失")</x:f>
        <x:v>28.98</x:v>
      </x:c>
      <x:c r="C54" s="23" t="str">
        <x:f>IF(ISNUMBER('原始输入与口径'!R56),'原始输入与口径'!R56,"缺失")</x:f>
        <x:v>缺失</x:v>
      </x:c>
      <x:c r="D54" s="23" t="n">
        <x:f>IF(ISNUMBER('原始输入与口径'!W56),'原始输入与口径'!W56,"缺失")</x:f>
        <x:v>13.71102309965622</x:v>
      </x:c>
      <x:c r="E54" s="23" t="n">
        <x:f>IF(ISNUMBER('原始输入与口径'!AB56),'原始输入与口径'!AB56,"缺失")</x:f>
        <x:v>14.710198829939085</x:v>
      </x:c>
      <x:c r="F54" s="23" t="n">
        <x:f>IF(ISNUMBER('原始输入与口径'!AG56),'原始输入与口径'!AG56,"缺失")</x:f>
        <x:v>0</x:v>
      </x:c>
      <x:c r="G54" s="23" t="n">
        <x:f>IF(ISNUMBER('原始输入与口径'!AJ56),'原始输入与口径'!AJ56,"缺失")</x:f>
        <x:v>19.35727066202931</x:v>
      </x:c>
      <x:c r="H54" s="23" t="str">
        <x:f>"未模拟"</x:f>
        <x:v>未模拟</x:v>
      </x:c>
      <x:c r="I54" s="24" t="n">
        <x:f>'原始输入与口径'!BD56</x:f>
        <x:v>10</x:v>
      </x:c>
      <x:c r="J54" s="24" t="n">
        <x:f>'原始输入与口径'!BE56</x:f>
        <x:v>10</x:v>
      </x:c>
      <x:c r="K54" s="24" t="n">
        <x:f>'原始输入与口径'!BF56</x:f>
        <x:v>0</x:v>
      </x:c>
      <x:c r="L54" s="24" t="n">
        <x:f>'原始输入与口径'!BG56</x:f>
        <x:v>0</x:v>
      </x:c>
      <x:c r="M54" s="24" t="n">
        <x:f>'原始输入与口径'!BH56</x:f>
        <x:v>0</x:v>
      </x:c>
      <x:c r="N54" s="24" t="n">
        <x:f>'原始输入与口径'!BI56</x:f>
        <x:v>0</x:v>
      </x:c>
      <x:c r="O54" s="24" t="n">
        <x:f>M54*AE54*AC54</x:f>
        <x:v>0</x:v>
      </x:c>
      <x:c r="P54" s="24" t="n">
        <x:f>N54*AF54*AC54</x:f>
        <x:v>0</x:v>
      </x:c>
      <x:c r="Q54" s="25" t="n">
        <x:f>IF(K54=0,0,IF(ISNUMBER(B54),K54*AC54*B54,NA()))</x:f>
        <x:v>0</x:v>
      </x:c>
      <x:c r="R54" s="25" t="n">
        <x:f>IF(L54=0,0,IF(ISNUMBER(C54),L54*AC54*C54*AD54,NA()))</x:f>
        <x:v>0</x:v>
      </x:c>
      <x:c r="S54" s="25" t="n">
        <x:f>IF(M54=0,0,IF(ISNUMBER(D54),M54*AC54*D54*AD54,NA()))</x:f>
        <x:v>0</x:v>
      </x:c>
      <x:c r="T54" s="25" t="n">
        <x:f>IF(N54=0,0,IF(ISNUMBER(E54),N54*AC54*E54*AD54,NA()))</x:f>
        <x:v>0</x:v>
      </x:c>
      <x:c r="U54" s="25" t="n">
        <x:f>IF(O54=0,0,IF(ISNUMBER(F54),O54*F54,NA()))</x:f>
        <x:v>0</x:v>
      </x:c>
      <x:c r="V54" s="25" t="n">
        <x:f>IF(P54=0,0,IF(ISNUMBER(G54),-P54*G54,NA()))</x:f>
        <x:v>0</x:v>
      </x:c>
      <x:c r="W54" s="25" t="n">
        <x:f>SUM(Q54:V54)</x:f>
        <x:v>0</x:v>
      </x:c>
      <x:c r="X54" s="18" t="n">
        <x:f>'原始输入与口径'!BR56</x:f>
        <x:v>0</x:v>
      </x:c>
      <x:c r="Y54" s="18" t="n">
        <x:f>W54-X54</x:f>
        <x:v>0</x:v>
      </x:c>
      <x:c r="Z54" s="18" t="str">
        <x:f>"1月1日执行｜初始化零订单"</x:f>
        <x:v>1月1日执行｜初始化零订单</x:v>
      </x:c>
      <x:c r="AA54" s="19" t="n">
        <x:f>IF('原始输入与口径'!AW56,1,0)</x:f>
        <x:v>1</x:v>
      </x:c>
      <x:c r="AB54" s="19" t="n">
        <x:f>IF('原始输入与口径'!AY56,1,0)</x:f>
        <x:v>0</x:v>
      </x:c>
      <x:c r="AC54" s="18" t="n">
        <x:f>'原始输入与口径'!E56</x:f>
        <x:v>0.25</x:v>
      </x:c>
      <x:c r="AD54" s="20" t="n">
        <x:f>'原始输入与口径'!$F$5</x:f>
        <x:v>1</x:v>
      </x:c>
      <x:c r="AE54" s="20" t="n">
        <x:f>IF(AA54=0,0,AI54/(AG54*AC54))</x:f>
        <x:v>0</x:v>
      </x:c>
      <x:c r="AF54" s="20" t="n">
        <x:f>IF(AA54=0,0,AJ54/(AH54*AC54))</x:f>
        <x:v>0.22782</x:v>
      </x:c>
      <x:c r="AG54" s="18" t="n">
        <x:f>IF(ISNUMBER('原始输入与口径'!T56),'原始输入与口径'!T56,"缺失")</x:f>
        <x:v>200</x:v>
      </x:c>
      <x:c r="AH54" s="18" t="n">
        <x:f>IF(ISNUMBER('原始输入与口径'!Y56),'原始输入与口径'!Y56,"缺失")</x:f>
        <x:v>200</x:v>
      </x:c>
      <x:c r="AI54" s="18" t="n">
        <x:f>IF(ISNUMBER('原始输入与口径'!AI56),'原始输入与口径'!AI56,"缺失")</x:f>
        <x:v>0</x:v>
      </x:c>
      <x:c r="AJ54" s="18" t="n">
        <x:f>IF(ISNUMBER('原始输入与口径'!AL56),'原始输入与口径'!AL56,"缺失")</x:f>
        <x:v>11.391</x:v>
      </x:c>
      <x:c r="AK54" s="18" t="str">
        <x:f>IF(ISNUMBER('原始输入与口径'!O56),'原始输入与口径'!O56,"缺失")</x:f>
        <x:v>缺失</x:v>
      </x:c>
      <x:c r="AL54" s="18" t="n">
        <x:f>SUMIFS('相位SOC复算'!$N$7:$N$443,'相位SOC复算'!$S$7:$S$443,48)</x:f>
        <x:v>0</x:v>
      </x:c>
      <x:c r="AM54" s="18" t="n">
        <x:f>SUMIFS('相位SOC复算'!$Q$7:$Q$443,'相位SOC复算'!$S$7:$S$443,48)</x:f>
        <x:v>0</x:v>
      </x:c>
      <x:c r="AN54" s="18" t="n">
        <x:f>SUMIFS('相位SOC复算'!$R$7:$R$443,'相位SOC复算'!$S$7:$S$443,48)</x:f>
        <x:v>0</x:v>
      </x:c>
      <x:c r="AO54" s="18" t="n">
        <x:f>'相位SOC复算'!J113</x:f>
        <x:v>10</x:v>
      </x:c>
      <x:c r="AP54" s="18" t="n">
        <x:f>AO54-J54</x:f>
        <x:v>0</x:v>
      </x:c>
      <x:c r="AQ54" s="18" t="n">
        <x:f>IF(ISBLANK('原始输入与口径'!M56),"",'原始输入与口径'!M56)</x:f>
        <x:v>4.9741</x:v>
      </x:c>
      <x:c r="AR54" s="21" t="n">
        <x:f>IF(ISBLANK('原始输入与口径'!L56),"",'原始输入与口径'!L56)</x:f>
        <x:v>45657</x:v>
      </x:c>
      <x:c r="AS54" s="17" t="n">
        <x:f>IF(ISBLANK('原始输入与口径'!A56),"",'原始输入与口径'!A56)</x:f>
        <x:v>45658.40625</x:v>
      </x:c>
      <x:c r="AT54" s="18" t="str">
        <x:f>IF(ISBLANK('原始输入与口径'!I56),"",'原始输入与口径'!I56)</x:f>
        <x:v>2025-01-01_11</x:v>
      </x:c>
      <x:c r="AU54" s="19" t="n">
        <x:f>IF(ISBLANK('原始输入与口径'!J56),"",'原始输入与口径'!J56)</x:f>
        <x:v>60</x:v>
      </x:c>
      <x:c r="AV54" s="18" t="str">
        <x:f>IF(ISBLANK('原始输入与口径'!BB56),"",'原始输入与口径'!BB56)</x:f>
        <x:v>OK</x:v>
      </x:c>
    </x:row>
    <x:row r="55" ht="21" customHeight="1">
      <x:c r="A55" s="17" t="n">
        <x:f>45658.5</x:f>
        <x:v>45658.5</x:v>
      </x:c>
      <x:c r="B55" s="23" t="n">
        <x:f>IF(ISNUMBER('原始输入与口径'!H57),'原始输入与口径'!H57,"缺失")</x:f>
        <x:v>32.8</x:v>
      </x:c>
      <x:c r="C55" s="23" t="str">
        <x:f>IF(ISNUMBER('原始输入与口径'!R57),'原始输入与口径'!R57,"缺失")</x:f>
        <x:v>缺失</x:v>
      </x:c>
      <x:c r="D55" s="23" t="n">
        <x:f>IF(ISNUMBER('原始输入与口径'!W57),'原始输入与口径'!W57,"缺失")</x:f>
        <x:v>13.71102309965622</x:v>
      </x:c>
      <x:c r="E55" s="23" t="n">
        <x:f>IF(ISNUMBER('原始输入与口径'!AB57),'原始输入与口径'!AB57,"缺失")</x:f>
        <x:v>14.710198829939085</x:v>
      </x:c>
      <x:c r="F55" s="23" t="n">
        <x:f>IF(ISNUMBER('原始输入与口径'!AG57),'原始输入与口径'!AG57,"缺失")</x:f>
        <x:v>0</x:v>
      </x:c>
      <x:c r="G55" s="23" t="n">
        <x:f>IF(ISNUMBER('原始输入与口径'!AJ57),'原始输入与口径'!AJ57,"缺失")</x:f>
        <x:v>22.863834663557228</x:v>
      </x:c>
      <x:c r="H55" s="23" t="str">
        <x:f>"未模拟"</x:f>
        <x:v>未模拟</x:v>
      </x:c>
      <x:c r="I55" s="24" t="n">
        <x:f>'原始输入与口径'!BD57</x:f>
        <x:v>10</x:v>
      </x:c>
      <x:c r="J55" s="24" t="n">
        <x:f>'原始输入与口径'!BE57</x:f>
        <x:v>10</x:v>
      </x:c>
      <x:c r="K55" s="24" t="n">
        <x:f>'原始输入与口径'!BF57</x:f>
        <x:v>0</x:v>
      </x:c>
      <x:c r="L55" s="24" t="n">
        <x:f>'原始输入与口径'!BG57</x:f>
        <x:v>0</x:v>
      </x:c>
      <x:c r="M55" s="24" t="n">
        <x:f>'原始输入与口径'!BH57</x:f>
        <x:v>0</x:v>
      </x:c>
      <x:c r="N55" s="24" t="n">
        <x:f>'原始输入与口径'!BI57</x:f>
        <x:v>0</x:v>
      </x:c>
      <x:c r="O55" s="24" t="n">
        <x:f>M55*AE55*AC55</x:f>
        <x:v>0</x:v>
      </x:c>
      <x:c r="P55" s="24" t="n">
        <x:f>N55*AF55*AC55</x:f>
        <x:v>0</x:v>
      </x:c>
      <x:c r="Q55" s="25" t="n">
        <x:f>IF(K55=0,0,IF(ISNUMBER(B55),K55*AC55*B55,NA()))</x:f>
        <x:v>0</x:v>
      </x:c>
      <x:c r="R55" s="25" t="n">
        <x:f>IF(L55=0,0,IF(ISNUMBER(C55),L55*AC55*C55*AD55,NA()))</x:f>
        <x:v>0</x:v>
      </x:c>
      <x:c r="S55" s="25" t="n">
        <x:f>IF(M55=0,0,IF(ISNUMBER(D55),M55*AC55*D55*AD55,NA()))</x:f>
        <x:v>0</x:v>
      </x:c>
      <x:c r="T55" s="25" t="n">
        <x:f>IF(N55=0,0,IF(ISNUMBER(E55),N55*AC55*E55*AD55,NA()))</x:f>
        <x:v>0</x:v>
      </x:c>
      <x:c r="U55" s="25" t="n">
        <x:f>IF(O55=0,0,IF(ISNUMBER(F55),O55*F55,NA()))</x:f>
        <x:v>0</x:v>
      </x:c>
      <x:c r="V55" s="25" t="n">
        <x:f>IF(P55=0,0,IF(ISNUMBER(G55),-P55*G55,NA()))</x:f>
        <x:v>0</x:v>
      </x:c>
      <x:c r="W55" s="25" t="n">
        <x:f>SUM(Q55:V55)</x:f>
        <x:v>0</x:v>
      </x:c>
      <x:c r="X55" s="18" t="n">
        <x:f>'原始输入与口径'!BR57</x:f>
        <x:v>0</x:v>
      </x:c>
      <x:c r="Y55" s="18" t="n">
        <x:f>W55-X55</x:f>
        <x:v>0</x:v>
      </x:c>
      <x:c r="Z55" s="18" t="str">
        <x:f>"1月1日执行｜初始化零订单"</x:f>
        <x:v>1月1日执行｜初始化零订单</x:v>
      </x:c>
      <x:c r="AA55" s="19" t="n">
        <x:f>IF('原始输入与口径'!AW57,1,0)</x:f>
        <x:v>1</x:v>
      </x:c>
      <x:c r="AB55" s="19" t="n">
        <x:f>IF('原始输入与口径'!AY57,1,0)</x:f>
        <x:v>0</x:v>
      </x:c>
      <x:c r="AC55" s="18" t="n">
        <x:f>'原始输入与口径'!E57</x:f>
        <x:v>0.25</x:v>
      </x:c>
      <x:c r="AD55" s="20" t="n">
        <x:f>'原始输入与口径'!$F$5</x:f>
        <x:v>1</x:v>
      </x:c>
      <x:c r="AE55" s="20" t="n">
        <x:f>IF(AA55=0,0,AI55/(AG55*AC55))</x:f>
        <x:v>0</x:v>
      </x:c>
      <x:c r="AF55" s="20" t="n">
        <x:f>IF(AA55=0,0,AJ55/(AH55*AC55))</x:f>
        <x:v>0.05408</x:v>
      </x:c>
      <x:c r="AG55" s="18" t="n">
        <x:f>IF(ISNUMBER('原始输入与口径'!T57),'原始输入与口径'!T57,"缺失")</x:f>
        <x:v>200</x:v>
      </x:c>
      <x:c r="AH55" s="18" t="n">
        <x:f>IF(ISNUMBER('原始输入与口径'!Y57),'原始输入与口径'!Y57,"缺失")</x:f>
        <x:v>200</x:v>
      </x:c>
      <x:c r="AI55" s="18" t="n">
        <x:f>IF(ISNUMBER('原始输入与口径'!AI57),'原始输入与口径'!AI57,"缺失")</x:f>
        <x:v>0</x:v>
      </x:c>
      <x:c r="AJ55" s="18" t="n">
        <x:f>IF(ISNUMBER('原始输入与口径'!AL57),'原始输入与口径'!AL57,"缺失")</x:f>
        <x:v>2.704</x:v>
      </x:c>
      <x:c r="AK55" s="18" t="str">
        <x:f>IF(ISNUMBER('原始输入与口径'!O57),'原始输入与口径'!O57,"缺失")</x:f>
        <x:v>缺失</x:v>
      </x:c>
      <x:c r="AL55" s="18" t="n">
        <x:f>SUMIFS('相位SOC复算'!$N$7:$N$443,'相位SOC复算'!$S$7:$S$443,49)</x:f>
        <x:v>0</x:v>
      </x:c>
      <x:c r="AM55" s="18" t="n">
        <x:f>SUMIFS('相位SOC复算'!$Q$7:$Q$443,'相位SOC复算'!$S$7:$S$443,49)</x:f>
        <x:v>0</x:v>
      </x:c>
      <x:c r="AN55" s="18" t="n">
        <x:f>SUMIFS('相位SOC复算'!$R$7:$R$443,'相位SOC复算'!$S$7:$S$443,49)</x:f>
        <x:v>0</x:v>
      </x:c>
      <x:c r="AO55" s="18" t="n">
        <x:f>'相位SOC复算'!J115</x:f>
        <x:v>10</x:v>
      </x:c>
      <x:c r="AP55" s="18" t="n">
        <x:f>AO55-J55</x:f>
        <x:v>0</x:v>
      </x:c>
      <x:c r="AQ55" s="18" t="n">
        <x:f>IF(ISBLANK('原始输入与口径'!M57),"",'原始输入与口径'!M57)</x:f>
        <x:v>4.9741</x:v>
      </x:c>
      <x:c r="AR55" s="21" t="n">
        <x:f>IF(ISBLANK('原始输入与口径'!L57),"",'原始输入与口径'!L57)</x:f>
        <x:v>45657</x:v>
      </x:c>
      <x:c r="AS55" s="17" t="n">
        <x:f>IF(ISBLANK('原始输入与口径'!A57),"",'原始输入与口径'!A57)</x:f>
        <x:v>45658.416666666664</x:v>
      </x:c>
      <x:c r="AT55" s="18" t="str">
        <x:f>IF(ISBLANK('原始输入与口径'!I57),"",'原始输入与口径'!I57)</x:f>
        <x:v>2025-01-01_12</x:v>
      </x:c>
      <x:c r="AU55" s="19" t="n">
        <x:f>IF(ISBLANK('原始输入与口径'!J57),"",'原始输入与口径'!J57)</x:f>
        <x:v>60</x:v>
      </x:c>
      <x:c r="AV55" s="18" t="str">
        <x:f>IF(ISBLANK('原始输入与口径'!BB57),"",'原始输入与口径'!BB57)</x:f>
        <x:v>OK</x:v>
      </x:c>
    </x:row>
    <x:row r="56" ht="21" customHeight="1">
      <x:c r="A56" s="17" t="n">
        <x:f>45658.510416666664</x:f>
        <x:v>45658.510416666664</x:v>
      </x:c>
      <x:c r="B56" s="23" t="n">
        <x:f>IF(ISNUMBER('原始输入与口径'!H58),'原始输入与口径'!H58,"缺失")</x:f>
        <x:v>32.8</x:v>
      </x:c>
      <x:c r="C56" s="23" t="str">
        <x:f>IF(ISNUMBER('原始输入与口径'!R58),'原始输入与口径'!R58,"缺失")</x:f>
        <x:v>缺失</x:v>
      </x:c>
      <x:c r="D56" s="23" t="n">
        <x:f>IF(ISNUMBER('原始输入与口径'!W58),'原始输入与口径'!W58,"缺失")</x:f>
        <x:v>13.71102309965622</x:v>
      </x:c>
      <x:c r="E56" s="23" t="n">
        <x:f>IF(ISNUMBER('原始输入与口径'!AB58),'原始输入与口径'!AB58,"缺失")</x:f>
        <x:v>14.710198829939085</x:v>
      </x:c>
      <x:c r="F56" s="23" t="n">
        <x:f>IF(ISNUMBER('原始输入与口径'!AG58),'原始输入与口径'!AG58,"缺失")</x:f>
        <x:v>121.39422207032428</x:v>
      </x:c>
      <x:c r="G56" s="23" t="n">
        <x:f>IF(ISNUMBER('原始输入与口径'!AJ58),'原始输入与口径'!AJ58,"缺失")</x:f>
        <x:v>58.3020043827024</x:v>
      </x:c>
      <x:c r="H56" s="23" t="str">
        <x:f>"未模拟"</x:f>
        <x:v>未模拟</x:v>
      </x:c>
      <x:c r="I56" s="24" t="n">
        <x:f>'原始输入与口径'!BD58</x:f>
        <x:v>10</x:v>
      </x:c>
      <x:c r="J56" s="24" t="n">
        <x:f>'原始输入与口径'!BE58</x:f>
        <x:v>10</x:v>
      </x:c>
      <x:c r="K56" s="24" t="n">
        <x:f>'原始输入与口径'!BF58</x:f>
        <x:v>0</x:v>
      </x:c>
      <x:c r="L56" s="24" t="n">
        <x:f>'原始输入与口径'!BG58</x:f>
        <x:v>0</x:v>
      </x:c>
      <x:c r="M56" s="24" t="n">
        <x:f>'原始输入与口径'!BH58</x:f>
        <x:v>0</x:v>
      </x:c>
      <x:c r="N56" s="24" t="n">
        <x:f>'原始输入与口径'!BI58</x:f>
        <x:v>0</x:v>
      </x:c>
      <x:c r="O56" s="24" t="n">
        <x:f>M56*AE56*AC56</x:f>
        <x:v>0</x:v>
      </x:c>
      <x:c r="P56" s="24" t="n">
        <x:f>N56*AF56*AC56</x:f>
        <x:v>0</x:v>
      </x:c>
      <x:c r="Q56" s="25" t="n">
        <x:f>IF(K56=0,0,IF(ISNUMBER(B56),K56*AC56*B56,NA()))</x:f>
        <x:v>0</x:v>
      </x:c>
      <x:c r="R56" s="25" t="n">
        <x:f>IF(L56=0,0,IF(ISNUMBER(C56),L56*AC56*C56*AD56,NA()))</x:f>
        <x:v>0</x:v>
      </x:c>
      <x:c r="S56" s="25" t="n">
        <x:f>IF(M56=0,0,IF(ISNUMBER(D56),M56*AC56*D56*AD56,NA()))</x:f>
        <x:v>0</x:v>
      </x:c>
      <x:c r="T56" s="25" t="n">
        <x:f>IF(N56=0,0,IF(ISNUMBER(E56),N56*AC56*E56*AD56,NA()))</x:f>
        <x:v>0</x:v>
      </x:c>
      <x:c r="U56" s="25" t="n">
        <x:f>IF(O56=0,0,IF(ISNUMBER(F56),O56*F56,NA()))</x:f>
        <x:v>0</x:v>
      </x:c>
      <x:c r="V56" s="25" t="n">
        <x:f>IF(P56=0,0,IF(ISNUMBER(G56),-P56*G56,NA()))</x:f>
        <x:v>0</x:v>
      </x:c>
      <x:c r="W56" s="25" t="n">
        <x:f>SUM(Q56:V56)</x:f>
        <x:v>0</x:v>
      </x:c>
      <x:c r="X56" s="18" t="n">
        <x:f>'原始输入与口径'!BR58</x:f>
        <x:v>0</x:v>
      </x:c>
      <x:c r="Y56" s="18" t="n">
        <x:f>W56-X56</x:f>
        <x:v>0</x:v>
      </x:c>
      <x:c r="Z56" s="18" t="str">
        <x:f>"1月1日执行｜初始化零订单"</x:f>
        <x:v>1月1日执行｜初始化零订单</x:v>
      </x:c>
      <x:c r="AA56" s="19" t="n">
        <x:f>IF('原始输入与口径'!AW58,1,0)</x:f>
        <x:v>1</x:v>
      </x:c>
      <x:c r="AB56" s="19" t="n">
        <x:f>IF('原始输入与口径'!AY58,1,0)</x:f>
        <x:v>0</x:v>
      </x:c>
      <x:c r="AC56" s="18" t="n">
        <x:f>'原始输入与口径'!E58</x:f>
        <x:v>0.25</x:v>
      </x:c>
      <x:c r="AD56" s="20" t="n">
        <x:f>'原始输入与口径'!$F$5</x:f>
        <x:v>1</x:v>
      </x:c>
      <x:c r="AE56" s="20" t="n">
        <x:f>IF(AA56=0,0,AI56/(AG56*AC56))</x:f>
        <x:v>0.019299999999999998</x:v>
      </x:c>
      <x:c r="AF56" s="20" t="n">
        <x:f>IF(AA56=0,0,AJ56/(AH56*AC56))</x:f>
        <x:v>0.0001</x:v>
      </x:c>
      <x:c r="AG56" s="18" t="n">
        <x:f>IF(ISNUMBER('原始输入与口径'!T58),'原始输入与口径'!T58,"缺失")</x:f>
        <x:v>200</x:v>
      </x:c>
      <x:c r="AH56" s="18" t="n">
        <x:f>IF(ISNUMBER('原始输入与口径'!Y58),'原始输入与口径'!Y58,"缺失")</x:f>
        <x:v>200</x:v>
      </x:c>
      <x:c r="AI56" s="18" t="n">
        <x:f>IF(ISNUMBER('原始输入与口径'!AI58),'原始输入与口径'!AI58,"缺失")</x:f>
        <x:v>0.965</x:v>
      </x:c>
      <x:c r="AJ56" s="18" t="n">
        <x:f>IF(ISNUMBER('原始输入与口径'!AL58),'原始输入与口径'!AL58,"缺失")</x:f>
        <x:v>0.005</x:v>
      </x:c>
      <x:c r="AK56" s="18" t="str">
        <x:f>IF(ISNUMBER('原始输入与口径'!O58),'原始输入与口径'!O58,"缺失")</x:f>
        <x:v>缺失</x:v>
      </x:c>
      <x:c r="AL56" s="18" t="n">
        <x:f>SUMIFS('相位SOC复算'!$N$7:$N$443,'相位SOC复算'!$S$7:$S$443,50)</x:f>
        <x:v>0</x:v>
      </x:c>
      <x:c r="AM56" s="18" t="n">
        <x:f>SUMIFS('相位SOC复算'!$Q$7:$Q$443,'相位SOC复算'!$S$7:$S$443,50)</x:f>
        <x:v>0</x:v>
      </x:c>
      <x:c r="AN56" s="18" t="n">
        <x:f>SUMIFS('相位SOC复算'!$R$7:$R$443,'相位SOC复算'!$S$7:$S$443,50)</x:f>
        <x:v>0</x:v>
      </x:c>
      <x:c r="AO56" s="18" t="n">
        <x:f>'相位SOC复算'!J118</x:f>
        <x:v>10</x:v>
      </x:c>
      <x:c r="AP56" s="18" t="n">
        <x:f>AO56-J56</x:f>
        <x:v>0</x:v>
      </x:c>
      <x:c r="AQ56" s="18" t="n">
        <x:f>IF(ISBLANK('原始输入与口径'!M58),"",'原始输入与口径'!M58)</x:f>
        <x:v>4.9741</x:v>
      </x:c>
      <x:c r="AR56" s="21" t="n">
        <x:f>IF(ISBLANK('原始输入与口径'!L58),"",'原始输入与口径'!L58)</x:f>
        <x:v>45657</x:v>
      </x:c>
      <x:c r="AS56" s="17" t="n">
        <x:f>IF(ISBLANK('原始输入与口径'!A58),"",'原始输入与口径'!A58)</x:f>
        <x:v>45658.427083333336</x:v>
      </x:c>
      <x:c r="AT56" s="18" t="str">
        <x:f>IF(ISBLANK('原始输入与口径'!I58),"",'原始输入与口径'!I58)</x:f>
        <x:v>2025-01-01_12</x:v>
      </x:c>
      <x:c r="AU56" s="19" t="n">
        <x:f>IF(ISBLANK('原始输入与口径'!J58),"",'原始输入与口径'!J58)</x:f>
        <x:v>60</x:v>
      </x:c>
      <x:c r="AV56" s="18" t="str">
        <x:f>IF(ISBLANK('原始输入与口径'!BB58),"",'原始输入与口径'!BB58)</x:f>
        <x:v>OK</x:v>
      </x:c>
    </x:row>
    <x:row r="57" ht="21" customHeight="1">
      <x:c r="A57" s="17" t="n">
        <x:f>45658.520833333336</x:f>
        <x:v>45658.520833333336</x:v>
      </x:c>
      <x:c r="B57" s="23" t="n">
        <x:f>IF(ISNUMBER('原始输入与口径'!H59),'原始输入与口径'!H59,"缺失")</x:f>
        <x:v>32.8</x:v>
      </x:c>
      <x:c r="C57" s="23" t="str">
        <x:f>IF(ISNUMBER('原始输入与口径'!R59),'原始输入与口径'!R59,"缺失")</x:f>
        <x:v>缺失</x:v>
      </x:c>
      <x:c r="D57" s="23" t="n">
        <x:f>IF(ISNUMBER('原始输入与口径'!W59),'原始输入与口径'!W59,"缺失")</x:f>
        <x:v>13.71102309965622</x:v>
      </x:c>
      <x:c r="E57" s="23" t="n">
        <x:f>IF(ISNUMBER('原始输入与口径'!AB59),'原始输入与口径'!AB59,"缺失")</x:f>
        <x:v>14.710198829939085</x:v>
      </x:c>
      <x:c r="F57" s="23" t="n">
        <x:f>IF(ISNUMBER('原始输入与口径'!AG59),'原始输入与口径'!AG59,"缺失")</x:f>
        <x:v>123.28662471602904</x:v>
      </x:c>
      <x:c r="G57" s="23" t="n">
        <x:f>IF(ISNUMBER('原始输入与口径'!AJ59),'原始输入与口径'!AJ59,"缺失")</x:f>
        <x:v>0</x:v>
      </x:c>
      <x:c r="H57" s="23" t="str">
        <x:f>"未模拟"</x:f>
        <x:v>未模拟</x:v>
      </x:c>
      <x:c r="I57" s="24" t="n">
        <x:f>'原始输入与口径'!BD59</x:f>
        <x:v>10</x:v>
      </x:c>
      <x:c r="J57" s="24" t="n">
        <x:f>'原始输入与口径'!BE59</x:f>
        <x:v>10</x:v>
      </x:c>
      <x:c r="K57" s="24" t="n">
        <x:f>'原始输入与口径'!BF59</x:f>
        <x:v>0</x:v>
      </x:c>
      <x:c r="L57" s="24" t="n">
        <x:f>'原始输入与口径'!BG59</x:f>
        <x:v>0</x:v>
      </x:c>
      <x:c r="M57" s="24" t="n">
        <x:f>'原始输入与口径'!BH59</x:f>
        <x:v>0</x:v>
      </x:c>
      <x:c r="N57" s="24" t="n">
        <x:f>'原始输入与口径'!BI59</x:f>
        <x:v>0</x:v>
      </x:c>
      <x:c r="O57" s="24" t="n">
        <x:f>M57*AE57*AC57</x:f>
        <x:v>0</x:v>
      </x:c>
      <x:c r="P57" s="24" t="n">
        <x:f>N57*AF57*AC57</x:f>
        <x:v>0</x:v>
      </x:c>
      <x:c r="Q57" s="25" t="n">
        <x:f>IF(K57=0,0,IF(ISNUMBER(B57),K57*AC57*B57,NA()))</x:f>
        <x:v>0</x:v>
      </x:c>
      <x:c r="R57" s="25" t="n">
        <x:f>IF(L57=0,0,IF(ISNUMBER(C57),L57*AC57*C57*AD57,NA()))</x:f>
        <x:v>0</x:v>
      </x:c>
      <x:c r="S57" s="25" t="n">
        <x:f>IF(M57=0,0,IF(ISNUMBER(D57),M57*AC57*D57*AD57,NA()))</x:f>
        <x:v>0</x:v>
      </x:c>
      <x:c r="T57" s="25" t="n">
        <x:f>IF(N57=0,0,IF(ISNUMBER(E57),N57*AC57*E57*AD57,NA()))</x:f>
        <x:v>0</x:v>
      </x:c>
      <x:c r="U57" s="25" t="n">
        <x:f>IF(O57=0,0,IF(ISNUMBER(F57),O57*F57,NA()))</x:f>
        <x:v>0</x:v>
      </x:c>
      <x:c r="V57" s="25" t="n">
        <x:f>IF(P57=0,0,IF(ISNUMBER(G57),-P57*G57,NA()))</x:f>
        <x:v>0</x:v>
      </x:c>
      <x:c r="W57" s="25" t="n">
        <x:f>SUM(Q57:V57)</x:f>
        <x:v>0</x:v>
      </x:c>
      <x:c r="X57" s="18" t="n">
        <x:f>'原始输入与口径'!BR59</x:f>
        <x:v>0</x:v>
      </x:c>
      <x:c r="Y57" s="18" t="n">
        <x:f>W57-X57</x:f>
        <x:v>0</x:v>
      </x:c>
      <x:c r="Z57" s="18" t="str">
        <x:f>"1月1日执行｜初始化零订单"</x:f>
        <x:v>1月1日执行｜初始化零订单</x:v>
      </x:c>
      <x:c r="AA57" s="19" t="n">
        <x:f>IF('原始输入与口径'!AW59,1,0)</x:f>
        <x:v>1</x:v>
      </x:c>
      <x:c r="AB57" s="19" t="n">
        <x:f>IF('原始输入与口径'!AY59,1,0)</x:f>
        <x:v>0</x:v>
      </x:c>
      <x:c r="AC57" s="18" t="n">
        <x:f>'原始输入与口径'!E59</x:f>
        <x:v>0.25</x:v>
      </x:c>
      <x:c r="AD57" s="20" t="n">
        <x:f>'原始输入与口径'!$F$5</x:f>
        <x:v>1</x:v>
      </x:c>
      <x:c r="AE57" s="20" t="n">
        <x:f>IF(AA57=0,0,AI57/(AG57*AC57))</x:f>
        <x:v>0.21853999999999998</x:v>
      </x:c>
      <x:c r="AF57" s="20" t="n">
        <x:f>IF(AA57=0,0,AJ57/(AH57*AC57))</x:f>
        <x:v>0</x:v>
      </x:c>
      <x:c r="AG57" s="18" t="n">
        <x:f>IF(ISNUMBER('原始输入与口径'!T59),'原始输入与口径'!T59,"缺失")</x:f>
        <x:v>200</x:v>
      </x:c>
      <x:c r="AH57" s="18" t="n">
        <x:f>IF(ISNUMBER('原始输入与口径'!Y59),'原始输入与口径'!Y59,"缺失")</x:f>
        <x:v>200</x:v>
      </x:c>
      <x:c r="AI57" s="18" t="n">
        <x:f>IF(ISNUMBER('原始输入与口径'!AI59),'原始输入与口径'!AI59,"缺失")</x:f>
        <x:v>10.927</x:v>
      </x:c>
      <x:c r="AJ57" s="18" t="n">
        <x:f>IF(ISNUMBER('原始输入与口径'!AL59),'原始输入与口径'!AL59,"缺失")</x:f>
        <x:v>0</x:v>
      </x:c>
      <x:c r="AK57" s="18" t="str">
        <x:f>IF(ISNUMBER('原始输入与口径'!O59),'原始输入与口径'!O59,"缺失")</x:f>
        <x:v>缺失</x:v>
      </x:c>
      <x:c r="AL57" s="18" t="n">
        <x:f>SUMIFS('相位SOC复算'!$N$7:$N$443,'相位SOC复算'!$S$7:$S$443,51)</x:f>
        <x:v>0</x:v>
      </x:c>
      <x:c r="AM57" s="18" t="n">
        <x:f>SUMIFS('相位SOC复算'!$Q$7:$Q$443,'相位SOC复算'!$S$7:$S$443,51)</x:f>
        <x:v>0</x:v>
      </x:c>
      <x:c r="AN57" s="18" t="n">
        <x:f>SUMIFS('相位SOC复算'!$R$7:$R$443,'相位SOC复算'!$S$7:$S$443,51)</x:f>
        <x:v>0</x:v>
      </x:c>
      <x:c r="AO57" s="18" t="n">
        <x:f>'相位SOC复算'!J120</x:f>
        <x:v>10</x:v>
      </x:c>
      <x:c r="AP57" s="18" t="n">
        <x:f>AO57-J57</x:f>
        <x:v>0</x:v>
      </x:c>
      <x:c r="AQ57" s="18" t="n">
        <x:f>IF(ISBLANK('原始输入与口径'!M59),"",'原始输入与口径'!M59)</x:f>
        <x:v>4.9741</x:v>
      </x:c>
      <x:c r="AR57" s="21" t="n">
        <x:f>IF(ISBLANK('原始输入与口径'!L59),"",'原始输入与口径'!L59)</x:f>
        <x:v>45657</x:v>
      </x:c>
      <x:c r="AS57" s="17" t="n">
        <x:f>IF(ISBLANK('原始输入与口径'!A59),"",'原始输入与口径'!A59)</x:f>
        <x:v>45658.4375</x:v>
      </x:c>
      <x:c r="AT57" s="18" t="str">
        <x:f>IF(ISBLANK('原始输入与口径'!I59),"",'原始输入与口径'!I59)</x:f>
        <x:v>2025-01-01_12</x:v>
      </x:c>
      <x:c r="AU57" s="19" t="n">
        <x:f>IF(ISBLANK('原始输入与口径'!J59),"",'原始输入与口径'!J59)</x:f>
        <x:v>60</x:v>
      </x:c>
      <x:c r="AV57" s="18" t="str">
        <x:f>IF(ISBLANK('原始输入与口径'!BB59),"",'原始输入与口径'!BB59)</x:f>
        <x:v>OK</x:v>
      </x:c>
    </x:row>
    <x:row r="58" ht="21" customHeight="1">
      <x:c r="A58" s="17" t="n">
        <x:f>45658.53125</x:f>
        <x:v>45658.53125</x:v>
      </x:c>
      <x:c r="B58" s="23" t="n">
        <x:f>IF(ISNUMBER('原始输入与口径'!H60),'原始输入与口径'!H60,"缺失")</x:f>
        <x:v>32.8</x:v>
      </x:c>
      <x:c r="C58" s="23" t="str">
        <x:f>IF(ISNUMBER('原始输入与口径'!R60),'原始输入与口径'!R60,"缺失")</x:f>
        <x:v>缺失</x:v>
      </x:c>
      <x:c r="D58" s="23" t="n">
        <x:f>IF(ISNUMBER('原始输入与口径'!W60),'原始输入与口径'!W60,"缺失")</x:f>
        <x:v>13.71102309965622</x:v>
      </x:c>
      <x:c r="E58" s="23" t="n">
        <x:f>IF(ISNUMBER('原始输入与口径'!AB60),'原始输入与口径'!AB60,"缺失")</x:f>
        <x:v>14.710198829939085</x:v>
      </x:c>
      <x:c r="F58" s="23" t="n">
        <x:f>IF(ISNUMBER('原始输入与口径'!AG60),'原始输入与口径'!AG60,"缺失")</x:f>
        <x:v>123.28662471602904</x:v>
      </x:c>
      <x:c r="G58" s="23" t="n">
        <x:f>IF(ISNUMBER('原始输入与口径'!AJ60),'原始输入与口径'!AJ60,"缺失")</x:f>
        <x:v>0</x:v>
      </x:c>
      <x:c r="H58" s="23" t="str">
        <x:f>"未模拟"</x:f>
        <x:v>未模拟</x:v>
      </x:c>
      <x:c r="I58" s="24" t="n">
        <x:f>'原始输入与口径'!BD60</x:f>
        <x:v>10</x:v>
      </x:c>
      <x:c r="J58" s="24" t="n">
        <x:f>'原始输入与口径'!BE60</x:f>
        <x:v>10</x:v>
      </x:c>
      <x:c r="K58" s="24" t="n">
        <x:f>'原始输入与口径'!BF60</x:f>
        <x:v>0</x:v>
      </x:c>
      <x:c r="L58" s="24" t="n">
        <x:f>'原始输入与口径'!BG60</x:f>
        <x:v>0</x:v>
      </x:c>
      <x:c r="M58" s="24" t="n">
        <x:f>'原始输入与口径'!BH60</x:f>
        <x:v>0</x:v>
      </x:c>
      <x:c r="N58" s="24" t="n">
        <x:f>'原始输入与口径'!BI60</x:f>
        <x:v>0</x:v>
      </x:c>
      <x:c r="O58" s="24" t="n">
        <x:f>M58*AE58*AC58</x:f>
        <x:v>0</x:v>
      </x:c>
      <x:c r="P58" s="24" t="n">
        <x:f>N58*AF58*AC58</x:f>
        <x:v>0</x:v>
      </x:c>
      <x:c r="Q58" s="25" t="n">
        <x:f>IF(K58=0,0,IF(ISNUMBER(B58),K58*AC58*B58,NA()))</x:f>
        <x:v>0</x:v>
      </x:c>
      <x:c r="R58" s="25" t="n">
        <x:f>IF(L58=0,0,IF(ISNUMBER(C58),L58*AC58*C58*AD58,NA()))</x:f>
        <x:v>0</x:v>
      </x:c>
      <x:c r="S58" s="25" t="n">
        <x:f>IF(M58=0,0,IF(ISNUMBER(D58),M58*AC58*D58*AD58,NA()))</x:f>
        <x:v>0</x:v>
      </x:c>
      <x:c r="T58" s="25" t="n">
        <x:f>IF(N58=0,0,IF(ISNUMBER(E58),N58*AC58*E58*AD58,NA()))</x:f>
        <x:v>0</x:v>
      </x:c>
      <x:c r="U58" s="25" t="n">
        <x:f>IF(O58=0,0,IF(ISNUMBER(F58),O58*F58,NA()))</x:f>
        <x:v>0</x:v>
      </x:c>
      <x:c r="V58" s="25" t="n">
        <x:f>IF(P58=0,0,IF(ISNUMBER(G58),-P58*G58,NA()))</x:f>
        <x:v>0</x:v>
      </x:c>
      <x:c r="W58" s="25" t="n">
        <x:f>SUM(Q58:V58)</x:f>
        <x:v>0</x:v>
      </x:c>
      <x:c r="X58" s="18" t="n">
        <x:f>'原始输入与口径'!BR60</x:f>
        <x:v>0</x:v>
      </x:c>
      <x:c r="Y58" s="18" t="n">
        <x:f>W58-X58</x:f>
        <x:v>0</x:v>
      </x:c>
      <x:c r="Z58" s="18" t="str">
        <x:f>"1月1日执行｜初始化零订单"</x:f>
        <x:v>1月1日执行｜初始化零订单</x:v>
      </x:c>
      <x:c r="AA58" s="19" t="n">
        <x:f>IF('原始输入与口径'!AW60,1,0)</x:f>
        <x:v>1</x:v>
      </x:c>
      <x:c r="AB58" s="19" t="n">
        <x:f>IF('原始输入与口径'!AY60,1,0)</x:f>
        <x:v>0</x:v>
      </x:c>
      <x:c r="AC58" s="18" t="n">
        <x:f>'原始输入与口径'!E60</x:f>
        <x:v>0.25</x:v>
      </x:c>
      <x:c r="AD58" s="20" t="n">
        <x:f>'原始输入与口径'!$F$5</x:f>
        <x:v>1</x:v>
      </x:c>
      <x:c r="AE58" s="20" t="n">
        <x:f>IF(AA58=0,0,AI58/(AG58*AC58))</x:f>
        <x:v>0.15088</x:v>
      </x:c>
      <x:c r="AF58" s="20" t="n">
        <x:f>IF(AA58=0,0,AJ58/(AH58*AC58))</x:f>
        <x:v>0</x:v>
      </x:c>
      <x:c r="AG58" s="18" t="n">
        <x:f>IF(ISNUMBER('原始输入与口径'!T60),'原始输入与口径'!T60,"缺失")</x:f>
        <x:v>200</x:v>
      </x:c>
      <x:c r="AH58" s="18" t="n">
        <x:f>IF(ISNUMBER('原始输入与口径'!Y60),'原始输入与口径'!Y60,"缺失")</x:f>
        <x:v>200</x:v>
      </x:c>
      <x:c r="AI58" s="18" t="n">
        <x:f>IF(ISNUMBER('原始输入与口径'!AI60),'原始输入与口径'!AI60,"缺失")</x:f>
        <x:v>7.544</x:v>
      </x:c>
      <x:c r="AJ58" s="18" t="n">
        <x:f>IF(ISNUMBER('原始输入与口径'!AL60),'原始输入与口径'!AL60,"缺失")</x:f>
        <x:v>0</x:v>
      </x:c>
      <x:c r="AK58" s="18" t="str">
        <x:f>IF(ISNUMBER('原始输入与口径'!O60),'原始输入与口径'!O60,"缺失")</x:f>
        <x:v>缺失</x:v>
      </x:c>
      <x:c r="AL58" s="18" t="n">
        <x:f>SUMIFS('相位SOC复算'!$N$7:$N$443,'相位SOC复算'!$S$7:$S$443,52)</x:f>
        <x:v>0</x:v>
      </x:c>
      <x:c r="AM58" s="18" t="n">
        <x:f>SUMIFS('相位SOC复算'!$Q$7:$Q$443,'相位SOC复算'!$S$7:$S$443,52)</x:f>
        <x:v>0</x:v>
      </x:c>
      <x:c r="AN58" s="18" t="n">
        <x:f>SUMIFS('相位SOC复算'!$R$7:$R$443,'相位SOC复算'!$S$7:$S$443,52)</x:f>
        <x:v>0</x:v>
      </x:c>
      <x:c r="AO58" s="18" t="n">
        <x:f>'相位SOC复算'!J122</x:f>
        <x:v>10</x:v>
      </x:c>
      <x:c r="AP58" s="18" t="n">
        <x:f>AO58-J58</x:f>
        <x:v>0</x:v>
      </x:c>
      <x:c r="AQ58" s="18" t="n">
        <x:f>IF(ISBLANK('原始输入与口径'!M60),"",'原始输入与口径'!M60)</x:f>
        <x:v>4.9741</x:v>
      </x:c>
      <x:c r="AR58" s="21" t="n">
        <x:f>IF(ISBLANK('原始输入与口径'!L60),"",'原始输入与口径'!L60)</x:f>
        <x:v>45657</x:v>
      </x:c>
      <x:c r="AS58" s="17" t="n">
        <x:f>IF(ISBLANK('原始输入与口径'!A60),"",'原始输入与口径'!A60)</x:f>
        <x:v>45658.447916666664</x:v>
      </x:c>
      <x:c r="AT58" s="18" t="str">
        <x:f>IF(ISBLANK('原始输入与口径'!I60),"",'原始输入与口径'!I60)</x:f>
        <x:v>2025-01-01_12</x:v>
      </x:c>
      <x:c r="AU58" s="19" t="n">
        <x:f>IF(ISBLANK('原始输入与口径'!J60),"",'原始输入与口径'!J60)</x:f>
        <x:v>60</x:v>
      </x:c>
      <x:c r="AV58" s="18" t="str">
        <x:f>IF(ISBLANK('原始输入与口径'!BB60),"",'原始输入与口径'!BB60)</x:f>
        <x:v>OK</x:v>
      </x:c>
    </x:row>
    <x:row r="59" ht="21" customHeight="1">
      <x:c r="A59" s="17" t="n">
        <x:f>45658.541666666664</x:f>
        <x:v>45658.541666666664</x:v>
      </x:c>
      <x:c r="B59" s="23" t="n">
        <x:f>IF(ISNUMBER('原始输入与口径'!H61),'原始输入与口径'!H61,"缺失")</x:f>
        <x:v>36.56</x:v>
      </x:c>
      <x:c r="C59" s="23" t="str">
        <x:f>IF(ISNUMBER('原始输入与口径'!R61),'原始输入与口径'!R61,"缺失")</x:f>
        <x:v>缺失</x:v>
      </x:c>
      <x:c r="D59" s="23" t="n">
        <x:f>IF(ISNUMBER('原始输入与口径'!W61),'原始输入与口径'!W61,"缺失")</x:f>
        <x:v>13.71102309965622</x:v>
      </x:c>
      <x:c r="E59" s="23" t="n">
        <x:f>IF(ISNUMBER('原始输入与口径'!AB61),'原始输入与口径'!AB61,"缺失")</x:f>
        <x:v>14.710198829939085</x:v>
      </x:c>
      <x:c r="F59" s="23" t="n">
        <x:f>IF(ISNUMBER('原始输入与口径'!AG61),'原始输入与口径'!AG61,"缺失")</x:f>
        <x:v>127.04207796385275</x:v>
      </x:c>
      <x:c r="G59" s="23" t="n">
        <x:f>IF(ISNUMBER('原始输入与口径'!AJ61),'原始输入与口径'!AJ61,"缺失")</x:f>
        <x:v>57.06318731026719</x:v>
      </x:c>
      <x:c r="H59" s="23" t="str">
        <x:f>"未模拟"</x:f>
        <x:v>未模拟</x:v>
      </x:c>
      <x:c r="I59" s="24" t="n">
        <x:f>'原始输入与口径'!BD61</x:f>
        <x:v>10</x:v>
      </x:c>
      <x:c r="J59" s="24" t="n">
        <x:f>'原始输入与口径'!BE61</x:f>
        <x:v>10</x:v>
      </x:c>
      <x:c r="K59" s="24" t="n">
        <x:f>'原始输入与口径'!BF61</x:f>
        <x:v>0</x:v>
      </x:c>
      <x:c r="L59" s="24" t="n">
        <x:f>'原始输入与口径'!BG61</x:f>
        <x:v>0</x:v>
      </x:c>
      <x:c r="M59" s="24" t="n">
        <x:f>'原始输入与口径'!BH61</x:f>
        <x:v>0</x:v>
      </x:c>
      <x:c r="N59" s="24" t="n">
        <x:f>'原始输入与口径'!BI61</x:f>
        <x:v>0</x:v>
      </x:c>
      <x:c r="O59" s="24" t="n">
        <x:f>M59*AE59*AC59</x:f>
        <x:v>0</x:v>
      </x:c>
      <x:c r="P59" s="24" t="n">
        <x:f>N59*AF59*AC59</x:f>
        <x:v>0</x:v>
      </x:c>
      <x:c r="Q59" s="25" t="n">
        <x:f>IF(K59=0,0,IF(ISNUMBER(B59),K59*AC59*B59,NA()))</x:f>
        <x:v>0</x:v>
      </x:c>
      <x:c r="R59" s="25" t="n">
        <x:f>IF(L59=0,0,IF(ISNUMBER(C59),L59*AC59*C59*AD59,NA()))</x:f>
        <x:v>0</x:v>
      </x:c>
      <x:c r="S59" s="25" t="n">
        <x:f>IF(M59=0,0,IF(ISNUMBER(D59),M59*AC59*D59*AD59,NA()))</x:f>
        <x:v>0</x:v>
      </x:c>
      <x:c r="T59" s="25" t="n">
        <x:f>IF(N59=0,0,IF(ISNUMBER(E59),N59*AC59*E59*AD59,NA()))</x:f>
        <x:v>0</x:v>
      </x:c>
      <x:c r="U59" s="25" t="n">
        <x:f>IF(O59=0,0,IF(ISNUMBER(F59),O59*F59,NA()))</x:f>
        <x:v>0</x:v>
      </x:c>
      <x:c r="V59" s="25" t="n">
        <x:f>IF(P59=0,0,IF(ISNUMBER(G59),-P59*G59,NA()))</x:f>
        <x:v>0</x:v>
      </x:c>
      <x:c r="W59" s="25" t="n">
        <x:f>SUM(Q59:V59)</x:f>
        <x:v>0</x:v>
      </x:c>
      <x:c r="X59" s="18" t="n">
        <x:f>'原始输入与口径'!BR61</x:f>
        <x:v>0</x:v>
      </x:c>
      <x:c r="Y59" s="18" t="n">
        <x:f>W59-X59</x:f>
        <x:v>0</x:v>
      </x:c>
      <x:c r="Z59" s="18" t="str">
        <x:f>"1月1日执行｜初始化零订单"</x:f>
        <x:v>1月1日执行｜初始化零订单</x:v>
      </x:c>
      <x:c r="AA59" s="19" t="n">
        <x:f>IF('原始输入与口径'!AW61,1,0)</x:f>
        <x:v>1</x:v>
      </x:c>
      <x:c r="AB59" s="19" t="n">
        <x:f>IF('原始输入与口径'!AY61,1,0)</x:f>
        <x:v>0</x:v>
      </x:c>
      <x:c r="AC59" s="18" t="n">
        <x:f>'原始输入与口径'!E61</x:f>
        <x:v>0.25</x:v>
      </x:c>
      <x:c r="AD59" s="20" t="n">
        <x:f>'原始输入与口径'!$F$5</x:f>
        <x:v>1</x:v>
      </x:c>
      <x:c r="AE59" s="20" t="n">
        <x:f>IF(AA59=0,0,AI59/(AG59*AC59))</x:f>
        <x:v>0.0087</x:v>
      </x:c>
      <x:c r="AF59" s="20" t="n">
        <x:f>IF(AA59=0,0,AJ59/(AH59*AC59))</x:f>
        <x:v>0.0042</x:v>
      </x:c>
      <x:c r="AG59" s="18" t="n">
        <x:f>IF(ISNUMBER('原始输入与口径'!T61),'原始输入与口径'!T61,"缺失")</x:f>
        <x:v>200</x:v>
      </x:c>
      <x:c r="AH59" s="18" t="n">
        <x:f>IF(ISNUMBER('原始输入与口径'!Y61),'原始输入与口径'!Y61,"缺失")</x:f>
        <x:v>200</x:v>
      </x:c>
      <x:c r="AI59" s="18" t="n">
        <x:f>IF(ISNUMBER('原始输入与口径'!AI61),'原始输入与口径'!AI61,"缺失")</x:f>
        <x:v>0.435</x:v>
      </x:c>
      <x:c r="AJ59" s="18" t="n">
        <x:f>IF(ISNUMBER('原始输入与口径'!AL61),'原始输入与口径'!AL61,"缺失")</x:f>
        <x:v>0.21</x:v>
      </x:c>
      <x:c r="AK59" s="18" t="str">
        <x:f>IF(ISNUMBER('原始输入与口径'!O61),'原始输入与口径'!O61,"缺失")</x:f>
        <x:v>缺失</x:v>
      </x:c>
      <x:c r="AL59" s="18" t="n">
        <x:f>SUMIFS('相位SOC复算'!$N$7:$N$443,'相位SOC复算'!$S$7:$S$443,53)</x:f>
        <x:v>0</x:v>
      </x:c>
      <x:c r="AM59" s="18" t="n">
        <x:f>SUMIFS('相位SOC复算'!$Q$7:$Q$443,'相位SOC复算'!$S$7:$S$443,53)</x:f>
        <x:v>0</x:v>
      </x:c>
      <x:c r="AN59" s="18" t="n">
        <x:f>SUMIFS('相位SOC复算'!$R$7:$R$443,'相位SOC复算'!$S$7:$S$443,53)</x:f>
        <x:v>0</x:v>
      </x:c>
      <x:c r="AO59" s="18" t="n">
        <x:f>'相位SOC复算'!J125</x:f>
        <x:v>10</x:v>
      </x:c>
      <x:c r="AP59" s="18" t="n">
        <x:f>AO59-J59</x:f>
        <x:v>0</x:v>
      </x:c>
      <x:c r="AQ59" s="18" t="n">
        <x:f>IF(ISBLANK('原始输入与口径'!M61),"",'原始输入与口径'!M61)</x:f>
        <x:v>4.9741</x:v>
      </x:c>
      <x:c r="AR59" s="21" t="n">
        <x:f>IF(ISBLANK('原始输入与口径'!L61),"",'原始输入与口径'!L61)</x:f>
        <x:v>45657</x:v>
      </x:c>
      <x:c r="AS59" s="17" t="n">
        <x:f>IF(ISBLANK('原始输入与口径'!A61),"",'原始输入与口径'!A61)</x:f>
        <x:v>45658.458333333336</x:v>
      </x:c>
      <x:c r="AT59" s="18" t="str">
        <x:f>IF(ISBLANK('原始输入与口径'!I61),"",'原始输入与口径'!I61)</x:f>
        <x:v>2025-01-01_13</x:v>
      </x:c>
      <x:c r="AU59" s="19" t="n">
        <x:f>IF(ISBLANK('原始输入与口径'!J61),"",'原始输入与口径'!J61)</x:f>
        <x:v>60</x:v>
      </x:c>
      <x:c r="AV59" s="18" t="str">
        <x:f>IF(ISBLANK('原始输入与口径'!BB61),"",'原始输入与口径'!BB61)</x:f>
        <x:v>OK</x:v>
      </x:c>
    </x:row>
    <x:row r="60" ht="21" customHeight="1">
      <x:c r="A60" s="17" t="n">
        <x:f>45658.552083333336</x:f>
        <x:v>45658.552083333336</x:v>
      </x:c>
      <x:c r="B60" s="23" t="n">
        <x:f>IF(ISNUMBER('原始输入与口径'!H62),'原始输入与口径'!H62,"缺失")</x:f>
        <x:v>36.56</x:v>
      </x:c>
      <x:c r="C60" s="23" t="str">
        <x:f>IF(ISNUMBER('原始输入与口径'!R62),'原始输入与口径'!R62,"缺失")</x:f>
        <x:v>缺失</x:v>
      </x:c>
      <x:c r="D60" s="23" t="n">
        <x:f>IF(ISNUMBER('原始输入与口径'!W62),'原始输入与口径'!W62,"缺失")</x:f>
        <x:v>13.71102309965622</x:v>
      </x:c>
      <x:c r="E60" s="23" t="n">
        <x:f>IF(ISNUMBER('原始输入与口径'!AB62),'原始输入与口径'!AB62,"缺失")</x:f>
        <x:v>14.710198829939085</x:v>
      </x:c>
      <x:c r="F60" s="23" t="n">
        <x:f>IF(ISNUMBER('原始输入与口径'!AG62),'原始输入与口径'!AG62,"缺失")</x:f>
        <x:v>0</x:v>
      </x:c>
      <x:c r="G60" s="23" t="n">
        <x:f>IF(ISNUMBER('原始输入与口径'!AJ62),'原始输入与口径'!AJ62,"缺失")</x:f>
        <x:v>28.282704408837784</x:v>
      </x:c>
      <x:c r="H60" s="23" t="str">
        <x:f>"未模拟"</x:f>
        <x:v>未模拟</x:v>
      </x:c>
      <x:c r="I60" s="24" t="n">
        <x:f>'原始输入与口径'!BD62</x:f>
        <x:v>10</x:v>
      </x:c>
      <x:c r="J60" s="24" t="n">
        <x:f>'原始输入与口径'!BE62</x:f>
        <x:v>10</x:v>
      </x:c>
      <x:c r="K60" s="24" t="n">
        <x:f>'原始输入与口径'!BF62</x:f>
        <x:v>0</x:v>
      </x:c>
      <x:c r="L60" s="24" t="n">
        <x:f>'原始输入与口径'!BG62</x:f>
        <x:v>0</x:v>
      </x:c>
      <x:c r="M60" s="24" t="n">
        <x:f>'原始输入与口径'!BH62</x:f>
        <x:v>0</x:v>
      </x:c>
      <x:c r="N60" s="24" t="n">
        <x:f>'原始输入与口径'!BI62</x:f>
        <x:v>0</x:v>
      </x:c>
      <x:c r="O60" s="24" t="n">
        <x:f>M60*AE60*AC60</x:f>
        <x:v>0</x:v>
      </x:c>
      <x:c r="P60" s="24" t="n">
        <x:f>N60*AF60*AC60</x:f>
        <x:v>0</x:v>
      </x:c>
      <x:c r="Q60" s="25" t="n">
        <x:f>IF(K60=0,0,IF(ISNUMBER(B60),K60*AC60*B60,NA()))</x:f>
        <x:v>0</x:v>
      </x:c>
      <x:c r="R60" s="25" t="n">
        <x:f>IF(L60=0,0,IF(ISNUMBER(C60),L60*AC60*C60*AD60,NA()))</x:f>
        <x:v>0</x:v>
      </x:c>
      <x:c r="S60" s="25" t="n">
        <x:f>IF(M60=0,0,IF(ISNUMBER(D60),M60*AC60*D60*AD60,NA()))</x:f>
        <x:v>0</x:v>
      </x:c>
      <x:c r="T60" s="25" t="n">
        <x:f>IF(N60=0,0,IF(ISNUMBER(E60),N60*AC60*E60*AD60,NA()))</x:f>
        <x:v>0</x:v>
      </x:c>
      <x:c r="U60" s="25" t="n">
        <x:f>IF(O60=0,0,IF(ISNUMBER(F60),O60*F60,NA()))</x:f>
        <x:v>0</x:v>
      </x:c>
      <x:c r="V60" s="25" t="n">
        <x:f>IF(P60=0,0,IF(ISNUMBER(G60),-P60*G60,NA()))</x:f>
        <x:v>0</x:v>
      </x:c>
      <x:c r="W60" s="25" t="n">
        <x:f>SUM(Q60:V60)</x:f>
        <x:v>0</x:v>
      </x:c>
      <x:c r="X60" s="18" t="n">
        <x:f>'原始输入与口径'!BR62</x:f>
        <x:v>0</x:v>
      </x:c>
      <x:c r="Y60" s="18" t="n">
        <x:f>W60-X60</x:f>
        <x:v>0</x:v>
      </x:c>
      <x:c r="Z60" s="18" t="str">
        <x:f>"1月1日执行｜初始化零订单"</x:f>
        <x:v>1月1日执行｜初始化零订单</x:v>
      </x:c>
      <x:c r="AA60" s="19" t="n">
        <x:f>IF('原始输入与口径'!AW62,1,0)</x:f>
        <x:v>1</x:v>
      </x:c>
      <x:c r="AB60" s="19" t="n">
        <x:f>IF('原始输入与口径'!AY62,1,0)</x:f>
        <x:v>0</x:v>
      </x:c>
      <x:c r="AC60" s="18" t="n">
        <x:f>'原始输入与口径'!E62</x:f>
        <x:v>0.25</x:v>
      </x:c>
      <x:c r="AD60" s="20" t="n">
        <x:f>'原始输入与口径'!$F$5</x:f>
        <x:v>1</x:v>
      </x:c>
      <x:c r="AE60" s="20" t="n">
        <x:f>IF(AA60=0,0,AI60/(AG60*AC60))</x:f>
        <x:v>0</x:v>
      </x:c>
      <x:c r="AF60" s="20" t="n">
        <x:f>IF(AA60=0,0,AJ60/(AH60*AC60))</x:f>
        <x:v>0.057</x:v>
      </x:c>
      <x:c r="AG60" s="18" t="n">
        <x:f>IF(ISNUMBER('原始输入与口径'!T62),'原始输入与口径'!T62,"缺失")</x:f>
        <x:v>200</x:v>
      </x:c>
      <x:c r="AH60" s="18" t="n">
        <x:f>IF(ISNUMBER('原始输入与口径'!Y62),'原始输入与口径'!Y62,"缺失")</x:f>
        <x:v>200</x:v>
      </x:c>
      <x:c r="AI60" s="18" t="n">
        <x:f>IF(ISNUMBER('原始输入与口径'!AI62),'原始输入与口径'!AI62,"缺失")</x:f>
        <x:v>0</x:v>
      </x:c>
      <x:c r="AJ60" s="18" t="n">
        <x:f>IF(ISNUMBER('原始输入与口径'!AL62),'原始输入与口径'!AL62,"缺失")</x:f>
        <x:v>2.85</x:v>
      </x:c>
      <x:c r="AK60" s="18" t="str">
        <x:f>IF(ISNUMBER('原始输入与口径'!O62),'原始输入与口径'!O62,"缺失")</x:f>
        <x:v>缺失</x:v>
      </x:c>
      <x:c r="AL60" s="18" t="n">
        <x:f>SUMIFS('相位SOC复算'!$N$7:$N$443,'相位SOC复算'!$S$7:$S$443,54)</x:f>
        <x:v>0</x:v>
      </x:c>
      <x:c r="AM60" s="18" t="n">
        <x:f>SUMIFS('相位SOC复算'!$Q$7:$Q$443,'相位SOC复算'!$S$7:$S$443,54)</x:f>
        <x:v>0</x:v>
      </x:c>
      <x:c r="AN60" s="18" t="n">
        <x:f>SUMIFS('相位SOC复算'!$R$7:$R$443,'相位SOC复算'!$S$7:$S$443,54)</x:f>
        <x:v>0</x:v>
      </x:c>
      <x:c r="AO60" s="18" t="n">
        <x:f>'相位SOC复算'!J127</x:f>
        <x:v>10</x:v>
      </x:c>
      <x:c r="AP60" s="18" t="n">
        <x:f>AO60-J60</x:f>
        <x:v>0</x:v>
      </x:c>
      <x:c r="AQ60" s="18" t="n">
        <x:f>IF(ISBLANK('原始输入与口径'!M62),"",'原始输入与口径'!M62)</x:f>
        <x:v>4.9741</x:v>
      </x:c>
      <x:c r="AR60" s="21" t="n">
        <x:f>IF(ISBLANK('原始输入与口径'!L62),"",'原始输入与口径'!L62)</x:f>
        <x:v>45657</x:v>
      </x:c>
      <x:c r="AS60" s="17" t="n">
        <x:f>IF(ISBLANK('原始输入与口径'!A62),"",'原始输入与口径'!A62)</x:f>
        <x:v>45658.46875</x:v>
      </x:c>
      <x:c r="AT60" s="18" t="str">
        <x:f>IF(ISBLANK('原始输入与口径'!I62),"",'原始输入与口径'!I62)</x:f>
        <x:v>2025-01-01_13</x:v>
      </x:c>
      <x:c r="AU60" s="19" t="n">
        <x:f>IF(ISBLANK('原始输入与口径'!J62),"",'原始输入与口径'!J62)</x:f>
        <x:v>60</x:v>
      </x:c>
      <x:c r="AV60" s="18" t="str">
        <x:f>IF(ISBLANK('原始输入与口径'!BB62),"",'原始输入与口径'!BB62)</x:f>
        <x:v>OK</x:v>
      </x:c>
    </x:row>
    <x:row r="61" ht="21" customHeight="1">
      <x:c r="A61" s="17" t="n">
        <x:f>45658.5625</x:f>
        <x:v>45658.5625</x:v>
      </x:c>
      <x:c r="B61" s="23" t="n">
        <x:f>IF(ISNUMBER('原始输入与口径'!H63),'原始输入与口径'!H63,"缺失")</x:f>
        <x:v>36.56</x:v>
      </x:c>
      <x:c r="C61" s="23" t="str">
        <x:f>IF(ISNUMBER('原始输入与口径'!R63),'原始输入与口径'!R63,"缺失")</x:f>
        <x:v>缺失</x:v>
      </x:c>
      <x:c r="D61" s="23" t="n">
        <x:f>IF(ISNUMBER('原始输入与口径'!W63),'原始输入与口径'!W63,"缺失")</x:f>
        <x:v>13.71102309965622</x:v>
      </x:c>
      <x:c r="E61" s="23" t="n">
        <x:f>IF(ISNUMBER('原始输入与口径'!AB63),'原始输入与口径'!AB63,"缺失")</x:f>
        <x:v>14.710198829939085</x:v>
      </x:c>
      <x:c r="F61" s="23" t="n">
        <x:f>IF(ISNUMBER('原始输入与口径'!AG63),'原始输入与口径'!AG63,"缺失")</x:f>
        <x:v>0</x:v>
      </x:c>
      <x:c r="G61" s="23" t="n">
        <x:f>IF(ISNUMBER('原始输入与口径'!AJ63),'原始输入与口径'!AJ63,"缺失")</x:f>
        <x:v>33.16479363100863</x:v>
      </x:c>
      <x:c r="H61" s="23" t="str">
        <x:f>"未模拟"</x:f>
        <x:v>未模拟</x:v>
      </x:c>
      <x:c r="I61" s="24" t="n">
        <x:f>'原始输入与口径'!BD63</x:f>
        <x:v>10</x:v>
      </x:c>
      <x:c r="J61" s="24" t="n">
        <x:f>'原始输入与口径'!BE63</x:f>
        <x:v>10</x:v>
      </x:c>
      <x:c r="K61" s="24" t="n">
        <x:f>'原始输入与口径'!BF63</x:f>
        <x:v>0</x:v>
      </x:c>
      <x:c r="L61" s="24" t="n">
        <x:f>'原始输入与口径'!BG63</x:f>
        <x:v>0</x:v>
      </x:c>
      <x:c r="M61" s="24" t="n">
        <x:f>'原始输入与口径'!BH63</x:f>
        <x:v>0</x:v>
      </x:c>
      <x:c r="N61" s="24" t="n">
        <x:f>'原始输入与口径'!BI63</x:f>
        <x:v>0</x:v>
      </x:c>
      <x:c r="O61" s="24" t="n">
        <x:f>M61*AE61*AC61</x:f>
        <x:v>0</x:v>
      </x:c>
      <x:c r="P61" s="24" t="n">
        <x:f>N61*AF61*AC61</x:f>
        <x:v>0</x:v>
      </x:c>
      <x:c r="Q61" s="25" t="n">
        <x:f>IF(K61=0,0,IF(ISNUMBER(B61),K61*AC61*B61,NA()))</x:f>
        <x:v>0</x:v>
      </x:c>
      <x:c r="R61" s="25" t="n">
        <x:f>IF(L61=0,0,IF(ISNUMBER(C61),L61*AC61*C61*AD61,NA()))</x:f>
        <x:v>0</x:v>
      </x:c>
      <x:c r="S61" s="25" t="n">
        <x:f>IF(M61=0,0,IF(ISNUMBER(D61),M61*AC61*D61*AD61,NA()))</x:f>
        <x:v>0</x:v>
      </x:c>
      <x:c r="T61" s="25" t="n">
        <x:f>IF(N61=0,0,IF(ISNUMBER(E61),N61*AC61*E61*AD61,NA()))</x:f>
        <x:v>0</x:v>
      </x:c>
      <x:c r="U61" s="25" t="n">
        <x:f>IF(O61=0,0,IF(ISNUMBER(F61),O61*F61,NA()))</x:f>
        <x:v>0</x:v>
      </x:c>
      <x:c r="V61" s="25" t="n">
        <x:f>IF(P61=0,0,IF(ISNUMBER(G61),-P61*G61,NA()))</x:f>
        <x:v>0</x:v>
      </x:c>
      <x:c r="W61" s="25" t="n">
        <x:f>SUM(Q61:V61)</x:f>
        <x:v>0</x:v>
      </x:c>
      <x:c r="X61" s="18" t="n">
        <x:f>'原始输入与口径'!BR63</x:f>
        <x:v>0</x:v>
      </x:c>
      <x:c r="Y61" s="18" t="n">
        <x:f>W61-X61</x:f>
        <x:v>0</x:v>
      </x:c>
      <x:c r="Z61" s="18" t="str">
        <x:f>"1月1日执行｜初始化零订单"</x:f>
        <x:v>1月1日执行｜初始化零订单</x:v>
      </x:c>
      <x:c r="AA61" s="19" t="n">
        <x:f>IF('原始输入与口径'!AW63,1,0)</x:f>
        <x:v>1</x:v>
      </x:c>
      <x:c r="AB61" s="19" t="n">
        <x:f>IF('原始输入与口径'!AY63,1,0)</x:f>
        <x:v>0</x:v>
      </x:c>
      <x:c r="AC61" s="18" t="n">
        <x:f>'原始输入与口径'!E63</x:f>
        <x:v>0.25</x:v>
      </x:c>
      <x:c r="AD61" s="20" t="n">
        <x:f>'原始输入与口径'!$F$5</x:f>
        <x:v>1</x:v>
      </x:c>
      <x:c r="AE61" s="20" t="n">
        <x:f>IF(AA61=0,0,AI61/(AG61*AC61))</x:f>
        <x:v>0</x:v>
      </x:c>
      <x:c r="AF61" s="20" t="n">
        <x:f>IF(AA61=0,0,AJ61/(AH61*AC61))</x:f>
        <x:v>0.042480000000000004</x:v>
      </x:c>
      <x:c r="AG61" s="18" t="n">
        <x:f>IF(ISNUMBER('原始输入与口径'!T63),'原始输入与口径'!T63,"缺失")</x:f>
        <x:v>200</x:v>
      </x:c>
      <x:c r="AH61" s="18" t="n">
        <x:f>IF(ISNUMBER('原始输入与口径'!Y63),'原始输入与口径'!Y63,"缺失")</x:f>
        <x:v>200</x:v>
      </x:c>
      <x:c r="AI61" s="18" t="n">
        <x:f>IF(ISNUMBER('原始输入与口径'!AI63),'原始输入与口径'!AI63,"缺失")</x:f>
        <x:v>0</x:v>
      </x:c>
      <x:c r="AJ61" s="18" t="n">
        <x:f>IF(ISNUMBER('原始输入与口径'!AL63),'原始输入与口径'!AL63,"缺失")</x:f>
        <x:v>2.124</x:v>
      </x:c>
      <x:c r="AK61" s="18" t="str">
        <x:f>IF(ISNUMBER('原始输入与口径'!O63),'原始输入与口径'!O63,"缺失")</x:f>
        <x:v>缺失</x:v>
      </x:c>
      <x:c r="AL61" s="18" t="n">
        <x:f>SUMIFS('相位SOC复算'!$N$7:$N$443,'相位SOC复算'!$S$7:$S$443,55)</x:f>
        <x:v>0</x:v>
      </x:c>
      <x:c r="AM61" s="18" t="n">
        <x:f>SUMIFS('相位SOC复算'!$Q$7:$Q$443,'相位SOC复算'!$S$7:$S$443,55)</x:f>
        <x:v>0</x:v>
      </x:c>
      <x:c r="AN61" s="18" t="n">
        <x:f>SUMIFS('相位SOC复算'!$R$7:$R$443,'相位SOC复算'!$S$7:$S$443,55)</x:f>
        <x:v>0</x:v>
      </x:c>
      <x:c r="AO61" s="18" t="n">
        <x:f>'相位SOC复算'!J129</x:f>
        <x:v>10</x:v>
      </x:c>
      <x:c r="AP61" s="18" t="n">
        <x:f>AO61-J61</x:f>
        <x:v>0</x:v>
      </x:c>
      <x:c r="AQ61" s="18" t="n">
        <x:f>IF(ISBLANK('原始输入与口径'!M63),"",'原始输入与口径'!M63)</x:f>
        <x:v>4.9741</x:v>
      </x:c>
      <x:c r="AR61" s="21" t="n">
        <x:f>IF(ISBLANK('原始输入与口径'!L63),"",'原始输入与口径'!L63)</x:f>
        <x:v>45657</x:v>
      </x:c>
      <x:c r="AS61" s="17" t="n">
        <x:f>IF(ISBLANK('原始输入与口径'!A63),"",'原始输入与口径'!A63)</x:f>
        <x:v>45658.479166666664</x:v>
      </x:c>
      <x:c r="AT61" s="18" t="str">
        <x:f>IF(ISBLANK('原始输入与口径'!I63),"",'原始输入与口径'!I63)</x:f>
        <x:v>2025-01-01_13</x:v>
      </x:c>
      <x:c r="AU61" s="19" t="n">
        <x:f>IF(ISBLANK('原始输入与口径'!J63),"",'原始输入与口径'!J63)</x:f>
        <x:v>60</x:v>
      </x:c>
      <x:c r="AV61" s="18" t="str">
        <x:f>IF(ISBLANK('原始输入与口径'!BB63),"",'原始输入与口径'!BB63)</x:f>
        <x:v>OK</x:v>
      </x:c>
    </x:row>
    <x:row r="62" ht="21" customHeight="1">
      <x:c r="A62" s="17" t="n">
        <x:f>45658.572916666664</x:f>
        <x:v>45658.572916666664</x:v>
      </x:c>
      <x:c r="B62" s="23" t="n">
        <x:f>IF(ISNUMBER('原始输入与口径'!H64),'原始输入与口径'!H64,"缺失")</x:f>
        <x:v>36.56</x:v>
      </x:c>
      <x:c r="C62" s="23" t="str">
        <x:f>IF(ISNUMBER('原始输入与口径'!R64),'原始输入与口径'!R64,"缺失")</x:f>
        <x:v>缺失</x:v>
      </x:c>
      <x:c r="D62" s="23" t="n">
        <x:f>IF(ISNUMBER('原始输入与口径'!W64),'原始输入与口径'!W64,"缺失")</x:f>
        <x:v>13.71102309965622</x:v>
      </x:c>
      <x:c r="E62" s="23" t="n">
        <x:f>IF(ISNUMBER('原始输入与口径'!AB64),'原始输入与口径'!AB64,"缺失")</x:f>
        <x:v>14.710198829939085</x:v>
      </x:c>
      <x:c r="F62" s="23" t="n">
        <x:f>IF(ISNUMBER('原始输入与口径'!AG64),'原始输入与口径'!AG64,"缺失")</x:f>
        <x:v>127.04207796385275</x:v>
      </x:c>
      <x:c r="G62" s="23" t="n">
        <x:f>IF(ISNUMBER('原始输入与口径'!AJ64),'原始输入与口径'!AJ64,"缺失")</x:f>
        <x:v>23.212842524275747</x:v>
      </x:c>
      <x:c r="H62" s="23" t="str">
        <x:f>"未模拟"</x:f>
        <x:v>未模拟</x:v>
      </x:c>
      <x:c r="I62" s="24" t="n">
        <x:f>'原始输入与口径'!BD64</x:f>
        <x:v>10</x:v>
      </x:c>
      <x:c r="J62" s="24" t="n">
        <x:f>'原始输入与口径'!BE64</x:f>
        <x:v>10</x:v>
      </x:c>
      <x:c r="K62" s="24" t="n">
        <x:f>'原始输入与口径'!BF64</x:f>
        <x:v>0</x:v>
      </x:c>
      <x:c r="L62" s="24" t="n">
        <x:f>'原始输入与口径'!BG64</x:f>
        <x:v>0</x:v>
      </x:c>
      <x:c r="M62" s="24" t="n">
        <x:f>'原始输入与口径'!BH64</x:f>
        <x:v>0</x:v>
      </x:c>
      <x:c r="N62" s="24" t="n">
        <x:f>'原始输入与口径'!BI64</x:f>
        <x:v>0</x:v>
      </x:c>
      <x:c r="O62" s="24" t="n">
        <x:f>M62*AE62*AC62</x:f>
        <x:v>0</x:v>
      </x:c>
      <x:c r="P62" s="24" t="n">
        <x:f>N62*AF62*AC62</x:f>
        <x:v>0</x:v>
      </x:c>
      <x:c r="Q62" s="25" t="n">
        <x:f>IF(K62=0,0,IF(ISNUMBER(B62),K62*AC62*B62,NA()))</x:f>
        <x:v>0</x:v>
      </x:c>
      <x:c r="R62" s="25" t="n">
        <x:f>IF(L62=0,0,IF(ISNUMBER(C62),L62*AC62*C62*AD62,NA()))</x:f>
        <x:v>0</x:v>
      </x:c>
      <x:c r="S62" s="25" t="n">
        <x:f>IF(M62=0,0,IF(ISNUMBER(D62),M62*AC62*D62*AD62,NA()))</x:f>
        <x:v>0</x:v>
      </x:c>
      <x:c r="T62" s="25" t="n">
        <x:f>IF(N62=0,0,IF(ISNUMBER(E62),N62*AC62*E62*AD62,NA()))</x:f>
        <x:v>0</x:v>
      </x:c>
      <x:c r="U62" s="25" t="n">
        <x:f>IF(O62=0,0,IF(ISNUMBER(F62),O62*F62,NA()))</x:f>
        <x:v>0</x:v>
      </x:c>
      <x:c r="V62" s="25" t="n">
        <x:f>IF(P62=0,0,IF(ISNUMBER(G62),-P62*G62,NA()))</x:f>
        <x:v>0</x:v>
      </x:c>
      <x:c r="W62" s="25" t="n">
        <x:f>SUM(Q62:V62)</x:f>
        <x:v>0</x:v>
      </x:c>
      <x:c r="X62" s="18" t="n">
        <x:f>'原始输入与口径'!BR64</x:f>
        <x:v>0</x:v>
      </x:c>
      <x:c r="Y62" s="18" t="n">
        <x:f>W62-X62</x:f>
        <x:v>0</x:v>
      </x:c>
      <x:c r="Z62" s="18" t="str">
        <x:f>"1月1日执行｜初始化零订单"</x:f>
        <x:v>1月1日执行｜初始化零订单</x:v>
      </x:c>
      <x:c r="AA62" s="19" t="n">
        <x:f>IF('原始输入与口径'!AW64,1,0)</x:f>
        <x:v>1</x:v>
      </x:c>
      <x:c r="AB62" s="19" t="n">
        <x:f>IF('原始输入与口径'!AY64,1,0)</x:f>
        <x:v>0</x:v>
      </x:c>
      <x:c r="AC62" s="18" t="n">
        <x:f>'原始输入与口径'!E64</x:f>
        <x:v>0.25</x:v>
      </x:c>
      <x:c r="AD62" s="20" t="n">
        <x:f>'原始输入与口径'!$F$5</x:f>
        <x:v>1</x:v>
      </x:c>
      <x:c r="AE62" s="20" t="n">
        <x:f>IF(AA62=0,0,AI62/(AG62*AC62))</x:f>
        <x:v>0.00012</x:v>
      </x:c>
      <x:c r="AF62" s="20" t="n">
        <x:f>IF(AA62=0,0,AJ62/(AH62*AC62))</x:f>
        <x:v>0.05836</x:v>
      </x:c>
      <x:c r="AG62" s="18" t="n">
        <x:f>IF(ISNUMBER('原始输入与口径'!T64),'原始输入与口径'!T64,"缺失")</x:f>
        <x:v>200</x:v>
      </x:c>
      <x:c r="AH62" s="18" t="n">
        <x:f>IF(ISNUMBER('原始输入与口径'!Y64),'原始输入与口径'!Y64,"缺失")</x:f>
        <x:v>200</x:v>
      </x:c>
      <x:c r="AI62" s="18" t="n">
        <x:f>IF(ISNUMBER('原始输入与口径'!AI64),'原始输入与口径'!AI64,"缺失")</x:f>
        <x:v>0.006</x:v>
      </x:c>
      <x:c r="AJ62" s="18" t="n">
        <x:f>IF(ISNUMBER('原始输入与口径'!AL64),'原始输入与口径'!AL64,"缺失")</x:f>
        <x:v>2.918</x:v>
      </x:c>
      <x:c r="AK62" s="18" t="str">
        <x:f>IF(ISNUMBER('原始输入与口径'!O64),'原始输入与口径'!O64,"缺失")</x:f>
        <x:v>缺失</x:v>
      </x:c>
      <x:c r="AL62" s="18" t="n">
        <x:f>SUMIFS('相位SOC复算'!$N$7:$N$443,'相位SOC复算'!$S$7:$S$443,56)</x:f>
        <x:v>0</x:v>
      </x:c>
      <x:c r="AM62" s="18" t="n">
        <x:f>SUMIFS('相位SOC复算'!$Q$7:$Q$443,'相位SOC复算'!$S$7:$S$443,56)</x:f>
        <x:v>0</x:v>
      </x:c>
      <x:c r="AN62" s="18" t="n">
        <x:f>SUMIFS('相位SOC复算'!$R$7:$R$443,'相位SOC复算'!$S$7:$S$443,56)</x:f>
        <x:v>0</x:v>
      </x:c>
      <x:c r="AO62" s="18" t="n">
        <x:f>'相位SOC复算'!J132</x:f>
        <x:v>10</x:v>
      </x:c>
      <x:c r="AP62" s="18" t="n">
        <x:f>AO62-J62</x:f>
        <x:v>0</x:v>
      </x:c>
      <x:c r="AQ62" s="18" t="n">
        <x:f>IF(ISBLANK('原始输入与口径'!M64),"",'原始输入与口径'!M64)</x:f>
        <x:v>4.9741</x:v>
      </x:c>
      <x:c r="AR62" s="21" t="n">
        <x:f>IF(ISBLANK('原始输入与口径'!L64),"",'原始输入与口径'!L64)</x:f>
        <x:v>45657</x:v>
      </x:c>
      <x:c r="AS62" s="17" t="n">
        <x:f>IF(ISBLANK('原始输入与口径'!A64),"",'原始输入与口径'!A64)</x:f>
        <x:v>45658.489583333336</x:v>
      </x:c>
      <x:c r="AT62" s="18" t="str">
        <x:f>IF(ISBLANK('原始输入与口径'!I64),"",'原始输入与口径'!I64)</x:f>
        <x:v>2025-01-01_13</x:v>
      </x:c>
      <x:c r="AU62" s="19" t="n">
        <x:f>IF(ISBLANK('原始输入与口径'!J64),"",'原始输入与口径'!J64)</x:f>
        <x:v>60</x:v>
      </x:c>
      <x:c r="AV62" s="18" t="str">
        <x:f>IF(ISBLANK('原始输入与口径'!BB64),"",'原始输入与口径'!BB64)</x:f>
        <x:v>OK</x:v>
      </x:c>
    </x:row>
    <x:row r="63" ht="21" customHeight="1">
      <x:c r="A63" s="17" t="n">
        <x:f>45658.583333333336</x:f>
        <x:v>45658.583333333336</x:v>
      </x:c>
      <x:c r="B63" s="23" t="n">
        <x:f>IF(ISNUMBER('原始输入与口径'!H65),'原始输入与口径'!H65,"缺失")</x:f>
        <x:v>53.17</x:v>
      </x:c>
      <x:c r="C63" s="23" t="str">
        <x:f>IF(ISNUMBER('原始输入与口径'!R65),'原始输入与口径'!R65,"缺失")</x:f>
        <x:v>缺失</x:v>
      </x:c>
      <x:c r="D63" s="23" t="n">
        <x:f>IF(ISNUMBER('原始输入与口径'!W65),'原始输入与口径'!W65,"缺失")</x:f>
        <x:v>13.71102309965622</x:v>
      </x:c>
      <x:c r="E63" s="23" t="n">
        <x:f>IF(ISNUMBER('原始输入与口径'!AB65),'原始输入与口径'!AB65,"缺失")</x:f>
        <x:v>14.710198829939085</x:v>
      </x:c>
      <x:c r="F63" s="23" t="n">
        <x:f>IF(ISNUMBER('原始输入与口径'!AG65),'原始输入与口径'!AG65,"缺失")</x:f>
        <x:v>0</x:v>
      </x:c>
      <x:c r="G63" s="23" t="n">
        <x:f>IF(ISNUMBER('原始输入与口径'!AJ65),'原始输入与口径'!AJ65,"缺失")</x:f>
        <x:v>2.433002955308498</x:v>
      </x:c>
      <x:c r="H63" s="23" t="str">
        <x:f>"未模拟"</x:f>
        <x:v>未模拟</x:v>
      </x:c>
      <x:c r="I63" s="24" t="n">
        <x:f>'原始输入与口径'!BD65</x:f>
        <x:v>10</x:v>
      </x:c>
      <x:c r="J63" s="24" t="n">
        <x:f>'原始输入与口径'!BE65</x:f>
        <x:v>10</x:v>
      </x:c>
      <x:c r="K63" s="24" t="n">
        <x:f>'原始输入与口径'!BF65</x:f>
        <x:v>0</x:v>
      </x:c>
      <x:c r="L63" s="24" t="n">
        <x:f>'原始输入与口径'!BG65</x:f>
        <x:v>0</x:v>
      </x:c>
      <x:c r="M63" s="24" t="n">
        <x:f>'原始输入与口径'!BH65</x:f>
        <x:v>0</x:v>
      </x:c>
      <x:c r="N63" s="24" t="n">
        <x:f>'原始输入与口径'!BI65</x:f>
        <x:v>0</x:v>
      </x:c>
      <x:c r="O63" s="24" t="n">
        <x:f>M63*AE63*AC63</x:f>
        <x:v>0</x:v>
      </x:c>
      <x:c r="P63" s="24" t="n">
        <x:f>N63*AF63*AC63</x:f>
        <x:v>0</x:v>
      </x:c>
      <x:c r="Q63" s="25" t="n">
        <x:f>IF(K63=0,0,IF(ISNUMBER(B63),K63*AC63*B63,NA()))</x:f>
        <x:v>0</x:v>
      </x:c>
      <x:c r="R63" s="25" t="n">
        <x:f>IF(L63=0,0,IF(ISNUMBER(C63),L63*AC63*C63*AD63,NA()))</x:f>
        <x:v>0</x:v>
      </x:c>
      <x:c r="S63" s="25" t="n">
        <x:f>IF(M63=0,0,IF(ISNUMBER(D63),M63*AC63*D63*AD63,NA()))</x:f>
        <x:v>0</x:v>
      </x:c>
      <x:c r="T63" s="25" t="n">
        <x:f>IF(N63=0,0,IF(ISNUMBER(E63),N63*AC63*E63*AD63,NA()))</x:f>
        <x:v>0</x:v>
      </x:c>
      <x:c r="U63" s="25" t="n">
        <x:f>IF(O63=0,0,IF(ISNUMBER(F63),O63*F63,NA()))</x:f>
        <x:v>0</x:v>
      </x:c>
      <x:c r="V63" s="25" t="n">
        <x:f>IF(P63=0,0,IF(ISNUMBER(G63),-P63*G63,NA()))</x:f>
        <x:v>0</x:v>
      </x:c>
      <x:c r="W63" s="25" t="n">
        <x:f>SUM(Q63:V63)</x:f>
        <x:v>0</x:v>
      </x:c>
      <x:c r="X63" s="18" t="n">
        <x:f>'原始输入与口径'!BR65</x:f>
        <x:v>0</x:v>
      </x:c>
      <x:c r="Y63" s="18" t="n">
        <x:f>W63-X63</x:f>
        <x:v>0</x:v>
      </x:c>
      <x:c r="Z63" s="18" t="str">
        <x:f>"1月1日执行｜初始化零订单"</x:f>
        <x:v>1月1日执行｜初始化零订单</x:v>
      </x:c>
      <x:c r="AA63" s="19" t="n">
        <x:f>IF('原始输入与口径'!AW65,1,0)</x:f>
        <x:v>1</x:v>
      </x:c>
      <x:c r="AB63" s="19" t="n">
        <x:f>IF('原始输入与口径'!AY65,1,0)</x:f>
        <x:v>0</x:v>
      </x:c>
      <x:c r="AC63" s="18" t="n">
        <x:f>'原始输入与口径'!E65</x:f>
        <x:v>0.25</x:v>
      </x:c>
      <x:c r="AD63" s="20" t="n">
        <x:f>'原始输入与口径'!$F$5</x:f>
        <x:v>1</x:v>
      </x:c>
      <x:c r="AE63" s="20" t="n">
        <x:f>IF(AA63=0,0,AI63/(AG63*AC63))</x:f>
        <x:v>0</x:v>
      </x:c>
      <x:c r="AF63" s="20" t="n">
        <x:f>IF(AA63=0,0,AJ63/(AH63*AC63))</x:f>
        <x:v>0.40484000000000003</x:v>
      </x:c>
      <x:c r="AG63" s="18" t="n">
        <x:f>IF(ISNUMBER('原始输入与口径'!T65),'原始输入与口径'!T65,"缺失")</x:f>
        <x:v>200</x:v>
      </x:c>
      <x:c r="AH63" s="18" t="n">
        <x:f>IF(ISNUMBER('原始输入与口径'!Y65),'原始输入与口径'!Y65,"缺失")</x:f>
        <x:v>200</x:v>
      </x:c>
      <x:c r="AI63" s="18" t="n">
        <x:f>IF(ISNUMBER('原始输入与口径'!AI65),'原始输入与口径'!AI65,"缺失")</x:f>
        <x:v>0</x:v>
      </x:c>
      <x:c r="AJ63" s="18" t="n">
        <x:f>IF(ISNUMBER('原始输入与口径'!AL65),'原始输入与口径'!AL65,"缺失")</x:f>
        <x:v>20.242</x:v>
      </x:c>
      <x:c r="AK63" s="18" t="str">
        <x:f>IF(ISNUMBER('原始输入与口径'!O65),'原始输入与口径'!O65,"缺失")</x:f>
        <x:v>缺失</x:v>
      </x:c>
      <x:c r="AL63" s="18" t="n">
        <x:f>SUMIFS('相位SOC复算'!$N$7:$N$443,'相位SOC复算'!$S$7:$S$443,57)</x:f>
        <x:v>0</x:v>
      </x:c>
      <x:c r="AM63" s="18" t="n">
        <x:f>SUMIFS('相位SOC复算'!$Q$7:$Q$443,'相位SOC复算'!$S$7:$S$443,57)</x:f>
        <x:v>0</x:v>
      </x:c>
      <x:c r="AN63" s="18" t="n">
        <x:f>SUMIFS('相位SOC复算'!$R$7:$R$443,'相位SOC复算'!$S$7:$S$443,57)</x:f>
        <x:v>0</x:v>
      </x:c>
      <x:c r="AO63" s="18" t="n">
        <x:f>'相位SOC复算'!J134</x:f>
        <x:v>10</x:v>
      </x:c>
      <x:c r="AP63" s="18" t="n">
        <x:f>AO63-J63</x:f>
        <x:v>0</x:v>
      </x:c>
      <x:c r="AQ63" s="18" t="n">
        <x:f>IF(ISBLANK('原始输入与口径'!M65),"",'原始输入与口径'!M65)</x:f>
        <x:v>4.9741</x:v>
      </x:c>
      <x:c r="AR63" s="21" t="n">
        <x:f>IF(ISBLANK('原始输入与口径'!L65),"",'原始输入与口径'!L65)</x:f>
        <x:v>45657</x:v>
      </x:c>
      <x:c r="AS63" s="17" t="n">
        <x:f>IF(ISBLANK('原始输入与口径'!A65),"",'原始输入与口径'!A65)</x:f>
        <x:v>45658.5</x:v>
      </x:c>
      <x:c r="AT63" s="18" t="str">
        <x:f>IF(ISBLANK('原始输入与口径'!I65),"",'原始输入与口径'!I65)</x:f>
        <x:v>2025-01-01_14</x:v>
      </x:c>
      <x:c r="AU63" s="19" t="n">
        <x:f>IF(ISBLANK('原始输入与口径'!J65),"",'原始输入与口径'!J65)</x:f>
        <x:v>60</x:v>
      </x:c>
      <x:c r="AV63" s="18" t="str">
        <x:f>IF(ISBLANK('原始输入与口径'!BB65),"",'原始输入与口径'!BB65)</x:f>
        <x:v>OK</x:v>
      </x:c>
    </x:row>
    <x:row r="64" ht="21" customHeight="1">
      <x:c r="A64" s="17" t="n">
        <x:f>45658.59375</x:f>
        <x:v>45658.59375</x:v>
      </x:c>
      <x:c r="B64" s="23" t="n">
        <x:f>IF(ISNUMBER('原始输入与口径'!H66),'原始输入与口径'!H66,"缺失")</x:f>
        <x:v>53.17</x:v>
      </x:c>
      <x:c r="C64" s="23" t="str">
        <x:f>IF(ISNUMBER('原始输入与口径'!R66),'原始输入与口径'!R66,"缺失")</x:f>
        <x:v>缺失</x:v>
      </x:c>
      <x:c r="D64" s="23" t="n">
        <x:f>IF(ISNUMBER('原始输入与口径'!W66),'原始输入与口径'!W66,"缺失")</x:f>
        <x:v>13.71102309965622</x:v>
      </x:c>
      <x:c r="E64" s="23" t="n">
        <x:f>IF(ISNUMBER('原始输入与口径'!AB66),'原始输入与口径'!AB66,"缺失")</x:f>
        <x:v>14.710198829939085</x:v>
      </x:c>
      <x:c r="F64" s="23" t="n">
        <x:f>IF(ISNUMBER('原始输入与口径'!AG66),'原始输入与口径'!AG66,"缺失")</x:f>
        <x:v>0</x:v>
      </x:c>
      <x:c r="G64" s="23" t="n">
        <x:f>IF(ISNUMBER('原始输入与口径'!AJ66),'原始输入与口径'!AJ66,"缺失")</x:f>
        <x:v>0.2909068977302427</x:v>
      </x:c>
      <x:c r="H64" s="23" t="str">
        <x:f>"未模拟"</x:f>
        <x:v>未模拟</x:v>
      </x:c>
      <x:c r="I64" s="24" t="n">
        <x:f>'原始输入与口径'!BD66</x:f>
        <x:v>10</x:v>
      </x:c>
      <x:c r="J64" s="24" t="n">
        <x:f>'原始输入与口径'!BE66</x:f>
        <x:v>10</x:v>
      </x:c>
      <x:c r="K64" s="24" t="n">
        <x:f>'原始输入与口径'!BF66</x:f>
        <x:v>0</x:v>
      </x:c>
      <x:c r="L64" s="24" t="n">
        <x:f>'原始输入与口径'!BG66</x:f>
        <x:v>0</x:v>
      </x:c>
      <x:c r="M64" s="24" t="n">
        <x:f>'原始输入与口径'!BH66</x:f>
        <x:v>0</x:v>
      </x:c>
      <x:c r="N64" s="24" t="n">
        <x:f>'原始输入与口径'!BI66</x:f>
        <x:v>0</x:v>
      </x:c>
      <x:c r="O64" s="24" t="n">
        <x:f>M64*AE64*AC64</x:f>
        <x:v>0</x:v>
      </x:c>
      <x:c r="P64" s="24" t="n">
        <x:f>N64*AF64*AC64</x:f>
        <x:v>0</x:v>
      </x:c>
      <x:c r="Q64" s="25" t="n">
        <x:f>IF(K64=0,0,IF(ISNUMBER(B64),K64*AC64*B64,NA()))</x:f>
        <x:v>0</x:v>
      </x:c>
      <x:c r="R64" s="25" t="n">
        <x:f>IF(L64=0,0,IF(ISNUMBER(C64),L64*AC64*C64*AD64,NA()))</x:f>
        <x:v>0</x:v>
      </x:c>
      <x:c r="S64" s="25" t="n">
        <x:f>IF(M64=0,0,IF(ISNUMBER(D64),M64*AC64*D64*AD64,NA()))</x:f>
        <x:v>0</x:v>
      </x:c>
      <x:c r="T64" s="25" t="n">
        <x:f>IF(N64=0,0,IF(ISNUMBER(E64),N64*AC64*E64*AD64,NA()))</x:f>
        <x:v>0</x:v>
      </x:c>
      <x:c r="U64" s="25" t="n">
        <x:f>IF(O64=0,0,IF(ISNUMBER(F64),O64*F64,NA()))</x:f>
        <x:v>0</x:v>
      </x:c>
      <x:c r="V64" s="25" t="n">
        <x:f>IF(P64=0,0,IF(ISNUMBER(G64),-P64*G64,NA()))</x:f>
        <x:v>0</x:v>
      </x:c>
      <x:c r="W64" s="25" t="n">
        <x:f>SUM(Q64:V64)</x:f>
        <x:v>0</x:v>
      </x:c>
      <x:c r="X64" s="18" t="n">
        <x:f>'原始输入与口径'!BR66</x:f>
        <x:v>0</x:v>
      </x:c>
      <x:c r="Y64" s="18" t="n">
        <x:f>W64-X64</x:f>
        <x:v>0</x:v>
      </x:c>
      <x:c r="Z64" s="18" t="str">
        <x:f>"1月1日执行｜初始化零订单"</x:f>
        <x:v>1月1日执行｜初始化零订单</x:v>
      </x:c>
      <x:c r="AA64" s="19" t="n">
        <x:f>IF('原始输入与口径'!AW66,1,0)</x:f>
        <x:v>1</x:v>
      </x:c>
      <x:c r="AB64" s="19" t="n">
        <x:f>IF('原始输入与口径'!AY66,1,0)</x:f>
        <x:v>0</x:v>
      </x:c>
      <x:c r="AC64" s="18" t="n">
        <x:f>'原始输入与口径'!E66</x:f>
        <x:v>0.25</x:v>
      </x:c>
      <x:c r="AD64" s="20" t="n">
        <x:f>'原始输入与口径'!$F$5</x:f>
        <x:v>1</x:v>
      </x:c>
      <x:c r="AE64" s="20" t="n">
        <x:f>IF(AA64=0,0,AI64/(AG64*AC64))</x:f>
        <x:v>0</x:v>
      </x:c>
      <x:c r="AF64" s="20" t="n">
        <x:f>IF(AA64=0,0,AJ64/(AH64*AC64))</x:f>
        <x:v>0.48469999999999996</x:v>
      </x:c>
      <x:c r="AG64" s="18" t="n">
        <x:f>IF(ISNUMBER('原始输入与口径'!T66),'原始输入与口径'!T66,"缺失")</x:f>
        <x:v>200</x:v>
      </x:c>
      <x:c r="AH64" s="18" t="n">
        <x:f>IF(ISNUMBER('原始输入与口径'!Y66),'原始输入与口径'!Y66,"缺失")</x:f>
        <x:v>200</x:v>
      </x:c>
      <x:c r="AI64" s="18" t="n">
        <x:f>IF(ISNUMBER('原始输入与口径'!AI66),'原始输入与口径'!AI66,"缺失")</x:f>
        <x:v>0</x:v>
      </x:c>
      <x:c r="AJ64" s="18" t="n">
        <x:f>IF(ISNUMBER('原始输入与口径'!AL66),'原始输入与口径'!AL66,"缺失")</x:f>
        <x:v>24.235</x:v>
      </x:c>
      <x:c r="AK64" s="18" t="str">
        <x:f>IF(ISNUMBER('原始输入与口径'!O66),'原始输入与口径'!O66,"缺失")</x:f>
        <x:v>缺失</x:v>
      </x:c>
      <x:c r="AL64" s="18" t="n">
        <x:f>SUMIFS('相位SOC复算'!$N$7:$N$443,'相位SOC复算'!$S$7:$S$443,58)</x:f>
        <x:v>0</x:v>
      </x:c>
      <x:c r="AM64" s="18" t="n">
        <x:f>SUMIFS('相位SOC复算'!$Q$7:$Q$443,'相位SOC复算'!$S$7:$S$443,58)</x:f>
        <x:v>0</x:v>
      </x:c>
      <x:c r="AN64" s="18" t="n">
        <x:f>SUMIFS('相位SOC复算'!$R$7:$R$443,'相位SOC复算'!$S$7:$S$443,58)</x:f>
        <x:v>0</x:v>
      </x:c>
      <x:c r="AO64" s="18" t="n">
        <x:f>'相位SOC复算'!J136</x:f>
        <x:v>10</x:v>
      </x:c>
      <x:c r="AP64" s="18" t="n">
        <x:f>AO64-J64</x:f>
        <x:v>0</x:v>
      </x:c>
      <x:c r="AQ64" s="18" t="n">
        <x:f>IF(ISBLANK('原始输入与口径'!M66),"",'原始输入与口径'!M66)</x:f>
        <x:v>4.9741</x:v>
      </x:c>
      <x:c r="AR64" s="21" t="n">
        <x:f>IF(ISBLANK('原始输入与口径'!L66),"",'原始输入与口径'!L66)</x:f>
        <x:v>45657</x:v>
      </x:c>
      <x:c r="AS64" s="17" t="n">
        <x:f>IF(ISBLANK('原始输入与口径'!A66),"",'原始输入与口径'!A66)</x:f>
        <x:v>45658.510416666664</x:v>
      </x:c>
      <x:c r="AT64" s="18" t="str">
        <x:f>IF(ISBLANK('原始输入与口径'!I66),"",'原始输入与口径'!I66)</x:f>
        <x:v>2025-01-01_14</x:v>
      </x:c>
      <x:c r="AU64" s="19" t="n">
        <x:f>IF(ISBLANK('原始输入与口径'!J66),"",'原始输入与口径'!J66)</x:f>
        <x:v>60</x:v>
      </x:c>
      <x:c r="AV64" s="18" t="str">
        <x:f>IF(ISBLANK('原始输入与口径'!BB66),"",'原始输入与口径'!BB66)</x:f>
        <x:v>OK</x:v>
      </x:c>
    </x:row>
    <x:row r="65" ht="21" customHeight="1">
      <x:c r="A65" s="17" t="n">
        <x:f>45658.604166666664</x:f>
        <x:v>45658.604166666664</x:v>
      </x:c>
      <x:c r="B65" s="23" t="n">
        <x:f>IF(ISNUMBER('原始输入与口径'!H67),'原始输入与口径'!H67,"缺失")</x:f>
        <x:v>53.17</x:v>
      </x:c>
      <x:c r="C65" s="23" t="str">
        <x:f>IF(ISNUMBER('原始输入与口径'!R67),'原始输入与口径'!R67,"缺失")</x:f>
        <x:v>缺失</x:v>
      </x:c>
      <x:c r="D65" s="23" t="n">
        <x:f>IF(ISNUMBER('原始输入与口径'!W67),'原始输入与口径'!W67,"缺失")</x:f>
        <x:v>13.71102309965622</x:v>
      </x:c>
      <x:c r="E65" s="23" t="n">
        <x:f>IF(ISNUMBER('原始输入与口径'!AB67),'原始输入与口径'!AB67,"缺失")</x:f>
        <x:v>14.710198829939085</x:v>
      </x:c>
      <x:c r="F65" s="23" t="n">
        <x:f>IF(ISNUMBER('原始输入与口径'!AG67),'原始输入与口径'!AG67,"缺失")</x:f>
        <x:v>0</x:v>
      </x:c>
      <x:c r="G65" s="23" t="n">
        <x:f>IF(ISNUMBER('原始输入与口径'!AJ67),'原始输入与口径'!AJ67,"缺失")</x:f>
        <x:v>10.445306688647193</x:v>
      </x:c>
      <x:c r="H65" s="23" t="str">
        <x:f>"未模拟"</x:f>
        <x:v>未模拟</x:v>
      </x:c>
      <x:c r="I65" s="24" t="n">
        <x:f>'原始输入与口径'!BD67</x:f>
        <x:v>10</x:v>
      </x:c>
      <x:c r="J65" s="24" t="n">
        <x:f>'原始输入与口径'!BE67</x:f>
        <x:v>10</x:v>
      </x:c>
      <x:c r="K65" s="24" t="n">
        <x:f>'原始输入与口径'!BF67</x:f>
        <x:v>0</x:v>
      </x:c>
      <x:c r="L65" s="24" t="n">
        <x:f>'原始输入与口径'!BG67</x:f>
        <x:v>0</x:v>
      </x:c>
      <x:c r="M65" s="24" t="n">
        <x:f>'原始输入与口径'!BH67</x:f>
        <x:v>0</x:v>
      </x:c>
      <x:c r="N65" s="24" t="n">
        <x:f>'原始输入与口径'!BI67</x:f>
        <x:v>0</x:v>
      </x:c>
      <x:c r="O65" s="24" t="n">
        <x:f>M65*AE65*AC65</x:f>
        <x:v>0</x:v>
      </x:c>
      <x:c r="P65" s="24" t="n">
        <x:f>N65*AF65*AC65</x:f>
        <x:v>0</x:v>
      </x:c>
      <x:c r="Q65" s="25" t="n">
        <x:f>IF(K65=0,0,IF(ISNUMBER(B65),K65*AC65*B65,NA()))</x:f>
        <x:v>0</x:v>
      </x:c>
      <x:c r="R65" s="25" t="n">
        <x:f>IF(L65=0,0,IF(ISNUMBER(C65),L65*AC65*C65*AD65,NA()))</x:f>
        <x:v>0</x:v>
      </x:c>
      <x:c r="S65" s="25" t="n">
        <x:f>IF(M65=0,0,IF(ISNUMBER(D65),M65*AC65*D65*AD65,NA()))</x:f>
        <x:v>0</x:v>
      </x:c>
      <x:c r="T65" s="25" t="n">
        <x:f>IF(N65=0,0,IF(ISNUMBER(E65),N65*AC65*E65*AD65,NA()))</x:f>
        <x:v>0</x:v>
      </x:c>
      <x:c r="U65" s="25" t="n">
        <x:f>IF(O65=0,0,IF(ISNUMBER(F65),O65*F65,NA()))</x:f>
        <x:v>0</x:v>
      </x:c>
      <x:c r="V65" s="25" t="n">
        <x:f>IF(P65=0,0,IF(ISNUMBER(G65),-P65*G65,NA()))</x:f>
        <x:v>0</x:v>
      </x:c>
      <x:c r="W65" s="25" t="n">
        <x:f>SUM(Q65:V65)</x:f>
        <x:v>0</x:v>
      </x:c>
      <x:c r="X65" s="18" t="n">
        <x:f>'原始输入与口径'!BR67</x:f>
        <x:v>0</x:v>
      </x:c>
      <x:c r="Y65" s="18" t="n">
        <x:f>W65-X65</x:f>
        <x:v>0</x:v>
      </x:c>
      <x:c r="Z65" s="18" t="str">
        <x:f>"1月1日执行｜初始化零订单"</x:f>
        <x:v>1月1日执行｜初始化零订单</x:v>
      </x:c>
      <x:c r="AA65" s="19" t="n">
        <x:f>IF('原始输入与口径'!AW67,1,0)</x:f>
        <x:v>1</x:v>
      </x:c>
      <x:c r="AB65" s="19" t="n">
        <x:f>IF('原始输入与口径'!AY67,1,0)</x:f>
        <x:v>0</x:v>
      </x:c>
      <x:c r="AC65" s="18" t="n">
        <x:f>'原始输入与口径'!E67</x:f>
        <x:v>0.25</x:v>
      </x:c>
      <x:c r="AD65" s="20" t="n">
        <x:f>'原始输入与口径'!$F$5</x:f>
        <x:v>1</x:v>
      </x:c>
      <x:c r="AE65" s="20" t="n">
        <x:f>IF(AA65=0,0,AI65/(AG65*AC65))</x:f>
        <x:v>0</x:v>
      </x:c>
      <x:c r="AF65" s="20" t="n">
        <x:f>IF(AA65=0,0,AJ65/(AH65*AC65))</x:f>
        <x:v>0.25373999999999997</x:v>
      </x:c>
      <x:c r="AG65" s="18" t="n">
        <x:f>IF(ISNUMBER('原始输入与口径'!T67),'原始输入与口径'!T67,"缺失")</x:f>
        <x:v>200</x:v>
      </x:c>
      <x:c r="AH65" s="18" t="n">
        <x:f>IF(ISNUMBER('原始输入与口径'!Y67),'原始输入与口径'!Y67,"缺失")</x:f>
        <x:v>200</x:v>
      </x:c>
      <x:c r="AI65" s="18" t="n">
        <x:f>IF(ISNUMBER('原始输入与口径'!AI67),'原始输入与口径'!AI67,"缺失")</x:f>
        <x:v>0</x:v>
      </x:c>
      <x:c r="AJ65" s="18" t="n">
        <x:f>IF(ISNUMBER('原始输入与口径'!AL67),'原始输入与口径'!AL67,"缺失")</x:f>
        <x:v>12.687</x:v>
      </x:c>
      <x:c r="AK65" s="18" t="str">
        <x:f>IF(ISNUMBER('原始输入与口径'!O67),'原始输入与口径'!O67,"缺失")</x:f>
        <x:v>缺失</x:v>
      </x:c>
      <x:c r="AL65" s="18" t="n">
        <x:f>SUMIFS('相位SOC复算'!$N$7:$N$443,'相位SOC复算'!$S$7:$S$443,59)</x:f>
        <x:v>0</x:v>
      </x:c>
      <x:c r="AM65" s="18" t="n">
        <x:f>SUMIFS('相位SOC复算'!$Q$7:$Q$443,'相位SOC复算'!$S$7:$S$443,59)</x:f>
        <x:v>0</x:v>
      </x:c>
      <x:c r="AN65" s="18" t="n">
        <x:f>SUMIFS('相位SOC复算'!$R$7:$R$443,'相位SOC复算'!$S$7:$S$443,59)</x:f>
        <x:v>0</x:v>
      </x:c>
      <x:c r="AO65" s="18" t="n">
        <x:f>'相位SOC复算'!J138</x:f>
        <x:v>10</x:v>
      </x:c>
      <x:c r="AP65" s="18" t="n">
        <x:f>AO65-J65</x:f>
        <x:v>0</x:v>
      </x:c>
      <x:c r="AQ65" s="18" t="n">
        <x:f>IF(ISBLANK('原始输入与口径'!M67),"",'原始输入与口径'!M67)</x:f>
        <x:v>4.9741</x:v>
      </x:c>
      <x:c r="AR65" s="21" t="n">
        <x:f>IF(ISBLANK('原始输入与口径'!L67),"",'原始输入与口径'!L67)</x:f>
        <x:v>45657</x:v>
      </x:c>
      <x:c r="AS65" s="17" t="n">
        <x:f>IF(ISBLANK('原始输入与口径'!A67),"",'原始输入与口径'!A67)</x:f>
        <x:v>45658.520833333336</x:v>
      </x:c>
      <x:c r="AT65" s="18" t="str">
        <x:f>IF(ISBLANK('原始输入与口径'!I67),"",'原始输入与口径'!I67)</x:f>
        <x:v>2025-01-01_14</x:v>
      </x:c>
      <x:c r="AU65" s="19" t="n">
        <x:f>IF(ISBLANK('原始输入与口径'!J67),"",'原始输入与口径'!J67)</x:f>
        <x:v>60</x:v>
      </x:c>
      <x:c r="AV65" s="18" t="str">
        <x:f>IF(ISBLANK('原始输入与口径'!BB67),"",'原始输入与口径'!BB67)</x:f>
        <x:v>OK</x:v>
      </x:c>
    </x:row>
    <x:row r="66" ht="21" customHeight="1">
      <x:c r="A66" s="17" t="n">
        <x:f>45658.614583333336</x:f>
        <x:v>45658.614583333336</x:v>
      </x:c>
      <x:c r="B66" s="23" t="n">
        <x:f>IF(ISNUMBER('原始输入与口径'!H68),'原始输入与口径'!H68,"缺失")</x:f>
        <x:v>53.17</x:v>
      </x:c>
      <x:c r="C66" s="23" t="str">
        <x:f>IF(ISNUMBER('原始输入与口径'!R68),'原始输入与口径'!R68,"缺失")</x:f>
        <x:v>缺失</x:v>
      </x:c>
      <x:c r="D66" s="23" t="n">
        <x:f>IF(ISNUMBER('原始输入与口径'!W68),'原始输入与口径'!W68,"缺失")</x:f>
        <x:v>13.71102309965622</x:v>
      </x:c>
      <x:c r="E66" s="23" t="n">
        <x:f>IF(ISNUMBER('原始输入与口径'!AB68),'原始输入与口径'!AB68,"缺失")</x:f>
        <x:v>14.710198829939085</x:v>
      </x:c>
      <x:c r="F66" s="23" t="n">
        <x:f>IF(ISNUMBER('原始输入与口径'!AG68),'原始输入与口径'!AG68,"缺失")</x:f>
        <x:v>0</x:v>
      </x:c>
      <x:c r="G66" s="23" t="n">
        <x:f>IF(ISNUMBER('原始输入与口径'!AJ68),'原始输入与口径'!AJ68,"缺失")</x:f>
        <x:v>25.6723829436481</x:v>
      </x:c>
      <x:c r="H66" s="23" t="str">
        <x:f>"未模拟"</x:f>
        <x:v>未模拟</x:v>
      </x:c>
      <x:c r="I66" s="24" t="n">
        <x:f>'原始输入与口径'!BD68</x:f>
        <x:v>10</x:v>
      </x:c>
      <x:c r="J66" s="24" t="n">
        <x:f>'原始输入与口径'!BE68</x:f>
        <x:v>10</x:v>
      </x:c>
      <x:c r="K66" s="24" t="n">
        <x:f>'原始输入与口径'!BF68</x:f>
        <x:v>0</x:v>
      </x:c>
      <x:c r="L66" s="24" t="n">
        <x:f>'原始输入与口径'!BG68</x:f>
        <x:v>0</x:v>
      </x:c>
      <x:c r="M66" s="24" t="n">
        <x:f>'原始输入与口径'!BH68</x:f>
        <x:v>0</x:v>
      </x:c>
      <x:c r="N66" s="24" t="n">
        <x:f>'原始输入与口径'!BI68</x:f>
        <x:v>0</x:v>
      </x:c>
      <x:c r="O66" s="24" t="n">
        <x:f>M66*AE66*AC66</x:f>
        <x:v>0</x:v>
      </x:c>
      <x:c r="P66" s="24" t="n">
        <x:f>N66*AF66*AC66</x:f>
        <x:v>0</x:v>
      </x:c>
      <x:c r="Q66" s="25" t="n">
        <x:f>IF(K66=0,0,IF(ISNUMBER(B66),K66*AC66*B66,NA()))</x:f>
        <x:v>0</x:v>
      </x:c>
      <x:c r="R66" s="25" t="n">
        <x:f>IF(L66=0,0,IF(ISNUMBER(C66),L66*AC66*C66*AD66,NA()))</x:f>
        <x:v>0</x:v>
      </x:c>
      <x:c r="S66" s="25" t="n">
        <x:f>IF(M66=0,0,IF(ISNUMBER(D66),M66*AC66*D66*AD66,NA()))</x:f>
        <x:v>0</x:v>
      </x:c>
      <x:c r="T66" s="25" t="n">
        <x:f>IF(N66=0,0,IF(ISNUMBER(E66),N66*AC66*E66*AD66,NA()))</x:f>
        <x:v>0</x:v>
      </x:c>
      <x:c r="U66" s="25" t="n">
        <x:f>IF(O66=0,0,IF(ISNUMBER(F66),O66*F66,NA()))</x:f>
        <x:v>0</x:v>
      </x:c>
      <x:c r="V66" s="25" t="n">
        <x:f>IF(P66=0,0,IF(ISNUMBER(G66),-P66*G66,NA()))</x:f>
        <x:v>0</x:v>
      </x:c>
      <x:c r="W66" s="25" t="n">
        <x:f>SUM(Q66:V66)</x:f>
        <x:v>0</x:v>
      </x:c>
      <x:c r="X66" s="18" t="n">
        <x:f>'原始输入与口径'!BR68</x:f>
        <x:v>0</x:v>
      </x:c>
      <x:c r="Y66" s="18" t="n">
        <x:f>W66-X66</x:f>
        <x:v>0</x:v>
      </x:c>
      <x:c r="Z66" s="18" t="str">
        <x:f>"1月1日执行｜初始化零订单"</x:f>
        <x:v>1月1日执行｜初始化零订单</x:v>
      </x:c>
      <x:c r="AA66" s="19" t="n">
        <x:f>IF('原始输入与口径'!AW68,1,0)</x:f>
        <x:v>1</x:v>
      </x:c>
      <x:c r="AB66" s="19" t="n">
        <x:f>IF('原始输入与口径'!AY68,1,0)</x:f>
        <x:v>0</x:v>
      </x:c>
      <x:c r="AC66" s="18" t="n">
        <x:f>'原始输入与口径'!E68</x:f>
        <x:v>0.25</x:v>
      </x:c>
      <x:c r="AD66" s="20" t="n">
        <x:f>'原始输入与口径'!$F$5</x:f>
        <x:v>1</x:v>
      </x:c>
      <x:c r="AE66" s="20" t="n">
        <x:f>IF(AA66=0,0,AI66/(AG66*AC66))</x:f>
        <x:v>0</x:v>
      </x:c>
      <x:c r="AF66" s="20" t="n">
        <x:f>IF(AA66=0,0,AJ66/(AH66*AC66))</x:f>
        <x:v>0.07429999999999999</x:v>
      </x:c>
      <x:c r="AG66" s="18" t="n">
        <x:f>IF(ISNUMBER('原始输入与口径'!T68),'原始输入与口径'!T68,"缺失")</x:f>
        <x:v>200</x:v>
      </x:c>
      <x:c r="AH66" s="18" t="n">
        <x:f>IF(ISNUMBER('原始输入与口径'!Y68),'原始输入与口径'!Y68,"缺失")</x:f>
        <x:v>200</x:v>
      </x:c>
      <x:c r="AI66" s="18" t="n">
        <x:f>IF(ISNUMBER('原始输入与口径'!AI68),'原始输入与口径'!AI68,"缺失")</x:f>
        <x:v>0</x:v>
      </x:c>
      <x:c r="AJ66" s="18" t="n">
        <x:f>IF(ISNUMBER('原始输入与口径'!AL68),'原始输入与口径'!AL68,"缺失")</x:f>
        <x:v>3.715</x:v>
      </x:c>
      <x:c r="AK66" s="18" t="str">
        <x:f>IF(ISNUMBER('原始输入与口径'!O68),'原始输入与口径'!O68,"缺失")</x:f>
        <x:v>缺失</x:v>
      </x:c>
      <x:c r="AL66" s="18" t="n">
        <x:f>SUMIFS('相位SOC复算'!$N$7:$N$443,'相位SOC复算'!$S$7:$S$443,60)</x:f>
        <x:v>0</x:v>
      </x:c>
      <x:c r="AM66" s="18" t="n">
        <x:f>SUMIFS('相位SOC复算'!$Q$7:$Q$443,'相位SOC复算'!$S$7:$S$443,60)</x:f>
        <x:v>0</x:v>
      </x:c>
      <x:c r="AN66" s="18" t="n">
        <x:f>SUMIFS('相位SOC复算'!$R$7:$R$443,'相位SOC复算'!$S$7:$S$443,60)</x:f>
        <x:v>0</x:v>
      </x:c>
      <x:c r="AO66" s="18" t="n">
        <x:f>'相位SOC复算'!J140</x:f>
        <x:v>10</x:v>
      </x:c>
      <x:c r="AP66" s="18" t="n">
        <x:f>AO66-J66</x:f>
        <x:v>0</x:v>
      </x:c>
      <x:c r="AQ66" s="18" t="n">
        <x:f>IF(ISBLANK('原始输入与口径'!M68),"",'原始输入与口径'!M68)</x:f>
        <x:v>4.9741</x:v>
      </x:c>
      <x:c r="AR66" s="21" t="n">
        <x:f>IF(ISBLANK('原始输入与口径'!L68),"",'原始输入与口径'!L68)</x:f>
        <x:v>45657</x:v>
      </x:c>
      <x:c r="AS66" s="17" t="n">
        <x:f>IF(ISBLANK('原始输入与口径'!A68),"",'原始输入与口径'!A68)</x:f>
        <x:v>45658.53125</x:v>
      </x:c>
      <x:c r="AT66" s="18" t="str">
        <x:f>IF(ISBLANK('原始输入与口径'!I68),"",'原始输入与口径'!I68)</x:f>
        <x:v>2025-01-01_14</x:v>
      </x:c>
      <x:c r="AU66" s="19" t="n">
        <x:f>IF(ISBLANK('原始输入与口径'!J68),"",'原始输入与口径'!J68)</x:f>
        <x:v>60</x:v>
      </x:c>
      <x:c r="AV66" s="18" t="str">
        <x:f>IF(ISBLANK('原始输入与口径'!BB68),"",'原始输入与口径'!BB68)</x:f>
        <x:v>OK</x:v>
      </x:c>
    </x:row>
    <x:row r="67" ht="21" customHeight="1">
      <x:c r="A67" s="17" t="n">
        <x:f>45658.625</x:f>
        <x:v>45658.625</x:v>
      </x:c>
      <x:c r="B67" s="23" t="n">
        <x:f>IF(ISNUMBER('原始输入与口径'!H69),'原始输入与口径'!H69,"缺失")</x:f>
        <x:v>66.8</x:v>
      </x:c>
      <x:c r="C67" s="23" t="str">
        <x:f>IF(ISNUMBER('原始输入与口径'!R69),'原始输入与口径'!R69,"缺失")</x:f>
        <x:v>缺失</x:v>
      </x:c>
      <x:c r="D67" s="23" t="n">
        <x:f>IF(ISNUMBER('原始输入与口径'!W69),'原始输入与口径'!W69,"缺失")</x:f>
        <x:v>13.831647936310086</x:v>
      </x:c>
      <x:c r="E67" s="23" t="n">
        <x:f>IF(ISNUMBER('原始输入与口径'!AB69),'原始输入与口径'!AB69,"缺失")</x:f>
        <x:v>14.710198829939085</x:v>
      </x:c>
      <x:c r="F67" s="23" t="n">
        <x:f>IF(ISNUMBER('原始输入与口径'!AG69),'原始输入与口径'!AG69,"缺失")</x:f>
        <x:v>0</x:v>
      </x:c>
      <x:c r="G67" s="23" t="n">
        <x:f>IF(ISNUMBER('原始输入与口径'!AJ69),'原始输入与口径'!AJ69,"缺失")</x:f>
        <x:v>0.8898092117166925</x:v>
      </x:c>
      <x:c r="H67" s="23" t="str">
        <x:f>"未模拟"</x:f>
        <x:v>未模拟</x:v>
      </x:c>
      <x:c r="I67" s="24" t="n">
        <x:f>'原始输入与口径'!BD69</x:f>
        <x:v>10</x:v>
      </x:c>
      <x:c r="J67" s="24" t="n">
        <x:f>'原始输入与口径'!BE69</x:f>
        <x:v>10</x:v>
      </x:c>
      <x:c r="K67" s="24" t="n">
        <x:f>'原始输入与口径'!BF69</x:f>
        <x:v>0</x:v>
      </x:c>
      <x:c r="L67" s="24" t="n">
        <x:f>'原始输入与口径'!BG69</x:f>
        <x:v>0</x:v>
      </x:c>
      <x:c r="M67" s="24" t="n">
        <x:f>'原始输入与口径'!BH69</x:f>
        <x:v>0</x:v>
      </x:c>
      <x:c r="N67" s="24" t="n">
        <x:f>'原始输入与口径'!BI69</x:f>
        <x:v>0</x:v>
      </x:c>
      <x:c r="O67" s="24" t="n">
        <x:f>M67*AE67*AC67</x:f>
        <x:v>0</x:v>
      </x:c>
      <x:c r="P67" s="24" t="n">
        <x:f>N67*AF67*AC67</x:f>
        <x:v>0</x:v>
      </x:c>
      <x:c r="Q67" s="25" t="n">
        <x:f>IF(K67=0,0,IF(ISNUMBER(B67),K67*AC67*B67,NA()))</x:f>
        <x:v>0</x:v>
      </x:c>
      <x:c r="R67" s="25" t="n">
        <x:f>IF(L67=0,0,IF(ISNUMBER(C67),L67*AC67*C67*AD67,NA()))</x:f>
        <x:v>0</x:v>
      </x:c>
      <x:c r="S67" s="25" t="n">
        <x:f>IF(M67=0,0,IF(ISNUMBER(D67),M67*AC67*D67*AD67,NA()))</x:f>
        <x:v>0</x:v>
      </x:c>
      <x:c r="T67" s="25" t="n">
        <x:f>IF(N67=0,0,IF(ISNUMBER(E67),N67*AC67*E67*AD67,NA()))</x:f>
        <x:v>0</x:v>
      </x:c>
      <x:c r="U67" s="25" t="n">
        <x:f>IF(O67=0,0,IF(ISNUMBER(F67),O67*F67,NA()))</x:f>
        <x:v>0</x:v>
      </x:c>
      <x:c r="V67" s="25" t="n">
        <x:f>IF(P67=0,0,IF(ISNUMBER(G67),-P67*G67,NA()))</x:f>
        <x:v>0</x:v>
      </x:c>
      <x:c r="W67" s="25" t="n">
        <x:f>SUM(Q67:V67)</x:f>
        <x:v>0</x:v>
      </x:c>
      <x:c r="X67" s="18" t="n">
        <x:f>'原始输入与口径'!BR69</x:f>
        <x:v>0</x:v>
      </x:c>
      <x:c r="Y67" s="18" t="n">
        <x:f>W67-X67</x:f>
        <x:v>0</x:v>
      </x:c>
      <x:c r="Z67" s="18" t="str">
        <x:f>"1月1日执行｜初始化零订单"</x:f>
        <x:v>1月1日执行｜初始化零订单</x:v>
      </x:c>
      <x:c r="AA67" s="19" t="n">
        <x:f>IF('原始输入与口径'!AW69,1,0)</x:f>
        <x:v>1</x:v>
      </x:c>
      <x:c r="AB67" s="19" t="n">
        <x:f>IF('原始输入与口径'!AY69,1,0)</x:f>
        <x:v>0</x:v>
      </x:c>
      <x:c r="AC67" s="18" t="n">
        <x:f>'原始输入与口径'!E69</x:f>
        <x:v>0.25</x:v>
      </x:c>
      <x:c r="AD67" s="20" t="n">
        <x:f>'原始输入与口径'!$F$5</x:f>
        <x:v>1</x:v>
      </x:c>
      <x:c r="AE67" s="20" t="n">
        <x:f>IF(AA67=0,0,AI67/(AG67*AC67))</x:f>
        <x:v>0</x:v>
      </x:c>
      <x:c r="AF67" s="20" t="n">
        <x:f>IF(AA67=0,0,AJ67/(AH67*AC67))</x:f>
        <x:v>0.38754</x:v>
      </x:c>
      <x:c r="AG67" s="18" t="n">
        <x:f>IF(ISNUMBER('原始输入与口径'!T69),'原始输入与口径'!T69,"缺失")</x:f>
        <x:v>200</x:v>
      </x:c>
      <x:c r="AH67" s="18" t="n">
        <x:f>IF(ISNUMBER('原始输入与口径'!Y69),'原始输入与口径'!Y69,"缺失")</x:f>
        <x:v>200</x:v>
      </x:c>
      <x:c r="AI67" s="18" t="n">
        <x:f>IF(ISNUMBER('原始输入与口径'!AI69),'原始输入与口径'!AI69,"缺失")</x:f>
        <x:v>0</x:v>
      </x:c>
      <x:c r="AJ67" s="18" t="n">
        <x:f>IF(ISNUMBER('原始输入与口径'!AL69),'原始输入与口径'!AL69,"缺失")</x:f>
        <x:v>19.377</x:v>
      </x:c>
      <x:c r="AK67" s="18" t="str">
        <x:f>IF(ISNUMBER('原始输入与口径'!O69),'原始输入与口径'!O69,"缺失")</x:f>
        <x:v>缺失</x:v>
      </x:c>
      <x:c r="AL67" s="18" t="n">
        <x:f>SUMIFS('相位SOC复算'!$N$7:$N$443,'相位SOC复算'!$S$7:$S$443,61)</x:f>
        <x:v>0</x:v>
      </x:c>
      <x:c r="AM67" s="18" t="n">
        <x:f>SUMIFS('相位SOC复算'!$Q$7:$Q$443,'相位SOC复算'!$S$7:$S$443,61)</x:f>
        <x:v>0</x:v>
      </x:c>
      <x:c r="AN67" s="18" t="n">
        <x:f>SUMIFS('相位SOC复算'!$R$7:$R$443,'相位SOC复算'!$S$7:$S$443,61)</x:f>
        <x:v>0</x:v>
      </x:c>
      <x:c r="AO67" s="18" t="n">
        <x:f>'相位SOC复算'!J142</x:f>
        <x:v>10</x:v>
      </x:c>
      <x:c r="AP67" s="18" t="n">
        <x:f>AO67-J67</x:f>
        <x:v>0</x:v>
      </x:c>
      <x:c r="AQ67" s="18" t="n">
        <x:f>IF(ISBLANK('原始输入与口径'!M69),"",'原始输入与口径'!M69)</x:f>
        <x:v>4.9741</x:v>
      </x:c>
      <x:c r="AR67" s="21" t="n">
        <x:f>IF(ISBLANK('原始输入与口径'!L69),"",'原始输入与口径'!L69)</x:f>
        <x:v>45657</x:v>
      </x:c>
      <x:c r="AS67" s="17" t="n">
        <x:f>IF(ISBLANK('原始输入与口径'!A69),"",'原始输入与口径'!A69)</x:f>
        <x:v>45658.541666666664</x:v>
      </x:c>
      <x:c r="AT67" s="18" t="str">
        <x:f>IF(ISBLANK('原始输入与口径'!I69),"",'原始输入与口径'!I69)</x:f>
        <x:v>2025-01-01_15</x:v>
      </x:c>
      <x:c r="AU67" s="19" t="n">
        <x:f>IF(ISBLANK('原始输入与口径'!J69),"",'原始输入与口径'!J69)</x:f>
        <x:v>60</x:v>
      </x:c>
      <x:c r="AV67" s="18" t="str">
        <x:f>IF(ISBLANK('原始输入与口径'!BB69),"",'原始输入与口径'!BB69)</x:f>
        <x:v>OK</x:v>
      </x:c>
    </x:row>
    <x:row r="68" ht="21" customHeight="1">
      <x:c r="A68" s="17" t="n">
        <x:f>45658.635416666664</x:f>
        <x:v>45658.635416666664</x:v>
      </x:c>
      <x:c r="B68" s="23" t="n">
        <x:f>IF(ISNUMBER('原始输入与口径'!H70),'原始输入与口径'!H70,"缺失")</x:f>
        <x:v>66.8</x:v>
      </x:c>
      <x:c r="C68" s="23" t="str">
        <x:f>IF(ISNUMBER('原始输入与口径'!R70),'原始输入与口径'!R70,"缺失")</x:f>
        <x:v>缺失</x:v>
      </x:c>
      <x:c r="D68" s="23" t="n">
        <x:f>IF(ISNUMBER('原始输入与口径'!W70),'原始输入与口径'!W70,"缺失")</x:f>
        <x:v>13.831647936310086</x:v>
      </x:c>
      <x:c r="E68" s="23" t="n">
        <x:f>IF(ISNUMBER('原始输入与口径'!AB70),'原始输入与口径'!AB70,"缺失")</x:f>
        <x:v>14.710198829939085</x:v>
      </x:c>
      <x:c r="F68" s="23" t="n">
        <x:f>IF(ISNUMBER('原始输入与口径'!AG70),'原始输入与口径'!AG70,"缺失")</x:f>
        <x:v>0</x:v>
      </x:c>
      <x:c r="G68" s="23" t="n">
        <x:f>IF(ISNUMBER('原始输入与口径'!AJ70),'原始输入与口径'!AJ70,"缺失")</x:f>
        <x:v>7.295792203614724</x:v>
      </x:c>
      <x:c r="H68" s="23" t="str">
        <x:f>"未模拟"</x:f>
        <x:v>未模拟</x:v>
      </x:c>
      <x:c r="I68" s="24" t="n">
        <x:f>'原始输入与口径'!BD70</x:f>
        <x:v>10</x:v>
      </x:c>
      <x:c r="J68" s="24" t="n">
        <x:f>'原始输入与口径'!BE70</x:f>
        <x:v>10</x:v>
      </x:c>
      <x:c r="K68" s="24" t="n">
        <x:f>'原始输入与口径'!BF70</x:f>
        <x:v>0</x:v>
      </x:c>
      <x:c r="L68" s="24" t="n">
        <x:f>'原始输入与口径'!BG70</x:f>
        <x:v>0</x:v>
      </x:c>
      <x:c r="M68" s="24" t="n">
        <x:f>'原始输入与口径'!BH70</x:f>
        <x:v>0</x:v>
      </x:c>
      <x:c r="N68" s="24" t="n">
        <x:f>'原始输入与口径'!BI70</x:f>
        <x:v>0</x:v>
      </x:c>
      <x:c r="O68" s="24" t="n">
        <x:f>M68*AE68*AC68</x:f>
        <x:v>0</x:v>
      </x:c>
      <x:c r="P68" s="24" t="n">
        <x:f>N68*AF68*AC68</x:f>
        <x:v>0</x:v>
      </x:c>
      <x:c r="Q68" s="25" t="n">
        <x:f>IF(K68=0,0,IF(ISNUMBER(B68),K68*AC68*B68,NA()))</x:f>
        <x:v>0</x:v>
      </x:c>
      <x:c r="R68" s="25" t="n">
        <x:f>IF(L68=0,0,IF(ISNUMBER(C68),L68*AC68*C68*AD68,NA()))</x:f>
        <x:v>0</x:v>
      </x:c>
      <x:c r="S68" s="25" t="n">
        <x:f>IF(M68=0,0,IF(ISNUMBER(D68),M68*AC68*D68*AD68,NA()))</x:f>
        <x:v>0</x:v>
      </x:c>
      <x:c r="T68" s="25" t="n">
        <x:f>IF(N68=0,0,IF(ISNUMBER(E68),N68*AC68*E68*AD68,NA()))</x:f>
        <x:v>0</x:v>
      </x:c>
      <x:c r="U68" s="25" t="n">
        <x:f>IF(O68=0,0,IF(ISNUMBER(F68),O68*F68,NA()))</x:f>
        <x:v>0</x:v>
      </x:c>
      <x:c r="V68" s="25" t="n">
        <x:f>IF(P68=0,0,IF(ISNUMBER(G68),-P68*G68,NA()))</x:f>
        <x:v>0</x:v>
      </x:c>
      <x:c r="W68" s="25" t="n">
        <x:f>SUM(Q68:V68)</x:f>
        <x:v>0</x:v>
      </x:c>
      <x:c r="X68" s="18" t="n">
        <x:f>'原始输入与口径'!BR70</x:f>
        <x:v>0</x:v>
      </x:c>
      <x:c r="Y68" s="18" t="n">
        <x:f>W68-X68</x:f>
        <x:v>0</x:v>
      </x:c>
      <x:c r="Z68" s="18" t="str">
        <x:f>"1月1日执行｜初始化零订单"</x:f>
        <x:v>1月1日执行｜初始化零订单</x:v>
      </x:c>
      <x:c r="AA68" s="19" t="n">
        <x:f>IF('原始输入与口径'!AW70,1,0)</x:f>
        <x:v>1</x:v>
      </x:c>
      <x:c r="AB68" s="19" t="n">
        <x:f>IF('原始输入与口径'!AY70,1,0)</x:f>
        <x:v>0</x:v>
      </x:c>
      <x:c r="AC68" s="18" t="n">
        <x:f>'原始输入与口径'!E70</x:f>
        <x:v>0.25</x:v>
      </x:c>
      <x:c r="AD68" s="20" t="n">
        <x:f>'原始输入与口径'!$F$5</x:f>
        <x:v>1</x:v>
      </x:c>
      <x:c r="AE68" s="20" t="n">
        <x:f>IF(AA68=0,0,AI68/(AG68*AC68))</x:f>
        <x:v>0</x:v>
      </x:c>
      <x:c r="AF68" s="20" t="n">
        <x:f>IF(AA68=0,0,AJ68/(AH68*AC68))</x:f>
        <x:v>0.20046</x:v>
      </x:c>
      <x:c r="AG68" s="18" t="n">
        <x:f>IF(ISNUMBER('原始输入与口径'!T70),'原始输入与口径'!T70,"缺失")</x:f>
        <x:v>200</x:v>
      </x:c>
      <x:c r="AH68" s="18" t="n">
        <x:f>IF(ISNUMBER('原始输入与口径'!Y70),'原始输入与口径'!Y70,"缺失")</x:f>
        <x:v>200</x:v>
      </x:c>
      <x:c r="AI68" s="18" t="n">
        <x:f>IF(ISNUMBER('原始输入与口径'!AI70),'原始输入与口径'!AI70,"缺失")</x:f>
        <x:v>0</x:v>
      </x:c>
      <x:c r="AJ68" s="18" t="n">
        <x:f>IF(ISNUMBER('原始输入与口径'!AL70),'原始输入与口径'!AL70,"缺失")</x:f>
        <x:v>10.023</x:v>
      </x:c>
      <x:c r="AK68" s="18" t="str">
        <x:f>IF(ISNUMBER('原始输入与口径'!O70),'原始输入与口径'!O70,"缺失")</x:f>
        <x:v>缺失</x:v>
      </x:c>
      <x:c r="AL68" s="18" t="n">
        <x:f>SUMIFS('相位SOC复算'!$N$7:$N$443,'相位SOC复算'!$S$7:$S$443,62)</x:f>
        <x:v>0</x:v>
      </x:c>
      <x:c r="AM68" s="18" t="n">
        <x:f>SUMIFS('相位SOC复算'!$Q$7:$Q$443,'相位SOC复算'!$S$7:$S$443,62)</x:f>
        <x:v>0</x:v>
      </x:c>
      <x:c r="AN68" s="18" t="n">
        <x:f>SUMIFS('相位SOC复算'!$R$7:$R$443,'相位SOC复算'!$S$7:$S$443,62)</x:f>
        <x:v>0</x:v>
      </x:c>
      <x:c r="AO68" s="18" t="n">
        <x:f>'相位SOC复算'!J144</x:f>
        <x:v>10</x:v>
      </x:c>
      <x:c r="AP68" s="18" t="n">
        <x:f>AO68-J68</x:f>
        <x:v>0</x:v>
      </x:c>
      <x:c r="AQ68" s="18" t="n">
        <x:f>IF(ISBLANK('原始输入与口径'!M70),"",'原始输入与口径'!M70)</x:f>
        <x:v>4.9741</x:v>
      </x:c>
      <x:c r="AR68" s="21" t="n">
        <x:f>IF(ISBLANK('原始输入与口径'!L70),"",'原始输入与口径'!L70)</x:f>
        <x:v>45657</x:v>
      </x:c>
      <x:c r="AS68" s="17" t="n">
        <x:f>IF(ISBLANK('原始输入与口径'!A70),"",'原始输入与口径'!A70)</x:f>
        <x:v>45658.552083333336</x:v>
      </x:c>
      <x:c r="AT68" s="18" t="str">
        <x:f>IF(ISBLANK('原始输入与口径'!I70),"",'原始输入与口径'!I70)</x:f>
        <x:v>2025-01-01_15</x:v>
      </x:c>
      <x:c r="AU68" s="19" t="n">
        <x:f>IF(ISBLANK('原始输入与口径'!J70),"",'原始输入与口径'!J70)</x:f>
        <x:v>60</x:v>
      </x:c>
      <x:c r="AV68" s="18" t="str">
        <x:f>IF(ISBLANK('原始输入与口径'!BB70),"",'原始输入与口径'!BB70)</x:f>
        <x:v>OK</x:v>
      </x:c>
    </x:row>
    <x:row r="69" ht="21" customHeight="1">
      <x:c r="A69" s="17" t="n">
        <x:f>45658.645833333336</x:f>
        <x:v>45658.645833333336</x:v>
      </x:c>
      <x:c r="B69" s="23" t="n">
        <x:f>IF(ISNUMBER('原始输入与口径'!H71),'原始输入与口径'!H71,"缺失")</x:f>
        <x:v>66.8</x:v>
      </x:c>
      <x:c r="C69" s="23" t="str">
        <x:f>IF(ISNUMBER('原始输入与口径'!R71),'原始输入与口径'!R71,"缺失")</x:f>
        <x:v>缺失</x:v>
      </x:c>
      <x:c r="D69" s="23" t="n">
        <x:f>IF(ISNUMBER('原始输入与口径'!W71),'原始输入与口径'!W71,"缺失")</x:f>
        <x:v>13.831647936310086</x:v>
      </x:c>
      <x:c r="E69" s="23" t="n">
        <x:f>IF(ISNUMBER('原始输入与口径'!AB71),'原始输入与口径'!AB71,"缺失")</x:f>
        <x:v>14.710198829939085</x:v>
      </x:c>
      <x:c r="F69" s="23" t="n">
        <x:f>IF(ISNUMBER('原始输入与口径'!AG71),'原始输入与口径'!AG71,"缺失")</x:f>
        <x:v>154.8609798757564</x:v>
      </x:c>
      <x:c r="G69" s="23" t="n">
        <x:f>IF(ISNUMBER('原始输入与口径'!AJ71),'原始输入与口径'!AJ71,"缺失")</x:f>
        <x:v>58.3020043827024</x:v>
      </x:c>
      <x:c r="H69" s="23" t="str">
        <x:f>"未模拟"</x:f>
        <x:v>未模拟</x:v>
      </x:c>
      <x:c r="I69" s="24" t="n">
        <x:f>'原始输入与口径'!BD71</x:f>
        <x:v>10</x:v>
      </x:c>
      <x:c r="J69" s="24" t="n">
        <x:f>'原始输入与口径'!BE71</x:f>
        <x:v>10</x:v>
      </x:c>
      <x:c r="K69" s="24" t="n">
        <x:f>'原始输入与口径'!BF71</x:f>
        <x:v>0</x:v>
      </x:c>
      <x:c r="L69" s="24" t="n">
        <x:f>'原始输入与口径'!BG71</x:f>
        <x:v>0</x:v>
      </x:c>
      <x:c r="M69" s="24" t="n">
        <x:f>'原始输入与口径'!BH71</x:f>
        <x:v>0</x:v>
      </x:c>
      <x:c r="N69" s="24" t="n">
        <x:f>'原始输入与口径'!BI71</x:f>
        <x:v>0</x:v>
      </x:c>
      <x:c r="O69" s="24" t="n">
        <x:f>M69*AE69*AC69</x:f>
        <x:v>0</x:v>
      </x:c>
      <x:c r="P69" s="24" t="n">
        <x:f>N69*AF69*AC69</x:f>
        <x:v>0</x:v>
      </x:c>
      <x:c r="Q69" s="25" t="n">
        <x:f>IF(K69=0,0,IF(ISNUMBER(B69),K69*AC69*B69,NA()))</x:f>
        <x:v>0</x:v>
      </x:c>
      <x:c r="R69" s="25" t="n">
        <x:f>IF(L69=0,0,IF(ISNUMBER(C69),L69*AC69*C69*AD69,NA()))</x:f>
        <x:v>0</x:v>
      </x:c>
      <x:c r="S69" s="25" t="n">
        <x:f>IF(M69=0,0,IF(ISNUMBER(D69),M69*AC69*D69*AD69,NA()))</x:f>
        <x:v>0</x:v>
      </x:c>
      <x:c r="T69" s="25" t="n">
        <x:f>IF(N69=0,0,IF(ISNUMBER(E69),N69*AC69*E69*AD69,NA()))</x:f>
        <x:v>0</x:v>
      </x:c>
      <x:c r="U69" s="25" t="n">
        <x:f>IF(O69=0,0,IF(ISNUMBER(F69),O69*F69,NA()))</x:f>
        <x:v>0</x:v>
      </x:c>
      <x:c r="V69" s="25" t="n">
        <x:f>IF(P69=0,0,IF(ISNUMBER(G69),-P69*G69,NA()))</x:f>
        <x:v>0</x:v>
      </x:c>
      <x:c r="W69" s="25" t="n">
        <x:f>SUM(Q69:V69)</x:f>
        <x:v>0</x:v>
      </x:c>
      <x:c r="X69" s="18" t="n">
        <x:f>'原始输入与口径'!BR71</x:f>
        <x:v>0</x:v>
      </x:c>
      <x:c r="Y69" s="18" t="n">
        <x:f>W69-X69</x:f>
        <x:v>0</x:v>
      </x:c>
      <x:c r="Z69" s="18" t="str">
        <x:f>"1月1日执行｜初始化零订单"</x:f>
        <x:v>1月1日执行｜初始化零订单</x:v>
      </x:c>
      <x:c r="AA69" s="19" t="n">
        <x:f>IF('原始输入与口径'!AW71,1,0)</x:f>
        <x:v>1</x:v>
      </x:c>
      <x:c r="AB69" s="19" t="n">
        <x:f>IF('原始输入与口径'!AY71,1,0)</x:f>
        <x:v>0</x:v>
      </x:c>
      <x:c r="AC69" s="18" t="n">
        <x:f>'原始输入与口径'!E71</x:f>
        <x:v>0.25</x:v>
      </x:c>
      <x:c r="AD69" s="20" t="n">
        <x:f>'原始输入与口径'!$F$5</x:f>
        <x:v>1</x:v>
      </x:c>
      <x:c r="AE69" s="20" t="n">
        <x:f>IF(AA69=0,0,AI69/(AG69*AC69))</x:f>
        <x:v>0.19872</x:v>
      </x:c>
      <x:c r="AF69" s="20" t="n">
        <x:f>IF(AA69=0,0,AJ69/(AH69*AC69))</x:f>
        <x:v>0.0008</x:v>
      </x:c>
      <x:c r="AG69" s="18" t="n">
        <x:f>IF(ISNUMBER('原始输入与口径'!T71),'原始输入与口径'!T71,"缺失")</x:f>
        <x:v>200</x:v>
      </x:c>
      <x:c r="AH69" s="18" t="n">
        <x:f>IF(ISNUMBER('原始输入与口径'!Y71),'原始输入与口径'!Y71,"缺失")</x:f>
        <x:v>200</x:v>
      </x:c>
      <x:c r="AI69" s="18" t="n">
        <x:f>IF(ISNUMBER('原始输入与口径'!AI71),'原始输入与口径'!AI71,"缺失")</x:f>
        <x:v>9.936</x:v>
      </x:c>
      <x:c r="AJ69" s="18" t="n">
        <x:f>IF(ISNUMBER('原始输入与口径'!AL71),'原始输入与口径'!AL71,"缺失")</x:f>
        <x:v>0.04</x:v>
      </x:c>
      <x:c r="AK69" s="18" t="str">
        <x:f>IF(ISNUMBER('原始输入与口径'!O71),'原始输入与口径'!O71,"缺失")</x:f>
        <x:v>缺失</x:v>
      </x:c>
      <x:c r="AL69" s="18" t="n">
        <x:f>SUMIFS('相位SOC复算'!$N$7:$N$443,'相位SOC复算'!$S$7:$S$443,63)</x:f>
        <x:v>0</x:v>
      </x:c>
      <x:c r="AM69" s="18" t="n">
        <x:f>SUMIFS('相位SOC复算'!$Q$7:$Q$443,'相位SOC复算'!$S$7:$S$443,63)</x:f>
        <x:v>0</x:v>
      </x:c>
      <x:c r="AN69" s="18" t="n">
        <x:f>SUMIFS('相位SOC复算'!$R$7:$R$443,'相位SOC复算'!$S$7:$S$443,63)</x:f>
        <x:v>0</x:v>
      </x:c>
      <x:c r="AO69" s="18" t="n">
        <x:f>'相位SOC复算'!J147</x:f>
        <x:v>10</x:v>
      </x:c>
      <x:c r="AP69" s="18" t="n">
        <x:f>AO69-J69</x:f>
        <x:v>0</x:v>
      </x:c>
      <x:c r="AQ69" s="18" t="n">
        <x:f>IF(ISBLANK('原始输入与口径'!M71),"",'原始输入与口径'!M71)</x:f>
        <x:v>4.9741</x:v>
      </x:c>
      <x:c r="AR69" s="21" t="n">
        <x:f>IF(ISBLANK('原始输入与口径'!L71),"",'原始输入与口径'!L71)</x:f>
        <x:v>45657</x:v>
      </x:c>
      <x:c r="AS69" s="17" t="n">
        <x:f>IF(ISBLANK('原始输入与口径'!A71),"",'原始输入与口径'!A71)</x:f>
        <x:v>45658.5625</x:v>
      </x:c>
      <x:c r="AT69" s="18" t="str">
        <x:f>IF(ISBLANK('原始输入与口径'!I71),"",'原始输入与口径'!I71)</x:f>
        <x:v>2025-01-01_15</x:v>
      </x:c>
      <x:c r="AU69" s="19" t="n">
        <x:f>IF(ISBLANK('原始输入与口径'!J71),"",'原始输入与口径'!J71)</x:f>
        <x:v>60</x:v>
      </x:c>
      <x:c r="AV69" s="18" t="str">
        <x:f>IF(ISBLANK('原始输入与口径'!BB71),"",'原始输入与口径'!BB71)</x:f>
        <x:v>OK</x:v>
      </x:c>
    </x:row>
    <x:row r="70" ht="21" customHeight="1">
      <x:c r="A70" s="17" t="n">
        <x:f>45658.65625</x:f>
        <x:v>45658.65625</x:v>
      </x:c>
      <x:c r="B70" s="23" t="n">
        <x:f>IF(ISNUMBER('原始输入与口径'!H72),'原始输入与口径'!H72,"缺失")</x:f>
        <x:v>66.8</x:v>
      </x:c>
      <x:c r="C70" s="23" t="str">
        <x:f>IF(ISNUMBER('原始输入与口径'!R72),'原始输入与口径'!R72,"缺失")</x:f>
        <x:v>缺失</x:v>
      </x:c>
      <x:c r="D70" s="23" t="n">
        <x:f>IF(ISNUMBER('原始输入与口径'!W72),'原始输入与口径'!W72,"缺失")</x:f>
        <x:v>13.831647936310086</x:v>
      </x:c>
      <x:c r="E70" s="23" t="n">
        <x:f>IF(ISNUMBER('原始输入与口径'!AB72),'原始输入与口径'!AB72,"缺失")</x:f>
        <x:v>14.710198829939085</x:v>
      </x:c>
      <x:c r="F70" s="23" t="n">
        <x:f>IF(ISNUMBER('原始输入与口径'!AG72),'原始输入与口径'!AG72,"缺失")</x:f>
        <x:v>216.88707504875254</x:v>
      </x:c>
      <x:c r="G70" s="23" t="n">
        <x:f>IF(ISNUMBER('原始输入与口径'!AJ72),'原始输入与口径'!AJ72,"缺失")</x:f>
        <x:v>0</x:v>
      </x:c>
      <x:c r="H70" s="23" t="str">
        <x:f>"未模拟"</x:f>
        <x:v>未模拟</x:v>
      </x:c>
      <x:c r="I70" s="24" t="n">
        <x:f>'原始输入与口径'!BD72</x:f>
        <x:v>10</x:v>
      </x:c>
      <x:c r="J70" s="24" t="n">
        <x:f>'原始输入与口径'!BE72</x:f>
        <x:v>10</x:v>
      </x:c>
      <x:c r="K70" s="24" t="n">
        <x:f>'原始输入与口径'!BF72</x:f>
        <x:v>0</x:v>
      </x:c>
      <x:c r="L70" s="24" t="n">
        <x:f>'原始输入与口径'!BG72</x:f>
        <x:v>0</x:v>
      </x:c>
      <x:c r="M70" s="24" t="n">
        <x:f>'原始输入与口径'!BH72</x:f>
        <x:v>0</x:v>
      </x:c>
      <x:c r="N70" s="24" t="n">
        <x:f>'原始输入与口径'!BI72</x:f>
        <x:v>0</x:v>
      </x:c>
      <x:c r="O70" s="24" t="n">
        <x:f>M70*AE70*AC70</x:f>
        <x:v>0</x:v>
      </x:c>
      <x:c r="P70" s="24" t="n">
        <x:f>N70*AF70*AC70</x:f>
        <x:v>0</x:v>
      </x:c>
      <x:c r="Q70" s="25" t="n">
        <x:f>IF(K70=0,0,IF(ISNUMBER(B70),K70*AC70*B70,NA()))</x:f>
        <x:v>0</x:v>
      </x:c>
      <x:c r="R70" s="25" t="n">
        <x:f>IF(L70=0,0,IF(ISNUMBER(C70),L70*AC70*C70*AD70,NA()))</x:f>
        <x:v>0</x:v>
      </x:c>
      <x:c r="S70" s="25" t="n">
        <x:f>IF(M70=0,0,IF(ISNUMBER(D70),M70*AC70*D70*AD70,NA()))</x:f>
        <x:v>0</x:v>
      </x:c>
      <x:c r="T70" s="25" t="n">
        <x:f>IF(N70=0,0,IF(ISNUMBER(E70),N70*AC70*E70*AD70,NA()))</x:f>
        <x:v>0</x:v>
      </x:c>
      <x:c r="U70" s="25" t="n">
        <x:f>IF(O70=0,0,IF(ISNUMBER(F70),O70*F70,NA()))</x:f>
        <x:v>0</x:v>
      </x:c>
      <x:c r="V70" s="25" t="n">
        <x:f>IF(P70=0,0,IF(ISNUMBER(G70),-P70*G70,NA()))</x:f>
        <x:v>0</x:v>
      </x:c>
      <x:c r="W70" s="25" t="n">
        <x:f>SUM(Q70:V70)</x:f>
        <x:v>0</x:v>
      </x:c>
      <x:c r="X70" s="18" t="n">
        <x:f>'原始输入与口径'!BR72</x:f>
        <x:v>0</x:v>
      </x:c>
      <x:c r="Y70" s="18" t="n">
        <x:f>W70-X70</x:f>
        <x:v>0</x:v>
      </x:c>
      <x:c r="Z70" s="18" t="str">
        <x:f>"1月1日执行｜初始化零订单"</x:f>
        <x:v>1月1日执行｜初始化零订单</x:v>
      </x:c>
      <x:c r="AA70" s="19" t="n">
        <x:f>IF('原始输入与口径'!AW72,1,0)</x:f>
        <x:v>1</x:v>
      </x:c>
      <x:c r="AB70" s="19" t="n">
        <x:f>IF('原始输入与口径'!AY72,1,0)</x:f>
        <x:v>0</x:v>
      </x:c>
      <x:c r="AC70" s="18" t="n">
        <x:f>'原始输入与口径'!E72</x:f>
        <x:v>0.25</x:v>
      </x:c>
      <x:c r="AD70" s="20" t="n">
        <x:f>'原始输入与口径'!$F$5</x:f>
        <x:v>1</x:v>
      </x:c>
      <x:c r="AE70" s="20" t="n">
        <x:f>IF(AA70=0,0,AI70/(AG70*AC70))</x:f>
        <x:v>0.7888</x:v>
      </x:c>
      <x:c r="AF70" s="20" t="n">
        <x:f>IF(AA70=0,0,AJ70/(AH70*AC70))</x:f>
        <x:v>0</x:v>
      </x:c>
      <x:c r="AG70" s="18" t="n">
        <x:f>IF(ISNUMBER('原始输入与口径'!T72),'原始输入与口径'!T72,"缺失")</x:f>
        <x:v>200</x:v>
      </x:c>
      <x:c r="AH70" s="18" t="n">
        <x:f>IF(ISNUMBER('原始输入与口径'!Y72),'原始输入与口径'!Y72,"缺失")</x:f>
        <x:v>200</x:v>
      </x:c>
      <x:c r="AI70" s="18" t="n">
        <x:f>IF(ISNUMBER('原始输入与口径'!AI72),'原始输入与口径'!AI72,"缺失")</x:f>
        <x:v>39.44</x:v>
      </x:c>
      <x:c r="AJ70" s="18" t="n">
        <x:f>IF(ISNUMBER('原始输入与口径'!AL72),'原始输入与口径'!AL72,"缺失")</x:f>
        <x:v>0</x:v>
      </x:c>
      <x:c r="AK70" s="18" t="str">
        <x:f>IF(ISNUMBER('原始输入与口径'!O72),'原始输入与口径'!O72,"缺失")</x:f>
        <x:v>缺失</x:v>
      </x:c>
      <x:c r="AL70" s="18" t="n">
        <x:f>SUMIFS('相位SOC复算'!$N$7:$N$443,'相位SOC复算'!$S$7:$S$443,64)</x:f>
        <x:v>0</x:v>
      </x:c>
      <x:c r="AM70" s="18" t="n">
        <x:f>SUMIFS('相位SOC复算'!$Q$7:$Q$443,'相位SOC复算'!$S$7:$S$443,64)</x:f>
        <x:v>0</x:v>
      </x:c>
      <x:c r="AN70" s="18" t="n">
        <x:f>SUMIFS('相位SOC复算'!$R$7:$R$443,'相位SOC复算'!$S$7:$S$443,64)</x:f>
        <x:v>0</x:v>
      </x:c>
      <x:c r="AO70" s="18" t="n">
        <x:f>'相位SOC复算'!J149</x:f>
        <x:v>10</x:v>
      </x:c>
      <x:c r="AP70" s="18" t="n">
        <x:f>AO70-J70</x:f>
        <x:v>0</x:v>
      </x:c>
      <x:c r="AQ70" s="18" t="n">
        <x:f>IF(ISBLANK('原始输入与口径'!M72),"",'原始输入与口径'!M72)</x:f>
        <x:v>4.9741</x:v>
      </x:c>
      <x:c r="AR70" s="21" t="n">
        <x:f>IF(ISBLANK('原始输入与口径'!L72),"",'原始输入与口径'!L72)</x:f>
        <x:v>45657</x:v>
      </x:c>
      <x:c r="AS70" s="17" t="n">
        <x:f>IF(ISBLANK('原始输入与口径'!A72),"",'原始输入与口径'!A72)</x:f>
        <x:v>45658.572916666664</x:v>
      </x:c>
      <x:c r="AT70" s="18" t="str">
        <x:f>IF(ISBLANK('原始输入与口径'!I72),"",'原始输入与口径'!I72)</x:f>
        <x:v>2025-01-01_15</x:v>
      </x:c>
      <x:c r="AU70" s="19" t="n">
        <x:f>IF(ISBLANK('原始输入与口径'!J72),"",'原始输入与口径'!J72)</x:f>
        <x:v>60</x:v>
      </x:c>
      <x:c r="AV70" s="18" t="str">
        <x:f>IF(ISBLANK('原始输入与口径'!BB72),"",'原始输入与口径'!BB72)</x:f>
        <x:v>OK</x:v>
      </x:c>
    </x:row>
    <x:row r="71" ht="21" customHeight="1">
      <x:c r="A71" s="17" t="n">
        <x:f>45658.666666666664</x:f>
        <x:v>45658.666666666664</x:v>
      </x:c>
      <x:c r="B71" s="23" t="n">
        <x:f>IF(ISNUMBER('原始输入与口径'!H73),'原始输入与口径'!H73,"缺失")</x:f>
        <x:v>90.51</x:v>
      </x:c>
      <x:c r="C71" s="23" t="str">
        <x:f>IF(ISNUMBER('原始输入与口径'!R73),'原始输入与口径'!R73,"缺失")</x:f>
        <x:v>缺失</x:v>
      </x:c>
      <x:c r="D71" s="23" t="n">
        <x:f>IF(ISNUMBER('原始输入与口径'!W73),'原始输入与口径'!W73,"缺失")</x:f>
        <x:v>13.831647936310086</x:v>
      </x:c>
      <x:c r="E71" s="23" t="n">
        <x:f>IF(ISNUMBER('原始输入与口径'!AB73),'原始输入与口径'!AB73,"缺失")</x:f>
        <x:v>14.710198829939085</x:v>
      </x:c>
      <x:c r="F71" s="23" t="n">
        <x:f>IF(ISNUMBER('原始输入与口径'!AG73),'原始输入与口径'!AG73,"缺失")</x:f>
        <x:v>176.35109869122053</x:v>
      </x:c>
      <x:c r="G71" s="23" t="n">
        <x:f>IF(ISNUMBER('原始输入与口径'!AJ73),'原始输入与口径'!AJ73,"缺失")</x:f>
        <x:v>5.201342956514746</x:v>
      </x:c>
      <x:c r="H71" s="23" t="str">
        <x:f>"未模拟"</x:f>
        <x:v>未模拟</x:v>
      </x:c>
      <x:c r="I71" s="24" t="n">
        <x:f>'原始输入与口径'!BD73</x:f>
        <x:v>10</x:v>
      </x:c>
      <x:c r="J71" s="24" t="n">
        <x:f>'原始输入与口径'!BE73</x:f>
        <x:v>10</x:v>
      </x:c>
      <x:c r="K71" s="24" t="n">
        <x:f>'原始输入与口径'!BF73</x:f>
        <x:v>0</x:v>
      </x:c>
      <x:c r="L71" s="24" t="n">
        <x:f>'原始输入与口径'!BG73</x:f>
        <x:v>0</x:v>
      </x:c>
      <x:c r="M71" s="24" t="n">
        <x:f>'原始输入与口径'!BH73</x:f>
        <x:v>0</x:v>
      </x:c>
      <x:c r="N71" s="24" t="n">
        <x:f>'原始输入与口径'!BI73</x:f>
        <x:v>0</x:v>
      </x:c>
      <x:c r="O71" s="24" t="n">
        <x:f>M71*AE71*AC71</x:f>
        <x:v>0</x:v>
      </x:c>
      <x:c r="P71" s="24" t="n">
        <x:f>N71*AF71*AC71</x:f>
        <x:v>0</x:v>
      </x:c>
      <x:c r="Q71" s="25" t="n">
        <x:f>IF(K71=0,0,IF(ISNUMBER(B71),K71*AC71*B71,NA()))</x:f>
        <x:v>0</x:v>
      </x:c>
      <x:c r="R71" s="25" t="n">
        <x:f>IF(L71=0,0,IF(ISNUMBER(C71),L71*AC71*C71*AD71,NA()))</x:f>
        <x:v>0</x:v>
      </x:c>
      <x:c r="S71" s="25" t="n">
        <x:f>IF(M71=0,0,IF(ISNUMBER(D71),M71*AC71*D71*AD71,NA()))</x:f>
        <x:v>0</x:v>
      </x:c>
      <x:c r="T71" s="25" t="n">
        <x:f>IF(N71=0,0,IF(ISNUMBER(E71),N71*AC71*E71*AD71,NA()))</x:f>
        <x:v>0</x:v>
      </x:c>
      <x:c r="U71" s="25" t="n">
        <x:f>IF(O71=0,0,IF(ISNUMBER(F71),O71*F71,NA()))</x:f>
        <x:v>0</x:v>
      </x:c>
      <x:c r="V71" s="25" t="n">
        <x:f>IF(P71=0,0,IF(ISNUMBER(G71),-P71*G71,NA()))</x:f>
        <x:v>0</x:v>
      </x:c>
      <x:c r="W71" s="25" t="n">
        <x:f>SUM(Q71:V71)</x:f>
        <x:v>0</x:v>
      </x:c>
      <x:c r="X71" s="18" t="n">
        <x:f>'原始输入与口径'!BR73</x:f>
        <x:v>0</x:v>
      </x:c>
      <x:c r="Y71" s="18" t="n">
        <x:f>W71-X71</x:f>
        <x:v>0</x:v>
      </x:c>
      <x:c r="Z71" s="18" t="str">
        <x:f>"1月1日执行｜初始化零订单"</x:f>
        <x:v>1月1日执行｜初始化零订单</x:v>
      </x:c>
      <x:c r="AA71" s="19" t="n">
        <x:f>IF('原始输入与口径'!AW73,1,0)</x:f>
        <x:v>1</x:v>
      </x:c>
      <x:c r="AB71" s="19" t="n">
        <x:f>IF('原始输入与口径'!AY73,1,0)</x:f>
        <x:v>0</x:v>
      </x:c>
      <x:c r="AC71" s="18" t="n">
        <x:f>'原始输入与口径'!E73</x:f>
        <x:v>0.25</x:v>
      </x:c>
      <x:c r="AD71" s="20" t="n">
        <x:f>'原始输入与口径'!$F$5</x:f>
        <x:v>1</x:v>
      </x:c>
      <x:c r="AE71" s="20" t="n">
        <x:f>IF(AA71=0,0,AI71/(AG71*AC71))</x:f>
        <x:v>0.0742</x:v>
      </x:c>
      <x:c r="AF71" s="20" t="n">
        <x:f>IF(AA71=0,0,AJ71/(AH71*AC71))</x:f>
        <x:v>0.23484000000000002</x:v>
      </x:c>
      <x:c r="AG71" s="18" t="n">
        <x:f>IF(ISNUMBER('原始输入与口径'!T73),'原始输入与口径'!T73,"缺失")</x:f>
        <x:v>200</x:v>
      </x:c>
      <x:c r="AH71" s="18" t="n">
        <x:f>IF(ISNUMBER('原始输入与口径'!Y73),'原始输入与口径'!Y73,"缺失")</x:f>
        <x:v>200</x:v>
      </x:c>
      <x:c r="AI71" s="18" t="n">
        <x:f>IF(ISNUMBER('原始输入与口径'!AI73),'原始输入与口径'!AI73,"缺失")</x:f>
        <x:v>3.71</x:v>
      </x:c>
      <x:c r="AJ71" s="18" t="n">
        <x:f>IF(ISNUMBER('原始输入与口径'!AL73),'原始输入与口径'!AL73,"缺失")</x:f>
        <x:v>11.742</x:v>
      </x:c>
      <x:c r="AK71" s="18" t="str">
        <x:f>IF(ISNUMBER('原始输入与口径'!O73),'原始输入与口径'!O73,"缺失")</x:f>
        <x:v>缺失</x:v>
      </x:c>
      <x:c r="AL71" s="18" t="n">
        <x:f>SUMIFS('相位SOC复算'!$N$7:$N$443,'相位SOC复算'!$S$7:$S$443,65)</x:f>
        <x:v>0</x:v>
      </x:c>
      <x:c r="AM71" s="18" t="n">
        <x:f>SUMIFS('相位SOC复算'!$Q$7:$Q$443,'相位SOC复算'!$S$7:$S$443,65)</x:f>
        <x:v>0</x:v>
      </x:c>
      <x:c r="AN71" s="18" t="n">
        <x:f>SUMIFS('相位SOC复算'!$R$7:$R$443,'相位SOC复算'!$S$7:$S$443,65)</x:f>
        <x:v>0</x:v>
      </x:c>
      <x:c r="AO71" s="18" t="n">
        <x:f>'相位SOC复算'!J152</x:f>
        <x:v>10</x:v>
      </x:c>
      <x:c r="AP71" s="18" t="n">
        <x:f>AO71-J71</x:f>
        <x:v>0</x:v>
      </x:c>
      <x:c r="AQ71" s="18" t="n">
        <x:f>IF(ISBLANK('原始输入与口径'!M73),"",'原始输入与口径'!M73)</x:f>
        <x:v>4.9741</x:v>
      </x:c>
      <x:c r="AR71" s="21" t="n">
        <x:f>IF(ISBLANK('原始输入与口径'!L73),"",'原始输入与口径'!L73)</x:f>
        <x:v>45657</x:v>
      </x:c>
      <x:c r="AS71" s="17" t="n">
        <x:f>IF(ISBLANK('原始输入与口径'!A73),"",'原始输入与口径'!A73)</x:f>
        <x:v>45658.583333333336</x:v>
      </x:c>
      <x:c r="AT71" s="18" t="str">
        <x:f>IF(ISBLANK('原始输入与口径'!I73),"",'原始输入与口径'!I73)</x:f>
        <x:v>2025-01-01_16</x:v>
      </x:c>
      <x:c r="AU71" s="19" t="n">
        <x:f>IF(ISBLANK('原始输入与口径'!J73),"",'原始输入与口径'!J73)</x:f>
        <x:v>60</x:v>
      </x:c>
      <x:c r="AV71" s="18" t="str">
        <x:f>IF(ISBLANK('原始输入与口径'!BB73),"",'原始输入与口径'!BB73)</x:f>
        <x:v>OK</x:v>
      </x:c>
    </x:row>
    <x:row r="72" ht="21" customHeight="1">
      <x:c r="A72" s="17" t="n">
        <x:f>45658.677083333336</x:f>
        <x:v>45658.677083333336</x:v>
      </x:c>
      <x:c r="B72" s="23" t="n">
        <x:f>IF(ISNUMBER('原始输入与口径'!H74),'原始输入与口径'!H74,"缺失")</x:f>
        <x:v>90.51</x:v>
      </x:c>
      <x:c r="C72" s="23" t="str">
        <x:f>IF(ISNUMBER('原始输入与口径'!R74),'原始输入与口径'!R74,"缺失")</x:f>
        <x:v>缺失</x:v>
      </x:c>
      <x:c r="D72" s="23" t="n">
        <x:f>IF(ISNUMBER('原始输入与口径'!W74),'原始输入与口径'!W74,"缺失")</x:f>
        <x:v>13.831647936310086</x:v>
      </x:c>
      <x:c r="E72" s="23" t="n">
        <x:f>IF(ISNUMBER('原始输入与口径'!AB74),'原始输入与口径'!AB74,"缺失")</x:f>
        <x:v>14.710198829939085</x:v>
      </x:c>
      <x:c r="F72" s="23" t="n">
        <x:f>IF(ISNUMBER('原始输入与口径'!AG74),'原始输入与口径'!AG74,"缺失")</x:f>
        <x:v>0</x:v>
      </x:c>
      <x:c r="G72" s="23" t="n">
        <x:f>IF(ISNUMBER('原始输入与口径'!AJ74),'原始输入与口径'!AJ74,"缺失")</x:f>
        <x:v>20.681128244305505</x:v>
      </x:c>
      <x:c r="H72" s="23" t="str">
        <x:f>"未模拟"</x:f>
        <x:v>未模拟</x:v>
      </x:c>
      <x:c r="I72" s="24" t="n">
        <x:f>'原始输入与口径'!BD74</x:f>
        <x:v>10</x:v>
      </x:c>
      <x:c r="J72" s="24" t="n">
        <x:f>'原始输入与口径'!BE74</x:f>
        <x:v>10</x:v>
      </x:c>
      <x:c r="K72" s="24" t="n">
        <x:f>'原始输入与口径'!BF74</x:f>
        <x:v>0</x:v>
      </x:c>
      <x:c r="L72" s="24" t="n">
        <x:f>'原始输入与口径'!BG74</x:f>
        <x:v>0</x:v>
      </x:c>
      <x:c r="M72" s="24" t="n">
        <x:f>'原始输入与口径'!BH74</x:f>
        <x:v>0</x:v>
      </x:c>
      <x:c r="N72" s="24" t="n">
        <x:f>'原始输入与口径'!BI74</x:f>
        <x:v>0</x:v>
      </x:c>
      <x:c r="O72" s="24" t="n">
        <x:f>M72*AE72*AC72</x:f>
        <x:v>0</x:v>
      </x:c>
      <x:c r="P72" s="24" t="n">
        <x:f>N72*AF72*AC72</x:f>
        <x:v>0</x:v>
      </x:c>
      <x:c r="Q72" s="25" t="n">
        <x:f>IF(K72=0,0,IF(ISNUMBER(B72),K72*AC72*B72,NA()))</x:f>
        <x:v>0</x:v>
      </x:c>
      <x:c r="R72" s="25" t="n">
        <x:f>IF(L72=0,0,IF(ISNUMBER(C72),L72*AC72*C72*AD72,NA()))</x:f>
        <x:v>0</x:v>
      </x:c>
      <x:c r="S72" s="25" t="n">
        <x:f>IF(M72=0,0,IF(ISNUMBER(D72),M72*AC72*D72*AD72,NA()))</x:f>
        <x:v>0</x:v>
      </x:c>
      <x:c r="T72" s="25" t="n">
        <x:f>IF(N72=0,0,IF(ISNUMBER(E72),N72*AC72*E72*AD72,NA()))</x:f>
        <x:v>0</x:v>
      </x:c>
      <x:c r="U72" s="25" t="n">
        <x:f>IF(O72=0,0,IF(ISNUMBER(F72),O72*F72,NA()))</x:f>
        <x:v>0</x:v>
      </x:c>
      <x:c r="V72" s="25" t="n">
        <x:f>IF(P72=0,0,IF(ISNUMBER(G72),-P72*G72,NA()))</x:f>
        <x:v>0</x:v>
      </x:c>
      <x:c r="W72" s="25" t="n">
        <x:f>SUM(Q72:V72)</x:f>
        <x:v>0</x:v>
      </x:c>
      <x:c r="X72" s="18" t="n">
        <x:f>'原始输入与口径'!BR74</x:f>
        <x:v>0</x:v>
      </x:c>
      <x:c r="Y72" s="18" t="n">
        <x:f>W72-X72</x:f>
        <x:v>0</x:v>
      </x:c>
      <x:c r="Z72" s="18" t="str">
        <x:f>"1月1日执行｜初始化零订单"</x:f>
        <x:v>1月1日执行｜初始化零订单</x:v>
      </x:c>
      <x:c r="AA72" s="19" t="n">
        <x:f>IF('原始输入与口径'!AW74,1,0)</x:f>
        <x:v>1</x:v>
      </x:c>
      <x:c r="AB72" s="19" t="n">
        <x:f>IF('原始输入与口径'!AY74,1,0)</x:f>
        <x:v>0</x:v>
      </x:c>
      <x:c r="AC72" s="18" t="n">
        <x:f>'原始输入与口径'!E74</x:f>
        <x:v>0.25</x:v>
      </x:c>
      <x:c r="AD72" s="20" t="n">
        <x:f>'原始输入与口径'!$F$5</x:f>
        <x:v>1</x:v>
      </x:c>
      <x:c r="AE72" s="20" t="n">
        <x:f>IF(AA72=0,0,AI72/(AG72*AC72))</x:f>
        <x:v>0</x:v>
      </x:c>
      <x:c r="AF72" s="20" t="n">
        <x:f>IF(AA72=0,0,AJ72/(AH72*AC72))</x:f>
        <x:v>0.11582</x:v>
      </x:c>
      <x:c r="AG72" s="18" t="n">
        <x:f>IF(ISNUMBER('原始输入与口径'!T74),'原始输入与口径'!T74,"缺失")</x:f>
        <x:v>200</x:v>
      </x:c>
      <x:c r="AH72" s="18" t="n">
        <x:f>IF(ISNUMBER('原始输入与口径'!Y74),'原始输入与口径'!Y74,"缺失")</x:f>
        <x:v>200</x:v>
      </x:c>
      <x:c r="AI72" s="18" t="n">
        <x:f>IF(ISNUMBER('原始输入与口径'!AI74),'原始输入与口径'!AI74,"缺失")</x:f>
        <x:v>0</x:v>
      </x:c>
      <x:c r="AJ72" s="18" t="n">
        <x:f>IF(ISNUMBER('原始输入与口径'!AL74),'原始输入与口径'!AL74,"缺失")</x:f>
        <x:v>5.791</x:v>
      </x:c>
      <x:c r="AK72" s="18" t="str">
        <x:f>IF(ISNUMBER('原始输入与口径'!O74),'原始输入与口径'!O74,"缺失")</x:f>
        <x:v>缺失</x:v>
      </x:c>
      <x:c r="AL72" s="18" t="n">
        <x:f>SUMIFS('相位SOC复算'!$N$7:$N$443,'相位SOC复算'!$S$7:$S$443,66)</x:f>
        <x:v>0</x:v>
      </x:c>
      <x:c r="AM72" s="18" t="n">
        <x:f>SUMIFS('相位SOC复算'!$Q$7:$Q$443,'相位SOC复算'!$S$7:$S$443,66)</x:f>
        <x:v>0</x:v>
      </x:c>
      <x:c r="AN72" s="18" t="n">
        <x:f>SUMIFS('相位SOC复算'!$R$7:$R$443,'相位SOC复算'!$S$7:$S$443,66)</x:f>
        <x:v>0</x:v>
      </x:c>
      <x:c r="AO72" s="18" t="n">
        <x:f>'相位SOC复算'!J154</x:f>
        <x:v>10</x:v>
      </x:c>
      <x:c r="AP72" s="18" t="n">
        <x:f>AO72-J72</x:f>
        <x:v>0</x:v>
      </x:c>
      <x:c r="AQ72" s="18" t="n">
        <x:f>IF(ISBLANK('原始输入与口径'!M74),"",'原始输入与口径'!M74)</x:f>
        <x:v>4.9741</x:v>
      </x:c>
      <x:c r="AR72" s="21" t="n">
        <x:f>IF(ISBLANK('原始输入与口径'!L74),"",'原始输入与口径'!L74)</x:f>
        <x:v>45657</x:v>
      </x:c>
      <x:c r="AS72" s="17" t="n">
        <x:f>IF(ISBLANK('原始输入与口径'!A74),"",'原始输入与口径'!A74)</x:f>
        <x:v>45658.59375</x:v>
      </x:c>
      <x:c r="AT72" s="18" t="str">
        <x:f>IF(ISBLANK('原始输入与口径'!I74),"",'原始输入与口径'!I74)</x:f>
        <x:v>2025-01-01_16</x:v>
      </x:c>
      <x:c r="AU72" s="19" t="n">
        <x:f>IF(ISBLANK('原始输入与口径'!J74),"",'原始输入与口径'!J74)</x:f>
        <x:v>60</x:v>
      </x:c>
      <x:c r="AV72" s="18" t="str">
        <x:f>IF(ISBLANK('原始输入与口径'!BB74),"",'原始输入与口径'!BB74)</x:f>
        <x:v>OK</x:v>
      </x:c>
    </x:row>
    <x:row r="73" ht="21" customHeight="1">
      <x:c r="A73" s="17" t="n">
        <x:f>45658.6875</x:f>
        <x:v>45658.6875</x:v>
      </x:c>
      <x:c r="B73" s="23" t="n">
        <x:f>IF(ISNUMBER('原始输入与口径'!H75),'原始输入与口径'!H75,"缺失")</x:f>
        <x:v>90.51</x:v>
      </x:c>
      <x:c r="C73" s="23" t="str">
        <x:f>IF(ISNUMBER('原始输入与口径'!R75),'原始输入与口径'!R75,"缺失")</x:f>
        <x:v>缺失</x:v>
      </x:c>
      <x:c r="D73" s="23" t="n">
        <x:f>IF(ISNUMBER('原始输入与口径'!W75),'原始输入与口径'!W75,"缺失")</x:f>
        <x:v>13.831647936310086</x:v>
      </x:c>
      <x:c r="E73" s="23" t="n">
        <x:f>IF(ISNUMBER('原始输入与口径'!AB75),'原始输入与口径'!AB75,"缺失")</x:f>
        <x:v>14.710198829939085</x:v>
      </x:c>
      <x:c r="F73" s="23" t="n">
        <x:f>IF(ISNUMBER('原始输入与口径'!AG75),'原始输入与口径'!AG75,"缺失")</x:f>
        <x:v>136.70814820771596</x:v>
      </x:c>
      <x:c r="G73" s="23" t="n">
        <x:f>IF(ISNUMBER('原始输入与口径'!AJ75),'原始输入与口径'!AJ75,"缺失")</x:f>
        <x:v>53.78058342212661</x:v>
      </x:c>
      <x:c r="H73" s="23" t="str">
        <x:f>"未模拟"</x:f>
        <x:v>未模拟</x:v>
      </x:c>
      <x:c r="I73" s="24" t="n">
        <x:f>'原始输入与口径'!BD75</x:f>
        <x:v>10</x:v>
      </x:c>
      <x:c r="J73" s="24" t="n">
        <x:f>'原始输入与口径'!BE75</x:f>
        <x:v>10</x:v>
      </x:c>
      <x:c r="K73" s="24" t="n">
        <x:f>'原始输入与口径'!BF75</x:f>
        <x:v>0</x:v>
      </x:c>
      <x:c r="L73" s="24" t="n">
        <x:f>'原始输入与口径'!BG75</x:f>
        <x:v>0</x:v>
      </x:c>
      <x:c r="M73" s="24" t="n">
        <x:f>'原始输入与口径'!BH75</x:f>
        <x:v>0</x:v>
      </x:c>
      <x:c r="N73" s="24" t="n">
        <x:f>'原始输入与口径'!BI75</x:f>
        <x:v>0</x:v>
      </x:c>
      <x:c r="O73" s="24" t="n">
        <x:f>M73*AE73*AC73</x:f>
        <x:v>0</x:v>
      </x:c>
      <x:c r="P73" s="24" t="n">
        <x:f>N73*AF73*AC73</x:f>
        <x:v>0</x:v>
      </x:c>
      <x:c r="Q73" s="25" t="n">
        <x:f>IF(K73=0,0,IF(ISNUMBER(B73),K73*AC73*B73,NA()))</x:f>
        <x:v>0</x:v>
      </x:c>
      <x:c r="R73" s="25" t="n">
        <x:f>IF(L73=0,0,IF(ISNUMBER(C73),L73*AC73*C73*AD73,NA()))</x:f>
        <x:v>0</x:v>
      </x:c>
      <x:c r="S73" s="25" t="n">
        <x:f>IF(M73=0,0,IF(ISNUMBER(D73),M73*AC73*D73*AD73,NA()))</x:f>
        <x:v>0</x:v>
      </x:c>
      <x:c r="T73" s="25" t="n">
        <x:f>IF(N73=0,0,IF(ISNUMBER(E73),N73*AC73*E73*AD73,NA()))</x:f>
        <x:v>0</x:v>
      </x:c>
      <x:c r="U73" s="25" t="n">
        <x:f>IF(O73=0,0,IF(ISNUMBER(F73),O73*F73,NA()))</x:f>
        <x:v>0</x:v>
      </x:c>
      <x:c r="V73" s="25" t="n">
        <x:f>IF(P73=0,0,IF(ISNUMBER(G73),-P73*G73,NA()))</x:f>
        <x:v>0</x:v>
      </x:c>
      <x:c r="W73" s="25" t="n">
        <x:f>SUM(Q73:V73)</x:f>
        <x:v>0</x:v>
      </x:c>
      <x:c r="X73" s="18" t="n">
        <x:f>'原始输入与口径'!BR75</x:f>
        <x:v>0</x:v>
      </x:c>
      <x:c r="Y73" s="18" t="n">
        <x:f>W73-X73</x:f>
        <x:v>0</x:v>
      </x:c>
      <x:c r="Z73" s="18" t="str">
        <x:f>"1月1日执行｜初始化零订单"</x:f>
        <x:v>1月1日执行｜初始化零订单</x:v>
      </x:c>
      <x:c r="AA73" s="19" t="n">
        <x:f>IF('原始输入与口径'!AW75,1,0)</x:f>
        <x:v>1</x:v>
      </x:c>
      <x:c r="AB73" s="19" t="n">
        <x:f>IF('原始输入与口径'!AY75,1,0)</x:f>
        <x:v>0</x:v>
      </x:c>
      <x:c r="AC73" s="18" t="n">
        <x:f>'原始输入与口径'!E75</x:f>
        <x:v>0.25</x:v>
      </x:c>
      <x:c r="AD73" s="20" t="n">
        <x:f>'原始输入与口径'!$F$5</x:f>
        <x:v>1</x:v>
      </x:c>
      <x:c r="AE73" s="20" t="n">
        <x:f>IF(AA73=0,0,AI73/(AG73*AC73))</x:f>
        <x:v>0.00006</x:v>
      </x:c>
      <x:c r="AF73" s="20" t="n">
        <x:f>IF(AA73=0,0,AJ73/(AH73*AC73))</x:f>
        <x:v>0.02152</x:v>
      </x:c>
      <x:c r="AG73" s="18" t="n">
        <x:f>IF(ISNUMBER('原始输入与口径'!T75),'原始输入与口径'!T75,"缺失")</x:f>
        <x:v>200</x:v>
      </x:c>
      <x:c r="AH73" s="18" t="n">
        <x:f>IF(ISNUMBER('原始输入与口径'!Y75),'原始输入与口径'!Y75,"缺失")</x:f>
        <x:v>200</x:v>
      </x:c>
      <x:c r="AI73" s="18" t="n">
        <x:f>IF(ISNUMBER('原始输入与口径'!AI75),'原始输入与口径'!AI75,"缺失")</x:f>
        <x:v>0.003</x:v>
      </x:c>
      <x:c r="AJ73" s="18" t="n">
        <x:f>IF(ISNUMBER('原始输入与口径'!AL75),'原始输入与口径'!AL75,"缺失")</x:f>
        <x:v>1.076</x:v>
      </x:c>
      <x:c r="AK73" s="18" t="str">
        <x:f>IF(ISNUMBER('原始输入与口径'!O75),'原始输入与口径'!O75,"缺失")</x:f>
        <x:v>缺失</x:v>
      </x:c>
      <x:c r="AL73" s="18" t="n">
        <x:f>SUMIFS('相位SOC复算'!$N$7:$N$443,'相位SOC复算'!$S$7:$S$443,67)</x:f>
        <x:v>0</x:v>
      </x:c>
      <x:c r="AM73" s="18" t="n">
        <x:f>SUMIFS('相位SOC复算'!$Q$7:$Q$443,'相位SOC复算'!$S$7:$S$443,67)</x:f>
        <x:v>0</x:v>
      </x:c>
      <x:c r="AN73" s="18" t="n">
        <x:f>SUMIFS('相位SOC复算'!$R$7:$R$443,'相位SOC复算'!$S$7:$S$443,67)</x:f>
        <x:v>0</x:v>
      </x:c>
      <x:c r="AO73" s="18" t="n">
        <x:f>'相位SOC复算'!J157</x:f>
        <x:v>10</x:v>
      </x:c>
      <x:c r="AP73" s="18" t="n">
        <x:f>AO73-J73</x:f>
        <x:v>0</x:v>
      </x:c>
      <x:c r="AQ73" s="18" t="n">
        <x:f>IF(ISBLANK('原始输入与口径'!M75),"",'原始输入与口径'!M75)</x:f>
        <x:v>4.9741</x:v>
      </x:c>
      <x:c r="AR73" s="21" t="n">
        <x:f>IF(ISBLANK('原始输入与口径'!L75),"",'原始输入与口径'!L75)</x:f>
        <x:v>45657</x:v>
      </x:c>
      <x:c r="AS73" s="17" t="n">
        <x:f>IF(ISBLANK('原始输入与口径'!A75),"",'原始输入与口径'!A75)</x:f>
        <x:v>45658.604166666664</x:v>
      </x:c>
      <x:c r="AT73" s="18" t="str">
        <x:f>IF(ISBLANK('原始输入与口径'!I75),"",'原始输入与口径'!I75)</x:f>
        <x:v>2025-01-01_16</x:v>
      </x:c>
      <x:c r="AU73" s="19" t="n">
        <x:f>IF(ISBLANK('原始输入与口径'!J75),"",'原始输入与口径'!J75)</x:f>
        <x:v>60</x:v>
      </x:c>
      <x:c r="AV73" s="18" t="str">
        <x:f>IF(ISBLANK('原始输入与口径'!BB75),"",'原始输入与口径'!BB75)</x:f>
        <x:v>OK</x:v>
      </x:c>
    </x:row>
    <x:row r="74" ht="21" customHeight="1">
      <x:c r="A74" s="17" t="n">
        <x:f>45658.697916666664</x:f>
        <x:v>45658.697916666664</x:v>
      </x:c>
      <x:c r="B74" s="23" t="n">
        <x:f>IF(ISNUMBER('原始输入与口径'!H76),'原始输入与口径'!H76,"缺失")</x:f>
        <x:v>90.51</x:v>
      </x:c>
      <x:c r="C74" s="23" t="str">
        <x:f>IF(ISNUMBER('原始输入与口径'!R76),'原始输入与口径'!R76,"缺失")</x:f>
        <x:v>缺失</x:v>
      </x:c>
      <x:c r="D74" s="23" t="n">
        <x:f>IF(ISNUMBER('原始输入与口径'!W76),'原始输入与口径'!W76,"缺失")</x:f>
        <x:v>13.831647936310086</x:v>
      </x:c>
      <x:c r="E74" s="23" t="n">
        <x:f>IF(ISNUMBER('原始输入与口径'!AB76),'原始输入与口径'!AB76,"缺失")</x:f>
        <x:v>14.710198829939085</x:v>
      </x:c>
      <x:c r="F74" s="23" t="n">
        <x:f>IF(ISNUMBER('原始输入与口径'!AG76),'原始输入与口径'!AG76,"缺失")</x:f>
        <x:v>179.02977423051405</x:v>
      </x:c>
      <x:c r="G74" s="23" t="n">
        <x:f>IF(ISNUMBER('原始输入与口径'!AJ76),'原始输入与口径'!AJ76,"缺失")</x:f>
        <x:v>58.50304577712551</x:v>
      </x:c>
      <x:c r="H74" s="23" t="str">
        <x:f>"未模拟"</x:f>
        <x:v>未模拟</x:v>
      </x:c>
      <x:c r="I74" s="24" t="n">
        <x:f>'原始输入与口径'!BD76</x:f>
        <x:v>10</x:v>
      </x:c>
      <x:c r="J74" s="24" t="n">
        <x:f>'原始输入与口径'!BE76</x:f>
        <x:v>10</x:v>
      </x:c>
      <x:c r="K74" s="24" t="n">
        <x:f>'原始输入与口径'!BF76</x:f>
        <x:v>0</x:v>
      </x:c>
      <x:c r="L74" s="24" t="n">
        <x:f>'原始输入与口径'!BG76</x:f>
        <x:v>0</x:v>
      </x:c>
      <x:c r="M74" s="24" t="n">
        <x:f>'原始输入与口径'!BH76</x:f>
        <x:v>0</x:v>
      </x:c>
      <x:c r="N74" s="24" t="n">
        <x:f>'原始输入与口径'!BI76</x:f>
        <x:v>0</x:v>
      </x:c>
      <x:c r="O74" s="24" t="n">
        <x:f>M74*AE74*AC74</x:f>
        <x:v>0</x:v>
      </x:c>
      <x:c r="P74" s="24" t="n">
        <x:f>N74*AF74*AC74</x:f>
        <x:v>0</x:v>
      </x:c>
      <x:c r="Q74" s="25" t="n">
        <x:f>IF(K74=0,0,IF(ISNUMBER(B74),K74*AC74*B74,NA()))</x:f>
        <x:v>0</x:v>
      </x:c>
      <x:c r="R74" s="25" t="n">
        <x:f>IF(L74=0,0,IF(ISNUMBER(C74),L74*AC74*C74*AD74,NA()))</x:f>
        <x:v>0</x:v>
      </x:c>
      <x:c r="S74" s="25" t="n">
        <x:f>IF(M74=0,0,IF(ISNUMBER(D74),M74*AC74*D74*AD74,NA()))</x:f>
        <x:v>0</x:v>
      </x:c>
      <x:c r="T74" s="25" t="n">
        <x:f>IF(N74=0,0,IF(ISNUMBER(E74),N74*AC74*E74*AD74,NA()))</x:f>
        <x:v>0</x:v>
      </x:c>
      <x:c r="U74" s="25" t="n">
        <x:f>IF(O74=0,0,IF(ISNUMBER(F74),O74*F74,NA()))</x:f>
        <x:v>0</x:v>
      </x:c>
      <x:c r="V74" s="25" t="n">
        <x:f>IF(P74=0,0,IF(ISNUMBER(G74),-P74*G74,NA()))</x:f>
        <x:v>0</x:v>
      </x:c>
      <x:c r="W74" s="25" t="n">
        <x:f>SUM(Q74:V74)</x:f>
        <x:v>0</x:v>
      </x:c>
      <x:c r="X74" s="18" t="n">
        <x:f>'原始输入与口径'!BR76</x:f>
        <x:v>0</x:v>
      </x:c>
      <x:c r="Y74" s="18" t="n">
        <x:f>W74-X74</x:f>
        <x:v>0</x:v>
      </x:c>
      <x:c r="Z74" s="18" t="str">
        <x:f>"1月1日执行｜初始化零订单"</x:f>
        <x:v>1月1日执行｜初始化零订单</x:v>
      </x:c>
      <x:c r="AA74" s="19" t="n">
        <x:f>IF('原始输入与口径'!AW76,1,0)</x:f>
        <x:v>1</x:v>
      </x:c>
      <x:c r="AB74" s="19" t="n">
        <x:f>IF('原始输入与口径'!AY76,1,0)</x:f>
        <x:v>0</x:v>
      </x:c>
      <x:c r="AC74" s="18" t="n">
        <x:f>'原始输入与口径'!E76</x:f>
        <x:v>0.25</x:v>
      </x:c>
      <x:c r="AD74" s="20" t="n">
        <x:f>'原始输入与口径'!$F$5</x:f>
        <x:v>1</x:v>
      </x:c>
      <x:c r="AE74" s="20" t="n">
        <x:f>IF(AA74=0,0,AI74/(AG74*AC74))</x:f>
        <x:v>0.24696</x:v>
      </x:c>
      <x:c r="AF74" s="20" t="n">
        <x:f>IF(AA74=0,0,AJ74/(AH74*AC74))</x:f>
        <x:v>0.00034</x:v>
      </x:c>
      <x:c r="AG74" s="18" t="n">
        <x:f>IF(ISNUMBER('原始输入与口径'!T76),'原始输入与口径'!T76,"缺失")</x:f>
        <x:v>200</x:v>
      </x:c>
      <x:c r="AH74" s="18" t="n">
        <x:f>IF(ISNUMBER('原始输入与口径'!Y76),'原始输入与口径'!Y76,"缺失")</x:f>
        <x:v>200</x:v>
      </x:c>
      <x:c r="AI74" s="18" t="n">
        <x:f>IF(ISNUMBER('原始输入与口径'!AI76),'原始输入与口径'!AI76,"缺失")</x:f>
        <x:v>12.348</x:v>
      </x:c>
      <x:c r="AJ74" s="18" t="n">
        <x:f>IF(ISNUMBER('原始输入与口径'!AL76),'原始输入与口径'!AL76,"缺失")</x:f>
        <x:v>0.017</x:v>
      </x:c>
      <x:c r="AK74" s="18" t="str">
        <x:f>IF(ISNUMBER('原始输入与口径'!O76),'原始输入与口径'!O76,"缺失")</x:f>
        <x:v>缺失</x:v>
      </x:c>
      <x:c r="AL74" s="18" t="n">
        <x:f>SUMIFS('相位SOC复算'!$N$7:$N$443,'相位SOC复算'!$S$7:$S$443,68)</x:f>
        <x:v>0</x:v>
      </x:c>
      <x:c r="AM74" s="18" t="n">
        <x:f>SUMIFS('相位SOC复算'!$Q$7:$Q$443,'相位SOC复算'!$S$7:$S$443,68)</x:f>
        <x:v>0</x:v>
      </x:c>
      <x:c r="AN74" s="18" t="n">
        <x:f>SUMIFS('相位SOC复算'!$R$7:$R$443,'相位SOC复算'!$S$7:$S$443,68)</x:f>
        <x:v>0</x:v>
      </x:c>
      <x:c r="AO74" s="18" t="n">
        <x:f>'相位SOC复算'!J160</x:f>
        <x:v>10</x:v>
      </x:c>
      <x:c r="AP74" s="18" t="n">
        <x:f>AO74-J74</x:f>
        <x:v>0</x:v>
      </x:c>
      <x:c r="AQ74" s="18" t="n">
        <x:f>IF(ISBLANK('原始输入与口径'!M76),"",'原始输入与口径'!M76)</x:f>
        <x:v>4.9741</x:v>
      </x:c>
      <x:c r="AR74" s="21" t="n">
        <x:f>IF(ISBLANK('原始输入与口径'!L76),"",'原始输入与口径'!L76)</x:f>
        <x:v>45657</x:v>
      </x:c>
      <x:c r="AS74" s="17" t="n">
        <x:f>IF(ISBLANK('原始输入与口径'!A76),"",'原始输入与口径'!A76)</x:f>
        <x:v>45658.614583333336</x:v>
      </x:c>
      <x:c r="AT74" s="18" t="str">
        <x:f>IF(ISBLANK('原始输入与口径'!I76),"",'原始输入与口径'!I76)</x:f>
        <x:v>2025-01-01_16</x:v>
      </x:c>
      <x:c r="AU74" s="19" t="n">
        <x:f>IF(ISBLANK('原始输入与口径'!J76),"",'原始输入与口径'!J76)</x:f>
        <x:v>60</x:v>
      </x:c>
      <x:c r="AV74" s="18" t="str">
        <x:f>IF(ISBLANK('原始输入与口径'!BB76),"",'原始输入与口径'!BB76)</x:f>
        <x:v>OK</x:v>
      </x:c>
    </x:row>
    <x:row r="75" ht="21" customHeight="1">
      <x:c r="A75" s="17" t="n">
        <x:f>45658.708333333336</x:f>
        <x:v>45658.708333333336</x:v>
      </x:c>
      <x:c r="B75" s="23" t="n">
        <x:f>IF(ISNUMBER('原始输入与口径'!H77),'原始输入与口径'!H77,"缺失")</x:f>
        <x:v>120.79</x:v>
      </x:c>
      <x:c r="C75" s="23" t="str">
        <x:f>IF(ISNUMBER('原始输入与口径'!R77),'原始输入与口径'!R77,"缺失")</x:f>
        <x:v>缺失</x:v>
      </x:c>
      <x:c r="D75" s="23" t="n">
        <x:f>IF(ISNUMBER('原始输入与口径'!W77),'原始输入与口径'!W77,"缺失")</x:f>
        <x:v>13.831647936310086</x:v>
      </x:c>
      <x:c r="E75" s="23" t="n">
        <x:f>IF(ISNUMBER('原始输入与口径'!AB77),'原始输入与口径'!AB77,"缺失")</x:f>
        <x:v>14.676021792887155</x:v>
      </x:c>
      <x:c r="F75" s="23" t="n">
        <x:f>IF(ISNUMBER('原始输入与口径'!AG77),'原始输入与口径'!AG77,"缺失")</x:f>
        <x:v>175.82577752759295</x:v>
      </x:c>
      <x:c r="G75" s="23" t="n">
        <x:f>IF(ISNUMBER('原始输入与口径'!AJ77),'原始输入与口径'!AJ77,"缺失")</x:f>
        <x:v>43.2315393739571</x:v>
      </x:c>
      <x:c r="H75" s="23" t="str">
        <x:f>"未模拟"</x:f>
        <x:v>未模拟</x:v>
      </x:c>
      <x:c r="I75" s="24" t="n">
        <x:f>'原始输入与口径'!BD77</x:f>
        <x:v>10</x:v>
      </x:c>
      <x:c r="J75" s="24" t="n">
        <x:f>'原始输入与口径'!BE77</x:f>
        <x:v>10</x:v>
      </x:c>
      <x:c r="K75" s="24" t="n">
        <x:f>'原始输入与口径'!BF77</x:f>
        <x:v>0</x:v>
      </x:c>
      <x:c r="L75" s="24" t="n">
        <x:f>'原始输入与口径'!BG77</x:f>
        <x:v>0</x:v>
      </x:c>
      <x:c r="M75" s="24" t="n">
        <x:f>'原始输入与口径'!BH77</x:f>
        <x:v>0</x:v>
      </x:c>
      <x:c r="N75" s="24" t="n">
        <x:f>'原始输入与口径'!BI77</x:f>
        <x:v>0</x:v>
      </x:c>
      <x:c r="O75" s="24" t="n">
        <x:f>M75*AE75*AC75</x:f>
        <x:v>0</x:v>
      </x:c>
      <x:c r="P75" s="24" t="n">
        <x:f>N75*AF75*AC75</x:f>
        <x:v>0</x:v>
      </x:c>
      <x:c r="Q75" s="25" t="n">
        <x:f>IF(K75=0,0,IF(ISNUMBER(B75),K75*AC75*B75,NA()))</x:f>
        <x:v>0</x:v>
      </x:c>
      <x:c r="R75" s="25" t="n">
        <x:f>IF(L75=0,0,IF(ISNUMBER(C75),L75*AC75*C75*AD75,NA()))</x:f>
        <x:v>0</x:v>
      </x:c>
      <x:c r="S75" s="25" t="n">
        <x:f>IF(M75=0,0,IF(ISNUMBER(D75),M75*AC75*D75*AD75,NA()))</x:f>
        <x:v>0</x:v>
      </x:c>
      <x:c r="T75" s="25" t="n">
        <x:f>IF(N75=0,0,IF(ISNUMBER(E75),N75*AC75*E75*AD75,NA()))</x:f>
        <x:v>0</x:v>
      </x:c>
      <x:c r="U75" s="25" t="n">
        <x:f>IF(O75=0,0,IF(ISNUMBER(F75),O75*F75,NA()))</x:f>
        <x:v>0</x:v>
      </x:c>
      <x:c r="V75" s="25" t="n">
        <x:f>IF(P75=0,0,IF(ISNUMBER(G75),-P75*G75,NA()))</x:f>
        <x:v>0</x:v>
      </x:c>
      <x:c r="W75" s="25" t="n">
        <x:f>SUM(Q75:V75)</x:f>
        <x:v>0</x:v>
      </x:c>
      <x:c r="X75" s="18" t="n">
        <x:f>'原始输入与口径'!BR77</x:f>
        <x:v>0</x:v>
      </x:c>
      <x:c r="Y75" s="18" t="n">
        <x:f>W75-X75</x:f>
        <x:v>0</x:v>
      </x:c>
      <x:c r="Z75" s="18" t="str">
        <x:f>"1月1日执行｜初始化零订单"</x:f>
        <x:v>1月1日执行｜初始化零订单</x:v>
      </x:c>
      <x:c r="AA75" s="19" t="n">
        <x:f>IF('原始输入与口径'!AW77,1,0)</x:f>
        <x:v>1</x:v>
      </x:c>
      <x:c r="AB75" s="19" t="n">
        <x:f>IF('原始输入与口径'!AY77,1,0)</x:f>
        <x:v>0</x:v>
      </x:c>
      <x:c r="AC75" s="18" t="n">
        <x:f>'原始输入与口径'!E77</x:f>
        <x:v>0.25</x:v>
      </x:c>
      <x:c r="AD75" s="20" t="n">
        <x:f>'原始输入与口径'!$F$5</x:f>
        <x:v>1</x:v>
      </x:c>
      <x:c r="AE75" s="20" t="n">
        <x:f>IF(AA75=0,0,AI75/(AG75*AC75))</x:f>
        <x:v>0.035179999999999996</x:v>
      </x:c>
      <x:c r="AF75" s="20" t="n">
        <x:f>IF(AA75=0,0,AJ75/(AH75*AC75))</x:f>
        <x:v>0.0069</x:v>
      </x:c>
      <x:c r="AG75" s="18" t="n">
        <x:f>IF(ISNUMBER('原始输入与口径'!T77),'原始输入与口径'!T77,"缺失")</x:f>
        <x:v>200</x:v>
      </x:c>
      <x:c r="AH75" s="18" t="n">
        <x:f>IF(ISNUMBER('原始输入与口径'!Y77),'原始输入与口径'!Y77,"缺失")</x:f>
        <x:v>200</x:v>
      </x:c>
      <x:c r="AI75" s="18" t="n">
        <x:f>IF(ISNUMBER('原始输入与口径'!AI77),'原始输入与口径'!AI77,"缺失")</x:f>
        <x:v>1.759</x:v>
      </x:c>
      <x:c r="AJ75" s="18" t="n">
        <x:f>IF(ISNUMBER('原始输入与口径'!AL77),'原始输入与口径'!AL77,"缺失")</x:f>
        <x:v>0.345</x:v>
      </x:c>
      <x:c r="AK75" s="18" t="str">
        <x:f>IF(ISNUMBER('原始输入与口径'!O77),'原始输入与口径'!O77,"缺失")</x:f>
        <x:v>缺失</x:v>
      </x:c>
      <x:c r="AL75" s="18" t="n">
        <x:f>SUMIFS('相位SOC复算'!$N$7:$N$443,'相位SOC复算'!$S$7:$S$443,69)</x:f>
        <x:v>0</x:v>
      </x:c>
      <x:c r="AM75" s="18" t="n">
        <x:f>SUMIFS('相位SOC复算'!$Q$7:$Q$443,'相位SOC复算'!$S$7:$S$443,69)</x:f>
        <x:v>0</x:v>
      </x:c>
      <x:c r="AN75" s="18" t="n">
        <x:f>SUMIFS('相位SOC复算'!$R$7:$R$443,'相位SOC复算'!$S$7:$S$443,69)</x:f>
        <x:v>0</x:v>
      </x:c>
      <x:c r="AO75" s="18" t="n">
        <x:f>'相位SOC复算'!J163</x:f>
        <x:v>10</x:v>
      </x:c>
      <x:c r="AP75" s="18" t="n">
        <x:f>AO75-J75</x:f>
        <x:v>0</x:v>
      </x:c>
      <x:c r="AQ75" s="18" t="n">
        <x:f>IF(ISBLANK('原始输入与口径'!M77),"",'原始输入与口径'!M77)</x:f>
        <x:v>4.9741</x:v>
      </x:c>
      <x:c r="AR75" s="21" t="n">
        <x:f>IF(ISBLANK('原始输入与口径'!L77),"",'原始输入与口径'!L77)</x:f>
        <x:v>45657</x:v>
      </x:c>
      <x:c r="AS75" s="17" t="n">
        <x:f>IF(ISBLANK('原始输入与口径'!A77),"",'原始输入与口径'!A77)</x:f>
        <x:v>45658.625</x:v>
      </x:c>
      <x:c r="AT75" s="18" t="str">
        <x:f>IF(ISBLANK('原始输入与口径'!I77),"",'原始输入与口径'!I77)</x:f>
        <x:v>2025-01-01_17</x:v>
      </x:c>
      <x:c r="AU75" s="19" t="n">
        <x:f>IF(ISBLANK('原始输入与口径'!J77),"",'原始输入与口径'!J77)</x:f>
        <x:v>60</x:v>
      </x:c>
      <x:c r="AV75" s="18" t="str">
        <x:f>IF(ISBLANK('原始输入与口径'!BB77),"",'原始输入与口径'!BB77)</x:f>
        <x:v>OK</x:v>
      </x:c>
    </x:row>
    <x:row r="76" ht="21" customHeight="1">
      <x:c r="A76" s="17" t="n">
        <x:f>45658.71875</x:f>
        <x:v>45658.71875</x:v>
      </x:c>
      <x:c r="B76" s="23" t="n">
        <x:f>IF(ISNUMBER('原始输入与口径'!H78),'原始输入与口径'!H78,"缺失")</x:f>
        <x:v>120.79</x:v>
      </x:c>
      <x:c r="C76" s="23" t="str">
        <x:f>IF(ISNUMBER('原始输入与口径'!R78),'原始输入与口径'!R78,"缺失")</x:f>
        <x:v>缺失</x:v>
      </x:c>
      <x:c r="D76" s="23" t="n">
        <x:f>IF(ISNUMBER('原始输入与口径'!W78),'原始输入与口径'!W78,"缺失")</x:f>
        <x:v>13.831647936310086</x:v>
      </x:c>
      <x:c r="E76" s="23" t="n">
        <x:f>IF(ISNUMBER('原始输入与口径'!AB78),'原始输入与口径'!AB78,"缺失")</x:f>
        <x:v>14.676021792887155</x:v>
      </x:c>
      <x:c r="F76" s="23" t="n">
        <x:f>IF(ISNUMBER('原始输入与口径'!AG78),'原始输入与口径'!AG78,"缺失")</x:f>
        <x:v>189.7137170543415</x:v>
      </x:c>
      <x:c r="G76" s="23" t="n">
        <x:f>IF(ISNUMBER('原始输入与口径'!AJ78),'原始输入与口径'!AJ78,"缺失")</x:f>
        <x:v>58.50304577712551</x:v>
      </x:c>
      <x:c r="H76" s="23" t="str">
        <x:f>"未模拟"</x:f>
        <x:v>未模拟</x:v>
      </x:c>
      <x:c r="I76" s="24" t="n">
        <x:f>'原始输入与口径'!BD78</x:f>
        <x:v>10</x:v>
      </x:c>
      <x:c r="J76" s="24" t="n">
        <x:f>'原始输入与口径'!BE78</x:f>
        <x:v>10</x:v>
      </x:c>
      <x:c r="K76" s="24" t="n">
        <x:f>'原始输入与口径'!BF78</x:f>
        <x:v>0</x:v>
      </x:c>
      <x:c r="L76" s="24" t="n">
        <x:f>'原始输入与口径'!BG78</x:f>
        <x:v>0</x:v>
      </x:c>
      <x:c r="M76" s="24" t="n">
        <x:f>'原始输入与口径'!BH78</x:f>
        <x:v>0</x:v>
      </x:c>
      <x:c r="N76" s="24" t="n">
        <x:f>'原始输入与口径'!BI78</x:f>
        <x:v>0</x:v>
      </x:c>
      <x:c r="O76" s="24" t="n">
        <x:f>M76*AE76*AC76</x:f>
        <x:v>0</x:v>
      </x:c>
      <x:c r="P76" s="24" t="n">
        <x:f>N76*AF76*AC76</x:f>
        <x:v>0</x:v>
      </x:c>
      <x:c r="Q76" s="25" t="n">
        <x:f>IF(K76=0,0,IF(ISNUMBER(B76),K76*AC76*B76,NA()))</x:f>
        <x:v>0</x:v>
      </x:c>
      <x:c r="R76" s="25" t="n">
        <x:f>IF(L76=0,0,IF(ISNUMBER(C76),L76*AC76*C76*AD76,NA()))</x:f>
        <x:v>0</x:v>
      </x:c>
      <x:c r="S76" s="25" t="n">
        <x:f>IF(M76=0,0,IF(ISNUMBER(D76),M76*AC76*D76*AD76,NA()))</x:f>
        <x:v>0</x:v>
      </x:c>
      <x:c r="T76" s="25" t="n">
        <x:f>IF(N76=0,0,IF(ISNUMBER(E76),N76*AC76*E76*AD76,NA()))</x:f>
        <x:v>0</x:v>
      </x:c>
      <x:c r="U76" s="25" t="n">
        <x:f>IF(O76=0,0,IF(ISNUMBER(F76),O76*F76,NA()))</x:f>
        <x:v>0</x:v>
      </x:c>
      <x:c r="V76" s="25" t="n">
        <x:f>IF(P76=0,0,IF(ISNUMBER(G76),-P76*G76,NA()))</x:f>
        <x:v>0</x:v>
      </x:c>
      <x:c r="W76" s="25" t="n">
        <x:f>SUM(Q76:V76)</x:f>
        <x:v>0</x:v>
      </x:c>
      <x:c r="X76" s="18" t="n">
        <x:f>'原始输入与口径'!BR78</x:f>
        <x:v>0</x:v>
      </x:c>
      <x:c r="Y76" s="18" t="n">
        <x:f>W76-X76</x:f>
        <x:v>0</x:v>
      </x:c>
      <x:c r="Z76" s="18" t="str">
        <x:f>"1月1日执行｜初始化零订单"</x:f>
        <x:v>1月1日执行｜初始化零订单</x:v>
      </x:c>
      <x:c r="AA76" s="19" t="n">
        <x:f>IF('原始输入与口径'!AW78,1,0)</x:f>
        <x:v>1</x:v>
      </x:c>
      <x:c r="AB76" s="19" t="n">
        <x:f>IF('原始输入与口径'!AY78,1,0)</x:f>
        <x:v>0</x:v>
      </x:c>
      <x:c r="AC76" s="18" t="n">
        <x:f>'原始输入与口径'!E78</x:f>
        <x:v>0.25</x:v>
      </x:c>
      <x:c r="AD76" s="20" t="n">
        <x:f>'原始输入与口径'!$F$5</x:f>
        <x:v>1</x:v>
      </x:c>
      <x:c r="AE76" s="20" t="n">
        <x:f>IF(AA76=0,0,AI76/(AG76*AC76))</x:f>
        <x:v>0.12386</x:v>
      </x:c>
      <x:c r="AF76" s="20" t="n">
        <x:f>IF(AA76=0,0,AJ76/(AH76*AC76))</x:f>
        <x:v>0.00008</x:v>
      </x:c>
      <x:c r="AG76" s="18" t="n">
        <x:f>IF(ISNUMBER('原始输入与口径'!T78),'原始输入与口径'!T78,"缺失")</x:f>
        <x:v>200</x:v>
      </x:c>
      <x:c r="AH76" s="18" t="n">
        <x:f>IF(ISNUMBER('原始输入与口径'!Y78),'原始输入与口径'!Y78,"缺失")</x:f>
        <x:v>200</x:v>
      </x:c>
      <x:c r="AI76" s="18" t="n">
        <x:f>IF(ISNUMBER('原始输入与口径'!AI78),'原始输入与口径'!AI78,"缺失")</x:f>
        <x:v>6.193</x:v>
      </x:c>
      <x:c r="AJ76" s="18" t="n">
        <x:f>IF(ISNUMBER('原始输入与口径'!AL78),'原始输入与口径'!AL78,"缺失")</x:f>
        <x:v>0.004</x:v>
      </x:c>
      <x:c r="AK76" s="18" t="str">
        <x:f>IF(ISNUMBER('原始输入与口径'!O78),'原始输入与口径'!O78,"缺失")</x:f>
        <x:v>缺失</x:v>
      </x:c>
      <x:c r="AL76" s="18" t="n">
        <x:f>SUMIFS('相位SOC复算'!$N$7:$N$443,'相位SOC复算'!$S$7:$S$443,70)</x:f>
        <x:v>0</x:v>
      </x:c>
      <x:c r="AM76" s="18" t="n">
        <x:f>SUMIFS('相位SOC复算'!$Q$7:$Q$443,'相位SOC复算'!$S$7:$S$443,70)</x:f>
        <x:v>0</x:v>
      </x:c>
      <x:c r="AN76" s="18" t="n">
        <x:f>SUMIFS('相位SOC复算'!$R$7:$R$443,'相位SOC复算'!$S$7:$S$443,70)</x:f>
        <x:v>0</x:v>
      </x:c>
      <x:c r="AO76" s="18" t="n">
        <x:f>'相位SOC复算'!J166</x:f>
        <x:v>10</x:v>
      </x:c>
      <x:c r="AP76" s="18" t="n">
        <x:f>AO76-J76</x:f>
        <x:v>0</x:v>
      </x:c>
      <x:c r="AQ76" s="18" t="n">
        <x:f>IF(ISBLANK('原始输入与口径'!M78),"",'原始输入与口径'!M78)</x:f>
        <x:v>4.9741</x:v>
      </x:c>
      <x:c r="AR76" s="21" t="n">
        <x:f>IF(ISBLANK('原始输入与口径'!L78),"",'原始输入与口径'!L78)</x:f>
        <x:v>45657</x:v>
      </x:c>
      <x:c r="AS76" s="17" t="n">
        <x:f>IF(ISBLANK('原始输入与口径'!A78),"",'原始输入与口径'!A78)</x:f>
        <x:v>45658.635416666664</x:v>
      </x:c>
      <x:c r="AT76" s="18" t="str">
        <x:f>IF(ISBLANK('原始输入与口径'!I78),"",'原始输入与口径'!I78)</x:f>
        <x:v>2025-01-01_17</x:v>
      </x:c>
      <x:c r="AU76" s="19" t="n">
        <x:f>IF(ISBLANK('原始输入与口径'!J78),"",'原始输入与口径'!J78)</x:f>
        <x:v>60</x:v>
      </x:c>
      <x:c r="AV76" s="18" t="str">
        <x:f>IF(ISBLANK('原始输入与口径'!BB78),"",'原始输入与口径'!BB78)</x:f>
        <x:v>OK</x:v>
      </x:c>
    </x:row>
    <x:row r="77" ht="21" customHeight="1">
      <x:c r="A77" s="17" t="n">
        <x:f>45658.729166666664</x:f>
        <x:v>45658.729166666664</x:v>
      </x:c>
      <x:c r="B77" s="23" t="n">
        <x:f>IF(ISNUMBER('原始输入与口径'!H79),'原始输入与口径'!H79,"缺失")</x:f>
        <x:v>120.79</x:v>
      </x:c>
      <x:c r="C77" s="23" t="str">
        <x:f>IF(ISNUMBER('原始输入与口径'!R79),'原始输入与口径'!R79,"缺失")</x:f>
        <x:v>缺失</x:v>
      </x:c>
      <x:c r="D77" s="23" t="n">
        <x:f>IF(ISNUMBER('原始输入与口径'!W79),'原始输入与口径'!W79,"缺失")</x:f>
        <x:v>13.831647936310086</x:v>
      </x:c>
      <x:c r="E77" s="23" t="n">
        <x:f>IF(ISNUMBER('原始输入与口径'!AB79),'原始输入与口径'!AB79,"缺失")</x:f>
        <x:v>14.676021792887155</x:v>
      </x:c>
      <x:c r="F77" s="23" t="n">
        <x:f>IF(ISNUMBER('原始输入与口径'!AG79),'原始输入与口径'!AG79,"缺失")</x:f>
        <x:v>154.45226272089423</x:v>
      </x:c>
      <x:c r="G77" s="23" t="n">
        <x:f>IF(ISNUMBER('原始输入与口径'!AJ79),'原始输入与口径'!AJ79,"缺失")</x:f>
        <x:v>0</x:v>
      </x:c>
      <x:c r="H77" s="23" t="str">
        <x:f>"未模拟"</x:f>
        <x:v>未模拟</x:v>
      </x:c>
      <x:c r="I77" s="24" t="n">
        <x:f>'原始输入与口径'!BD79</x:f>
        <x:v>10</x:v>
      </x:c>
      <x:c r="J77" s="24" t="n">
        <x:f>'原始输入与口径'!BE79</x:f>
        <x:v>10</x:v>
      </x:c>
      <x:c r="K77" s="24" t="n">
        <x:f>'原始输入与口径'!BF79</x:f>
        <x:v>0</x:v>
      </x:c>
      <x:c r="L77" s="24" t="n">
        <x:f>'原始输入与口径'!BG79</x:f>
        <x:v>0</x:v>
      </x:c>
      <x:c r="M77" s="24" t="n">
        <x:f>'原始输入与口径'!BH79</x:f>
        <x:v>0</x:v>
      </x:c>
      <x:c r="N77" s="24" t="n">
        <x:f>'原始输入与口径'!BI79</x:f>
        <x:v>0</x:v>
      </x:c>
      <x:c r="O77" s="24" t="n">
        <x:f>M77*AE77*AC77</x:f>
        <x:v>0</x:v>
      </x:c>
      <x:c r="P77" s="24" t="n">
        <x:f>N77*AF77*AC77</x:f>
        <x:v>0</x:v>
      </x:c>
      <x:c r="Q77" s="25" t="n">
        <x:f>IF(K77=0,0,IF(ISNUMBER(B77),K77*AC77*B77,NA()))</x:f>
        <x:v>0</x:v>
      </x:c>
      <x:c r="R77" s="25" t="n">
        <x:f>IF(L77=0,0,IF(ISNUMBER(C77),L77*AC77*C77*AD77,NA()))</x:f>
        <x:v>0</x:v>
      </x:c>
      <x:c r="S77" s="25" t="n">
        <x:f>IF(M77=0,0,IF(ISNUMBER(D77),M77*AC77*D77*AD77,NA()))</x:f>
        <x:v>0</x:v>
      </x:c>
      <x:c r="T77" s="25" t="n">
        <x:f>IF(N77=0,0,IF(ISNUMBER(E77),N77*AC77*E77*AD77,NA()))</x:f>
        <x:v>0</x:v>
      </x:c>
      <x:c r="U77" s="25" t="n">
        <x:f>IF(O77=0,0,IF(ISNUMBER(F77),O77*F77,NA()))</x:f>
        <x:v>0</x:v>
      </x:c>
      <x:c r="V77" s="25" t="n">
        <x:f>IF(P77=0,0,IF(ISNUMBER(G77),-P77*G77,NA()))</x:f>
        <x:v>0</x:v>
      </x:c>
      <x:c r="W77" s="25" t="n">
        <x:f>SUM(Q77:V77)</x:f>
        <x:v>0</x:v>
      </x:c>
      <x:c r="X77" s="18" t="n">
        <x:f>'原始输入与口径'!BR79</x:f>
        <x:v>0</x:v>
      </x:c>
      <x:c r="Y77" s="18" t="n">
        <x:f>W77-X77</x:f>
        <x:v>0</x:v>
      </x:c>
      <x:c r="Z77" s="18" t="str">
        <x:f>"1月1日执行｜初始化零订单"</x:f>
        <x:v>1月1日执行｜初始化零订单</x:v>
      </x:c>
      <x:c r="AA77" s="19" t="n">
        <x:f>IF('原始输入与口径'!AW79,1,0)</x:f>
        <x:v>1</x:v>
      </x:c>
      <x:c r="AB77" s="19" t="n">
        <x:f>IF('原始输入与口径'!AY79,1,0)</x:f>
        <x:v>0</x:v>
      </x:c>
      <x:c r="AC77" s="18" t="n">
        <x:f>'原始输入与口径'!E79</x:f>
        <x:v>0.25</x:v>
      </x:c>
      <x:c r="AD77" s="20" t="n">
        <x:f>'原始输入与口径'!$F$5</x:f>
        <x:v>1</x:v>
      </x:c>
      <x:c r="AE77" s="20" t="n">
        <x:f>IF(AA77=0,0,AI77/(AG77*AC77))</x:f>
        <x:v>0.04954</x:v>
      </x:c>
      <x:c r="AF77" s="20" t="n">
        <x:f>IF(AA77=0,0,AJ77/(AH77*AC77))</x:f>
        <x:v>0</x:v>
      </x:c>
      <x:c r="AG77" s="18" t="n">
        <x:f>IF(ISNUMBER('原始输入与口径'!T79),'原始输入与口径'!T79,"缺失")</x:f>
        <x:v>200</x:v>
      </x:c>
      <x:c r="AH77" s="18" t="n">
        <x:f>IF(ISNUMBER('原始输入与口径'!Y79),'原始输入与口径'!Y79,"缺失")</x:f>
        <x:v>200</x:v>
      </x:c>
      <x:c r="AI77" s="18" t="n">
        <x:f>IF(ISNUMBER('原始输入与口径'!AI79),'原始输入与口径'!AI79,"缺失")</x:f>
        <x:v>2.477</x:v>
      </x:c>
      <x:c r="AJ77" s="18" t="n">
        <x:f>IF(ISNUMBER('原始输入与口径'!AL79),'原始输入与口径'!AL79,"缺失")</x:f>
        <x:v>0</x:v>
      </x:c>
      <x:c r="AK77" s="18" t="str">
        <x:f>IF(ISNUMBER('原始输入与口径'!O79),'原始输入与口径'!O79,"缺失")</x:f>
        <x:v>缺失</x:v>
      </x:c>
      <x:c r="AL77" s="18" t="n">
        <x:f>SUMIFS('相位SOC复算'!$N$7:$N$443,'相位SOC复算'!$S$7:$S$443,71)</x:f>
        <x:v>0</x:v>
      </x:c>
      <x:c r="AM77" s="18" t="n">
        <x:f>SUMIFS('相位SOC复算'!$Q$7:$Q$443,'相位SOC复算'!$S$7:$S$443,71)</x:f>
        <x:v>0</x:v>
      </x:c>
      <x:c r="AN77" s="18" t="n">
        <x:f>SUMIFS('相位SOC复算'!$R$7:$R$443,'相位SOC复算'!$S$7:$S$443,71)</x:f>
        <x:v>0</x:v>
      </x:c>
      <x:c r="AO77" s="18" t="n">
        <x:f>'相位SOC复算'!J168</x:f>
        <x:v>10</x:v>
      </x:c>
      <x:c r="AP77" s="18" t="n">
        <x:f>AO77-J77</x:f>
        <x:v>0</x:v>
      </x:c>
      <x:c r="AQ77" s="18" t="n">
        <x:f>IF(ISBLANK('原始输入与口径'!M79),"",'原始输入与口径'!M79)</x:f>
        <x:v>4.9741</x:v>
      </x:c>
      <x:c r="AR77" s="21" t="n">
        <x:f>IF(ISBLANK('原始输入与口径'!L79),"",'原始输入与口径'!L79)</x:f>
        <x:v>45657</x:v>
      </x:c>
      <x:c r="AS77" s="17" t="n">
        <x:f>IF(ISBLANK('原始输入与口径'!A79),"",'原始输入与口径'!A79)</x:f>
        <x:v>45658.645833333336</x:v>
      </x:c>
      <x:c r="AT77" s="18" t="str">
        <x:f>IF(ISBLANK('原始输入与口径'!I79),"",'原始输入与口径'!I79)</x:f>
        <x:v>2025-01-01_17</x:v>
      </x:c>
      <x:c r="AU77" s="19" t="n">
        <x:f>IF(ISBLANK('原始输入与口径'!J79),"",'原始输入与口径'!J79)</x:f>
        <x:v>60</x:v>
      </x:c>
      <x:c r="AV77" s="18" t="str">
        <x:f>IF(ISBLANK('原始输入与口径'!BB79),"",'原始输入与口径'!BB79)</x:f>
        <x:v>OK</x:v>
      </x:c>
    </x:row>
    <x:row r="78" ht="21" customHeight="1">
      <x:c r="A78" s="17" t="n">
        <x:f>45658.739583333336</x:f>
        <x:v>45658.739583333336</x:v>
      </x:c>
      <x:c r="B78" s="23" t="n">
        <x:f>IF(ISNUMBER('原始输入与口径'!H80),'原始输入与口径'!H80,"缺失")</x:f>
        <x:v>120.79</x:v>
      </x:c>
      <x:c r="C78" s="23" t="str">
        <x:f>IF(ISNUMBER('原始输入与口径'!R80),'原始输入与口径'!R80,"缺失")</x:f>
        <x:v>缺失</x:v>
      </x:c>
      <x:c r="D78" s="23" t="n">
        <x:f>IF(ISNUMBER('原始输入与口径'!W80),'原始输入与口径'!W80,"缺失")</x:f>
        <x:v>13.831647936310086</x:v>
      </x:c>
      <x:c r="E78" s="23" t="n">
        <x:f>IF(ISNUMBER('原始输入与口径'!AB80),'原始输入与口径'!AB80,"缺失")</x:f>
        <x:v>14.676021792887155</x:v>
      </x:c>
      <x:c r="F78" s="23" t="n">
        <x:f>IF(ISNUMBER('原始输入与口径'!AG80),'原始输入与口径'!AG80,"缺失")</x:f>
        <x:v>136.70814820771596</x:v>
      </x:c>
      <x:c r="G78" s="23" t="n">
        <x:f>IF(ISNUMBER('原始输入与口径'!AJ80),'原始输入与口径'!AJ80,"缺失")</x:f>
        <x:v>58.46585311915724</x:v>
      </x:c>
      <x:c r="H78" s="23" t="str">
        <x:f>"未模拟"</x:f>
        <x:v>未模拟</x:v>
      </x:c>
      <x:c r="I78" s="24" t="n">
        <x:f>'原始输入与口径'!BD80</x:f>
        <x:v>10</x:v>
      </x:c>
      <x:c r="J78" s="24" t="n">
        <x:f>'原始输入与口径'!BE80</x:f>
        <x:v>10</x:v>
      </x:c>
      <x:c r="K78" s="24" t="n">
        <x:f>'原始输入与口径'!BF80</x:f>
        <x:v>0</x:v>
      </x:c>
      <x:c r="L78" s="24" t="n">
        <x:f>'原始输入与口径'!BG80</x:f>
        <x:v>0</x:v>
      </x:c>
      <x:c r="M78" s="24" t="n">
        <x:f>'原始输入与口径'!BH80</x:f>
        <x:v>0</x:v>
      </x:c>
      <x:c r="N78" s="24" t="n">
        <x:f>'原始输入与口径'!BI80</x:f>
        <x:v>0</x:v>
      </x:c>
      <x:c r="O78" s="24" t="n">
        <x:f>M78*AE78*AC78</x:f>
        <x:v>0</x:v>
      </x:c>
      <x:c r="P78" s="24" t="n">
        <x:f>N78*AF78*AC78</x:f>
        <x:v>0</x:v>
      </x:c>
      <x:c r="Q78" s="25" t="n">
        <x:f>IF(K78=0,0,IF(ISNUMBER(B78),K78*AC78*B78,NA()))</x:f>
        <x:v>0</x:v>
      </x:c>
      <x:c r="R78" s="25" t="n">
        <x:f>IF(L78=0,0,IF(ISNUMBER(C78),L78*AC78*C78*AD78,NA()))</x:f>
        <x:v>0</x:v>
      </x:c>
      <x:c r="S78" s="25" t="n">
        <x:f>IF(M78=0,0,IF(ISNUMBER(D78),M78*AC78*D78*AD78,NA()))</x:f>
        <x:v>0</x:v>
      </x:c>
      <x:c r="T78" s="25" t="n">
        <x:f>IF(N78=0,0,IF(ISNUMBER(E78),N78*AC78*E78*AD78,NA()))</x:f>
        <x:v>0</x:v>
      </x:c>
      <x:c r="U78" s="25" t="n">
        <x:f>IF(O78=0,0,IF(ISNUMBER(F78),O78*F78,NA()))</x:f>
        <x:v>0</x:v>
      </x:c>
      <x:c r="V78" s="25" t="n">
        <x:f>IF(P78=0,0,IF(ISNUMBER(G78),-P78*G78,NA()))</x:f>
        <x:v>0</x:v>
      </x:c>
      <x:c r="W78" s="25" t="n">
        <x:f>SUM(Q78:V78)</x:f>
        <x:v>0</x:v>
      </x:c>
      <x:c r="X78" s="18" t="n">
        <x:f>'原始输入与口径'!BR80</x:f>
        <x:v>0</x:v>
      </x:c>
      <x:c r="Y78" s="18" t="n">
        <x:f>W78-X78</x:f>
        <x:v>0</x:v>
      </x:c>
      <x:c r="Z78" s="18" t="str">
        <x:f>"1月1日执行｜初始化零订单"</x:f>
        <x:v>1月1日执行｜初始化零订单</x:v>
      </x:c>
      <x:c r="AA78" s="19" t="n">
        <x:f>IF('原始输入与口径'!AW80,1,0)</x:f>
        <x:v>1</x:v>
      </x:c>
      <x:c r="AB78" s="19" t="n">
        <x:f>IF('原始输入与口径'!AY80,1,0)</x:f>
        <x:v>0</x:v>
      </x:c>
      <x:c r="AC78" s="18" t="n">
        <x:f>'原始输入与口径'!E80</x:f>
        <x:v>0.25</x:v>
      </x:c>
      <x:c r="AD78" s="20" t="n">
        <x:f>'原始输入与口径'!$F$5</x:f>
        <x:v>1</x:v>
      </x:c>
      <x:c r="AE78" s="20" t="n">
        <x:f>IF(AA78=0,0,AI78/(AG78*AC78))</x:f>
        <x:v>0.00328</x:v>
      </x:c>
      <x:c r="AF78" s="20" t="n">
        <x:f>IF(AA78=0,0,AJ78/(AH78*AC78))</x:f>
        <x:v>0.00216</x:v>
      </x:c>
      <x:c r="AG78" s="18" t="n">
        <x:f>IF(ISNUMBER('原始输入与口径'!T80),'原始输入与口径'!T80,"缺失")</x:f>
        <x:v>200</x:v>
      </x:c>
      <x:c r="AH78" s="18" t="n">
        <x:f>IF(ISNUMBER('原始输入与口径'!Y80),'原始输入与口径'!Y80,"缺失")</x:f>
        <x:v>200</x:v>
      </x:c>
      <x:c r="AI78" s="18" t="n">
        <x:f>IF(ISNUMBER('原始输入与口径'!AI80),'原始输入与口径'!AI80,"缺失")</x:f>
        <x:v>0.164</x:v>
      </x:c>
      <x:c r="AJ78" s="18" t="n">
        <x:f>IF(ISNUMBER('原始输入与口径'!AL80),'原始输入与口径'!AL80,"缺失")</x:f>
        <x:v>0.108</x:v>
      </x:c>
      <x:c r="AK78" s="18" t="str">
        <x:f>IF(ISNUMBER('原始输入与口径'!O80),'原始输入与口径'!O80,"缺失")</x:f>
        <x:v>缺失</x:v>
      </x:c>
      <x:c r="AL78" s="18" t="n">
        <x:f>SUMIFS('相位SOC复算'!$N$7:$N$443,'相位SOC复算'!$S$7:$S$443,72)</x:f>
        <x:v>0</x:v>
      </x:c>
      <x:c r="AM78" s="18" t="n">
        <x:f>SUMIFS('相位SOC复算'!$Q$7:$Q$443,'相位SOC复算'!$S$7:$S$443,72)</x:f>
        <x:v>0</x:v>
      </x:c>
      <x:c r="AN78" s="18" t="n">
        <x:f>SUMIFS('相位SOC复算'!$R$7:$R$443,'相位SOC复算'!$S$7:$S$443,72)</x:f>
        <x:v>0</x:v>
      </x:c>
      <x:c r="AO78" s="18" t="n">
        <x:f>'相位SOC复算'!J171</x:f>
        <x:v>10</x:v>
      </x:c>
      <x:c r="AP78" s="18" t="n">
        <x:f>AO78-J78</x:f>
        <x:v>0</x:v>
      </x:c>
      <x:c r="AQ78" s="18" t="n">
        <x:f>IF(ISBLANK('原始输入与口径'!M80),"",'原始输入与口径'!M80)</x:f>
        <x:v>4.9741</x:v>
      </x:c>
      <x:c r="AR78" s="21" t="n">
        <x:f>IF(ISBLANK('原始输入与口径'!L80),"",'原始输入与口径'!L80)</x:f>
        <x:v>45657</x:v>
      </x:c>
      <x:c r="AS78" s="17" t="n">
        <x:f>IF(ISBLANK('原始输入与口径'!A80),"",'原始输入与口径'!A80)</x:f>
        <x:v>45658.65625</x:v>
      </x:c>
      <x:c r="AT78" s="18" t="str">
        <x:f>IF(ISBLANK('原始输入与口径'!I80),"",'原始输入与口径'!I80)</x:f>
        <x:v>2025-01-01_17</x:v>
      </x:c>
      <x:c r="AU78" s="19" t="n">
        <x:f>IF(ISBLANK('原始输入与口径'!J80),"",'原始输入与口径'!J80)</x:f>
        <x:v>60</x:v>
      </x:c>
      <x:c r="AV78" s="18" t="str">
        <x:f>IF(ISBLANK('原始输入与口径'!BB80),"",'原始输入与口径'!BB80)</x:f>
        <x:v>OK</x:v>
      </x:c>
    </x:row>
    <x:row r="79" ht="21" customHeight="1">
      <x:c r="A79" s="17" t="n">
        <x:f>45658.75</x:f>
        <x:v>45658.75</x:v>
      </x:c>
      <x:c r="B79" s="23" t="n">
        <x:f>IF(ISNUMBER('原始输入与口径'!H81),'原始输入与口径'!H81,"缺失")</x:f>
        <x:v>145.37</x:v>
      </x:c>
      <x:c r="C79" s="23" t="str">
        <x:f>IF(ISNUMBER('原始输入与口径'!R81),'原始输入与口径'!R81,"缺失")</x:f>
        <x:v>缺失</x:v>
      </x:c>
      <x:c r="D79" s="23" t="n">
        <x:f>IF(ISNUMBER('原始输入与口径'!W81),'原始输入与口径'!W81,"缺失")</x:f>
        <x:v>13.831647936310086</x:v>
      </x:c>
      <x:c r="E79" s="23" t="n">
        <x:f>IF(ISNUMBER('原始输入与口径'!AB81),'原始输入与口径'!AB81,"缺失")</x:f>
        <x:v>14.676021792887155</x:v>
      </x:c>
      <x:c r="F79" s="23" t="n">
        <x:f>IF(ISNUMBER('原始输入与口径'!AG81),'原始输入与口径'!AG81,"缺失")</x:f>
        <x:v>136.70814820771596</x:v>
      </x:c>
      <x:c r="G79" s="23" t="n">
        <x:f>IF(ISNUMBER('原始输入与口径'!AJ81),'原始输入与口径'!AJ81,"缺失")</x:f>
        <x:v>16.131360447116062</x:v>
      </x:c>
      <x:c r="H79" s="23" t="str">
        <x:f>"未模拟"</x:f>
        <x:v>未模拟</x:v>
      </x:c>
      <x:c r="I79" s="24" t="n">
        <x:f>'原始输入与口径'!BD81</x:f>
        <x:v>10</x:v>
      </x:c>
      <x:c r="J79" s="24" t="n">
        <x:f>'原始输入与口径'!BE81</x:f>
        <x:v>10</x:v>
      </x:c>
      <x:c r="K79" s="24" t="n">
        <x:f>'原始输入与口径'!BF81</x:f>
        <x:v>0</x:v>
      </x:c>
      <x:c r="L79" s="24" t="n">
        <x:f>'原始输入与口径'!BG81</x:f>
        <x:v>0</x:v>
      </x:c>
      <x:c r="M79" s="24" t="n">
        <x:f>'原始输入与口径'!BH81</x:f>
        <x:v>0</x:v>
      </x:c>
      <x:c r="N79" s="24" t="n">
        <x:f>'原始输入与口径'!BI81</x:f>
        <x:v>0</x:v>
      </x:c>
      <x:c r="O79" s="24" t="n">
        <x:f>M79*AE79*AC79</x:f>
        <x:v>0</x:v>
      </x:c>
      <x:c r="P79" s="24" t="n">
        <x:f>N79*AF79*AC79</x:f>
        <x:v>0</x:v>
      </x:c>
      <x:c r="Q79" s="25" t="n">
        <x:f>IF(K79=0,0,IF(ISNUMBER(B79),K79*AC79*B79,NA()))</x:f>
        <x:v>0</x:v>
      </x:c>
      <x:c r="R79" s="25" t="n">
        <x:f>IF(L79=0,0,IF(ISNUMBER(C79),L79*AC79*C79*AD79,NA()))</x:f>
        <x:v>0</x:v>
      </x:c>
      <x:c r="S79" s="25" t="n">
        <x:f>IF(M79=0,0,IF(ISNUMBER(D79),M79*AC79*D79*AD79,NA()))</x:f>
        <x:v>0</x:v>
      </x:c>
      <x:c r="T79" s="25" t="n">
        <x:f>IF(N79=0,0,IF(ISNUMBER(E79),N79*AC79*E79*AD79,NA()))</x:f>
        <x:v>0</x:v>
      </x:c>
      <x:c r="U79" s="25" t="n">
        <x:f>IF(O79=0,0,IF(ISNUMBER(F79),O79*F79,NA()))</x:f>
        <x:v>0</x:v>
      </x:c>
      <x:c r="V79" s="25" t="n">
        <x:f>IF(P79=0,0,IF(ISNUMBER(G79),-P79*G79,NA()))</x:f>
        <x:v>0</x:v>
      </x:c>
      <x:c r="W79" s="25" t="n">
        <x:f>SUM(Q79:V79)</x:f>
        <x:v>0</x:v>
      </x:c>
      <x:c r="X79" s="18" t="n">
        <x:f>'原始输入与口径'!BR81</x:f>
        <x:v>0</x:v>
      </x:c>
      <x:c r="Y79" s="18" t="n">
        <x:f>W79-X79</x:f>
        <x:v>0</x:v>
      </x:c>
      <x:c r="Z79" s="18" t="str">
        <x:f>"1月1日执行｜初始化零订单"</x:f>
        <x:v>1月1日执行｜初始化零订单</x:v>
      </x:c>
      <x:c r="AA79" s="19" t="n">
        <x:f>IF('原始输入与口径'!AW81,1,0)</x:f>
        <x:v>1</x:v>
      </x:c>
      <x:c r="AB79" s="19" t="n">
        <x:f>IF('原始输入与口径'!AY81,1,0)</x:f>
        <x:v>0</x:v>
      </x:c>
      <x:c r="AC79" s="18" t="n">
        <x:f>'原始输入与口径'!E81</x:f>
        <x:v>0.25</x:v>
      </x:c>
      <x:c r="AD79" s="20" t="n">
        <x:f>'原始输入与口径'!$F$5</x:f>
        <x:v>1</x:v>
      </x:c>
      <x:c r="AE79" s="20" t="n">
        <x:f>IF(AA79=0,0,AI79/(AG79*AC79))</x:f>
        <x:v>0.00156</x:v>
      </x:c>
      <x:c r="AF79" s="20" t="n">
        <x:f>IF(AA79=0,0,AJ79/(AH79*AC79))</x:f>
        <x:v>0.15598</x:v>
      </x:c>
      <x:c r="AG79" s="18" t="n">
        <x:f>IF(ISNUMBER('原始输入与口径'!T81),'原始输入与口径'!T81,"缺失")</x:f>
        <x:v>200</x:v>
      </x:c>
      <x:c r="AH79" s="18" t="n">
        <x:f>IF(ISNUMBER('原始输入与口径'!Y81),'原始输入与口径'!Y81,"缺失")</x:f>
        <x:v>200</x:v>
      </x:c>
      <x:c r="AI79" s="18" t="n">
        <x:f>IF(ISNUMBER('原始输入与口径'!AI81),'原始输入与口径'!AI81,"缺失")</x:f>
        <x:v>0.078</x:v>
      </x:c>
      <x:c r="AJ79" s="18" t="n">
        <x:f>IF(ISNUMBER('原始输入与口径'!AL81),'原始输入与口径'!AL81,"缺失")</x:f>
        <x:v>7.799</x:v>
      </x:c>
      <x:c r="AK79" s="18" t="str">
        <x:f>IF(ISNUMBER('原始输入与口径'!O81),'原始输入与口径'!O81,"缺失")</x:f>
        <x:v>缺失</x:v>
      </x:c>
      <x:c r="AL79" s="18" t="n">
        <x:f>SUMIFS('相位SOC复算'!$N$7:$N$443,'相位SOC复算'!$S$7:$S$443,73)</x:f>
        <x:v>0</x:v>
      </x:c>
      <x:c r="AM79" s="18" t="n">
        <x:f>SUMIFS('相位SOC复算'!$Q$7:$Q$443,'相位SOC复算'!$S$7:$S$443,73)</x:f>
        <x:v>0</x:v>
      </x:c>
      <x:c r="AN79" s="18" t="n">
        <x:f>SUMIFS('相位SOC复算'!$R$7:$R$443,'相位SOC复算'!$S$7:$S$443,73)</x:f>
        <x:v>0</x:v>
      </x:c>
      <x:c r="AO79" s="18" t="n">
        <x:f>'相位SOC复算'!J174</x:f>
        <x:v>10</x:v>
      </x:c>
      <x:c r="AP79" s="18" t="n">
        <x:f>AO79-J79</x:f>
        <x:v>0</x:v>
      </x:c>
      <x:c r="AQ79" s="18" t="n">
        <x:f>IF(ISBLANK('原始输入与口径'!M81),"",'原始输入与口径'!M81)</x:f>
        <x:v>4.9741</x:v>
      </x:c>
      <x:c r="AR79" s="21" t="n">
        <x:f>IF(ISBLANK('原始输入与口径'!L81),"",'原始输入与口径'!L81)</x:f>
        <x:v>45657</x:v>
      </x:c>
      <x:c r="AS79" s="17" t="n">
        <x:f>IF(ISBLANK('原始输入与口径'!A81),"",'原始输入与口径'!A81)</x:f>
        <x:v>45658.666666666664</x:v>
      </x:c>
      <x:c r="AT79" s="18" t="str">
        <x:f>IF(ISBLANK('原始输入与口径'!I81),"",'原始输入与口径'!I81)</x:f>
        <x:v>2025-01-01_18</x:v>
      </x:c>
      <x:c r="AU79" s="19" t="n">
        <x:f>IF(ISBLANK('原始输入与口径'!J81),"",'原始输入与口径'!J81)</x:f>
        <x:v>60</x:v>
      </x:c>
      <x:c r="AV79" s="18" t="str">
        <x:f>IF(ISBLANK('原始输入与口径'!BB81),"",'原始输入与口径'!BB81)</x:f>
        <x:v>OK</x:v>
      </x:c>
    </x:row>
    <x:row r="80" ht="21" customHeight="1">
      <x:c r="A80" s="17" t="n">
        <x:f>45658.760416666664</x:f>
        <x:v>45658.760416666664</x:v>
      </x:c>
      <x:c r="B80" s="23" t="n">
        <x:f>IF(ISNUMBER('原始输入与口径'!H82),'原始输入与口径'!H82,"缺失")</x:f>
        <x:v>145.37</x:v>
      </x:c>
      <x:c r="C80" s="23" t="str">
        <x:f>IF(ISNUMBER('原始输入与口径'!R82),'原始输入与口径'!R82,"缺失")</x:f>
        <x:v>缺失</x:v>
      </x:c>
      <x:c r="D80" s="23" t="n">
        <x:f>IF(ISNUMBER('原始输入与口径'!W82),'原始输入与口径'!W82,"缺失")</x:f>
        <x:v>13.831647936310086</x:v>
      </x:c>
      <x:c r="E80" s="23" t="n">
        <x:f>IF(ISNUMBER('原始输入与口径'!AB82),'原始输入与口径'!AB82,"缺失")</x:f>
        <x:v>14.676021792887155</x:v>
      </x:c>
      <x:c r="F80" s="23" t="n">
        <x:f>IF(ISNUMBER('原始输入与口径'!AG82),'原始输入与口径'!AG82,"缺失")</x:f>
        <x:v>136.70814820771596</x:v>
      </x:c>
      <x:c r="G80" s="23" t="n">
        <x:f>IF(ISNUMBER('原始输入与口径'!AJ82),'原始输入与口径'!AJ82,"缺失")</x:f>
        <x:v>37.89127681389598</x:v>
      </x:c>
      <x:c r="H80" s="23" t="str">
        <x:f>"未模拟"</x:f>
        <x:v>未模拟</x:v>
      </x:c>
      <x:c r="I80" s="24" t="n">
        <x:f>'原始输入与口径'!BD82</x:f>
        <x:v>10</x:v>
      </x:c>
      <x:c r="J80" s="24" t="n">
        <x:f>'原始输入与口径'!BE82</x:f>
        <x:v>10</x:v>
      </x:c>
      <x:c r="K80" s="24" t="n">
        <x:f>'原始输入与口径'!BF82</x:f>
        <x:v>0</x:v>
      </x:c>
      <x:c r="L80" s="24" t="n">
        <x:f>'原始输入与口径'!BG82</x:f>
        <x:v>0</x:v>
      </x:c>
      <x:c r="M80" s="24" t="n">
        <x:f>'原始输入与口径'!BH82</x:f>
        <x:v>0</x:v>
      </x:c>
      <x:c r="N80" s="24" t="n">
        <x:f>'原始输入与口径'!BI82</x:f>
        <x:v>0</x:v>
      </x:c>
      <x:c r="O80" s="24" t="n">
        <x:f>M80*AE80*AC80</x:f>
        <x:v>0</x:v>
      </x:c>
      <x:c r="P80" s="24" t="n">
        <x:f>N80*AF80*AC80</x:f>
        <x:v>0</x:v>
      </x:c>
      <x:c r="Q80" s="25" t="n">
        <x:f>IF(K80=0,0,IF(ISNUMBER(B80),K80*AC80*B80,NA()))</x:f>
        <x:v>0</x:v>
      </x:c>
      <x:c r="R80" s="25" t="n">
        <x:f>IF(L80=0,0,IF(ISNUMBER(C80),L80*AC80*C80*AD80,NA()))</x:f>
        <x:v>0</x:v>
      </x:c>
      <x:c r="S80" s="25" t="n">
        <x:f>IF(M80=0,0,IF(ISNUMBER(D80),M80*AC80*D80*AD80,NA()))</x:f>
        <x:v>0</x:v>
      </x:c>
      <x:c r="T80" s="25" t="n">
        <x:f>IF(N80=0,0,IF(ISNUMBER(E80),N80*AC80*E80*AD80,NA()))</x:f>
        <x:v>0</x:v>
      </x:c>
      <x:c r="U80" s="25" t="n">
        <x:f>IF(O80=0,0,IF(ISNUMBER(F80),O80*F80,NA()))</x:f>
        <x:v>0</x:v>
      </x:c>
      <x:c r="V80" s="25" t="n">
        <x:f>IF(P80=0,0,IF(ISNUMBER(G80),-P80*G80,NA()))</x:f>
        <x:v>0</x:v>
      </x:c>
      <x:c r="W80" s="25" t="n">
        <x:f>SUM(Q80:V80)</x:f>
        <x:v>0</x:v>
      </x:c>
      <x:c r="X80" s="18" t="n">
        <x:f>'原始输入与口径'!BR82</x:f>
        <x:v>0</x:v>
      </x:c>
      <x:c r="Y80" s="18" t="n">
        <x:f>W80-X80</x:f>
        <x:v>0</x:v>
      </x:c>
      <x:c r="Z80" s="18" t="str">
        <x:f>"1月1日执行｜初始化零订单"</x:f>
        <x:v>1月1日执行｜初始化零订单</x:v>
      </x:c>
      <x:c r="AA80" s="19" t="n">
        <x:f>IF('原始输入与口径'!AW82,1,0)</x:f>
        <x:v>1</x:v>
      </x:c>
      <x:c r="AB80" s="19" t="n">
        <x:f>IF('原始输入与口径'!AY82,1,0)</x:f>
        <x:v>0</x:v>
      </x:c>
      <x:c r="AC80" s="18" t="n">
        <x:f>'原始输入与口径'!E82</x:f>
        <x:v>0.25</x:v>
      </x:c>
      <x:c r="AD80" s="20" t="n">
        <x:f>'原始输入与口径'!$F$5</x:f>
        <x:v>1</x:v>
      </x:c>
      <x:c r="AE80" s="20" t="n">
        <x:f>IF(AA80=0,0,AI80/(AG80*AC80))</x:f>
        <x:v>0.022240000000000003</x:v>
      </x:c>
      <x:c r="AF80" s="20" t="n">
        <x:f>IF(AA80=0,0,AJ80/(AH80*AC80))</x:f>
        <x:v>0.02016</x:v>
      </x:c>
      <x:c r="AG80" s="18" t="n">
        <x:f>IF(ISNUMBER('原始输入与口径'!T82),'原始输入与口径'!T82,"缺失")</x:f>
        <x:v>200</x:v>
      </x:c>
      <x:c r="AH80" s="18" t="n">
        <x:f>IF(ISNUMBER('原始输入与口径'!Y82),'原始输入与口径'!Y82,"缺失")</x:f>
        <x:v>200</x:v>
      </x:c>
      <x:c r="AI80" s="18" t="n">
        <x:f>IF(ISNUMBER('原始输入与口径'!AI82),'原始输入与口径'!AI82,"缺失")</x:f>
        <x:v>1.112</x:v>
      </x:c>
      <x:c r="AJ80" s="18" t="n">
        <x:f>IF(ISNUMBER('原始输入与口径'!AL82),'原始输入与口径'!AL82,"缺失")</x:f>
        <x:v>1.008</x:v>
      </x:c>
      <x:c r="AK80" s="18" t="str">
        <x:f>IF(ISNUMBER('原始输入与口径'!O82),'原始输入与口径'!O82,"缺失")</x:f>
        <x:v>缺失</x:v>
      </x:c>
      <x:c r="AL80" s="18" t="n">
        <x:f>SUMIFS('相位SOC复算'!$N$7:$N$443,'相位SOC复算'!$S$7:$S$443,74)</x:f>
        <x:v>0</x:v>
      </x:c>
      <x:c r="AM80" s="18" t="n">
        <x:f>SUMIFS('相位SOC复算'!$Q$7:$Q$443,'相位SOC复算'!$S$7:$S$443,74)</x:f>
        <x:v>0</x:v>
      </x:c>
      <x:c r="AN80" s="18" t="n">
        <x:f>SUMIFS('相位SOC复算'!$R$7:$R$443,'相位SOC复算'!$S$7:$S$443,74)</x:f>
        <x:v>0</x:v>
      </x:c>
      <x:c r="AO80" s="18" t="n">
        <x:f>'相位SOC复算'!J177</x:f>
        <x:v>10</x:v>
      </x:c>
      <x:c r="AP80" s="18" t="n">
        <x:f>AO80-J80</x:f>
        <x:v>0</x:v>
      </x:c>
      <x:c r="AQ80" s="18" t="n">
        <x:f>IF(ISBLANK('原始输入与口径'!M82),"",'原始输入与口径'!M82)</x:f>
        <x:v>4.9741</x:v>
      </x:c>
      <x:c r="AR80" s="21" t="n">
        <x:f>IF(ISBLANK('原始输入与口径'!L82),"",'原始输入与口径'!L82)</x:f>
        <x:v>45657</x:v>
      </x:c>
      <x:c r="AS80" s="17" t="n">
        <x:f>IF(ISBLANK('原始输入与口径'!A82),"",'原始输入与口径'!A82)</x:f>
        <x:v>45658.677083333336</x:v>
      </x:c>
      <x:c r="AT80" s="18" t="str">
        <x:f>IF(ISBLANK('原始输入与口径'!I82),"",'原始输入与口径'!I82)</x:f>
        <x:v>2025-01-01_18</x:v>
      </x:c>
      <x:c r="AU80" s="19" t="n">
        <x:f>IF(ISBLANK('原始输入与口径'!J82),"",'原始输入与口径'!J82)</x:f>
        <x:v>60</x:v>
      </x:c>
      <x:c r="AV80" s="18" t="str">
        <x:f>IF(ISBLANK('原始输入与口径'!BB82),"",'原始输入与口径'!BB82)</x:f>
        <x:v>OK</x:v>
      </x:c>
    </x:row>
    <x:row r="81" ht="21" customHeight="1">
      <x:c r="A81" s="17" t="n">
        <x:f>45658.770833333336</x:f>
        <x:v>45658.770833333336</x:v>
      </x:c>
      <x:c r="B81" s="23" t="n">
        <x:f>IF(ISNUMBER('原始输入与口径'!H83),'原始输入与口径'!H83,"缺失")</x:f>
        <x:v>145.37</x:v>
      </x:c>
      <x:c r="C81" s="23" t="str">
        <x:f>IF(ISNUMBER('原始输入与口径'!R83),'原始输入与口径'!R83,"缺失")</x:f>
        <x:v>缺失</x:v>
      </x:c>
      <x:c r="D81" s="23" t="n">
        <x:f>IF(ISNUMBER('原始输入与口径'!W83),'原始输入与口径'!W83,"缺失")</x:f>
        <x:v>13.831647936310086</x:v>
      </x:c>
      <x:c r="E81" s="23" t="n">
        <x:f>IF(ISNUMBER('原始输入与口径'!AB83),'原始输入与口径'!AB83,"缺失")</x:f>
        <x:v>14.676021792887155</x:v>
      </x:c>
      <x:c r="F81" s="23" t="n">
        <x:f>IF(ISNUMBER('原始输入与口径'!AG83),'原始输入与口径'!AG83,"缺失")</x:f>
        <x:v>196.9789509660039</x:v>
      </x:c>
      <x:c r="G81" s="23" t="n">
        <x:f>IF(ISNUMBER('原始输入与口径'!AJ83),'原始输入与口径'!AJ83,"缺失")</x:f>
        <x:v>0</x:v>
      </x:c>
      <x:c r="H81" s="23" t="str">
        <x:f>"未模拟"</x:f>
        <x:v>未模拟</x:v>
      </x:c>
      <x:c r="I81" s="24" t="n">
        <x:f>'原始输入与口径'!BD83</x:f>
        <x:v>10</x:v>
      </x:c>
      <x:c r="J81" s="24" t="n">
        <x:f>'原始输入与口径'!BE83</x:f>
        <x:v>10</x:v>
      </x:c>
      <x:c r="K81" s="24" t="n">
        <x:f>'原始输入与口径'!BF83</x:f>
        <x:v>0</x:v>
      </x:c>
      <x:c r="L81" s="24" t="n">
        <x:f>'原始输入与口径'!BG83</x:f>
        <x:v>0</x:v>
      </x:c>
      <x:c r="M81" s="24" t="n">
        <x:f>'原始输入与口径'!BH83</x:f>
        <x:v>0</x:v>
      </x:c>
      <x:c r="N81" s="24" t="n">
        <x:f>'原始输入与口径'!BI83</x:f>
        <x:v>0</x:v>
      </x:c>
      <x:c r="O81" s="24" t="n">
        <x:f>M81*AE81*AC81</x:f>
        <x:v>0</x:v>
      </x:c>
      <x:c r="P81" s="24" t="n">
        <x:f>N81*AF81*AC81</x:f>
        <x:v>0</x:v>
      </x:c>
      <x:c r="Q81" s="25" t="n">
        <x:f>IF(K81=0,0,IF(ISNUMBER(B81),K81*AC81*B81,NA()))</x:f>
        <x:v>0</x:v>
      </x:c>
      <x:c r="R81" s="25" t="n">
        <x:f>IF(L81=0,0,IF(ISNUMBER(C81),L81*AC81*C81*AD81,NA()))</x:f>
        <x:v>0</x:v>
      </x:c>
      <x:c r="S81" s="25" t="n">
        <x:f>IF(M81=0,0,IF(ISNUMBER(D81),M81*AC81*D81*AD81,NA()))</x:f>
        <x:v>0</x:v>
      </x:c>
      <x:c r="T81" s="25" t="n">
        <x:f>IF(N81=0,0,IF(ISNUMBER(E81),N81*AC81*E81*AD81,NA()))</x:f>
        <x:v>0</x:v>
      </x:c>
      <x:c r="U81" s="25" t="n">
        <x:f>IF(O81=0,0,IF(ISNUMBER(F81),O81*F81,NA()))</x:f>
        <x:v>0</x:v>
      </x:c>
      <x:c r="V81" s="25" t="n">
        <x:f>IF(P81=0,0,IF(ISNUMBER(G81),-P81*G81,NA()))</x:f>
        <x:v>0</x:v>
      </x:c>
      <x:c r="W81" s="25" t="n">
        <x:f>SUM(Q81:V81)</x:f>
        <x:v>0</x:v>
      </x:c>
      <x:c r="X81" s="18" t="n">
        <x:f>'原始输入与口径'!BR83</x:f>
        <x:v>0</x:v>
      </x:c>
      <x:c r="Y81" s="18" t="n">
        <x:f>W81-X81</x:f>
        <x:v>0</x:v>
      </x:c>
      <x:c r="Z81" s="18" t="str">
        <x:f>"1月1日执行｜初始化零订单"</x:f>
        <x:v>1月1日执行｜初始化零订单</x:v>
      </x:c>
      <x:c r="AA81" s="19" t="n">
        <x:f>IF('原始输入与口径'!AW83,1,0)</x:f>
        <x:v>1</x:v>
      </x:c>
      <x:c r="AB81" s="19" t="n">
        <x:f>IF('原始输入与口径'!AY83,1,0)</x:f>
        <x:v>0</x:v>
      </x:c>
      <x:c r="AC81" s="18" t="n">
        <x:f>'原始输入与口径'!E83</x:f>
        <x:v>0.25</x:v>
      </x:c>
      <x:c r="AD81" s="20" t="n">
        <x:f>'原始输入与口径'!$F$5</x:f>
        <x:v>1</x:v>
      </x:c>
      <x:c r="AE81" s="20" t="n">
        <x:f>IF(AA81=0,0,AI81/(AG81*AC81))</x:f>
        <x:v>0.18295999999999998</x:v>
      </x:c>
      <x:c r="AF81" s="20" t="n">
        <x:f>IF(AA81=0,0,AJ81/(AH81*AC81))</x:f>
        <x:v>0</x:v>
      </x:c>
      <x:c r="AG81" s="18" t="n">
        <x:f>IF(ISNUMBER('原始输入与口径'!T83),'原始输入与口径'!T83,"缺失")</x:f>
        <x:v>200</x:v>
      </x:c>
      <x:c r="AH81" s="18" t="n">
        <x:f>IF(ISNUMBER('原始输入与口径'!Y83),'原始输入与口径'!Y83,"缺失")</x:f>
        <x:v>200</x:v>
      </x:c>
      <x:c r="AI81" s="18" t="n">
        <x:f>IF(ISNUMBER('原始输入与口径'!AI83),'原始输入与口径'!AI83,"缺失")</x:f>
        <x:v>9.148</x:v>
      </x:c>
      <x:c r="AJ81" s="18" t="n">
        <x:f>IF(ISNUMBER('原始输入与口径'!AL83),'原始输入与口径'!AL83,"缺失")</x:f>
        <x:v>0</x:v>
      </x:c>
      <x:c r="AK81" s="18" t="str">
        <x:f>IF(ISNUMBER('原始输入与口径'!O83),'原始输入与口径'!O83,"缺失")</x:f>
        <x:v>缺失</x:v>
      </x:c>
      <x:c r="AL81" s="18" t="n">
        <x:f>SUMIFS('相位SOC复算'!$N$7:$N$443,'相位SOC复算'!$S$7:$S$443,75)</x:f>
        <x:v>0</x:v>
      </x:c>
      <x:c r="AM81" s="18" t="n">
        <x:f>SUMIFS('相位SOC复算'!$Q$7:$Q$443,'相位SOC复算'!$S$7:$S$443,75)</x:f>
        <x:v>0</x:v>
      </x:c>
      <x:c r="AN81" s="18" t="n">
        <x:f>SUMIFS('相位SOC复算'!$R$7:$R$443,'相位SOC复算'!$S$7:$S$443,75)</x:f>
        <x:v>0</x:v>
      </x:c>
      <x:c r="AO81" s="18" t="n">
        <x:f>'相位SOC复算'!J179</x:f>
        <x:v>10</x:v>
      </x:c>
      <x:c r="AP81" s="18" t="n">
        <x:f>AO81-J81</x:f>
        <x:v>0</x:v>
      </x:c>
      <x:c r="AQ81" s="18" t="n">
        <x:f>IF(ISBLANK('原始输入与口径'!M83),"",'原始输入与口径'!M83)</x:f>
        <x:v>4.9741</x:v>
      </x:c>
      <x:c r="AR81" s="21" t="n">
        <x:f>IF(ISBLANK('原始输入与口径'!L83),"",'原始输入与口径'!L83)</x:f>
        <x:v>45657</x:v>
      </x:c>
      <x:c r="AS81" s="17" t="n">
        <x:f>IF(ISBLANK('原始输入与口径'!A83),"",'原始输入与口径'!A83)</x:f>
        <x:v>45658.6875</x:v>
      </x:c>
      <x:c r="AT81" s="18" t="str">
        <x:f>IF(ISBLANK('原始输入与口径'!I83),"",'原始输入与口径'!I83)</x:f>
        <x:v>2025-01-01_18</x:v>
      </x:c>
      <x:c r="AU81" s="19" t="n">
        <x:f>IF(ISBLANK('原始输入与口径'!J83),"",'原始输入与口径'!J83)</x:f>
        <x:v>60</x:v>
      </x:c>
      <x:c r="AV81" s="18" t="str">
        <x:f>IF(ISBLANK('原始输入与口径'!BB83),"",'原始输入与口径'!BB83)</x:f>
        <x:v>OK</x:v>
      </x:c>
    </x:row>
    <x:row r="82" ht="21" customHeight="1">
      <x:c r="A82" s="17" t="n">
        <x:f>45658.78125</x:f>
        <x:v>45658.78125</x:v>
      </x:c>
      <x:c r="B82" s="23" t="n">
        <x:f>IF(ISNUMBER('原始输入与口径'!H84),'原始输入与口径'!H84,"缺失")</x:f>
        <x:v>145.37</x:v>
      </x:c>
      <x:c r="C82" s="23" t="str">
        <x:f>IF(ISNUMBER('原始输入与口径'!R84),'原始输入与口径'!R84,"缺失")</x:f>
        <x:v>缺失</x:v>
      </x:c>
      <x:c r="D82" s="23" t="n">
        <x:f>IF(ISNUMBER('原始输入与口径'!W84),'原始输入与口径'!W84,"缺失")</x:f>
        <x:v>13.831647936310086</x:v>
      </x:c>
      <x:c r="E82" s="23" t="n">
        <x:f>IF(ISNUMBER('原始输入与口径'!AB84),'原始输入与口径'!AB84,"缺失")</x:f>
        <x:v>14.676021792887155</x:v>
      </x:c>
      <x:c r="F82" s="23" t="n">
        <x:f>IF(ISNUMBER('原始输入与口径'!AG84),'原始输入与口径'!AG84,"缺失")</x:f>
        <x:v>139.7919221567721</x:v>
      </x:c>
      <x:c r="G82" s="23" t="n">
        <x:f>IF(ISNUMBER('原始输入与口径'!AJ84),'原始输入与口径'!AJ84,"缺失")</x:f>
        <x:v>200.8403530286886</x:v>
      </x:c>
      <x:c r="H82" s="23" t="str">
        <x:f>"未模拟"</x:f>
        <x:v>未模拟</x:v>
      </x:c>
      <x:c r="I82" s="24" t="n">
        <x:f>'原始输入与口径'!BD84</x:f>
        <x:v>10</x:v>
      </x:c>
      <x:c r="J82" s="24" t="n">
        <x:f>'原始输入与口径'!BE84</x:f>
        <x:v>10</x:v>
      </x:c>
      <x:c r="K82" s="24" t="n">
        <x:f>'原始输入与口径'!BF84</x:f>
        <x:v>0</x:v>
      </x:c>
      <x:c r="L82" s="24" t="n">
        <x:f>'原始输入与口径'!BG84</x:f>
        <x:v>0</x:v>
      </x:c>
      <x:c r="M82" s="24" t="n">
        <x:f>'原始输入与口径'!BH84</x:f>
        <x:v>0</x:v>
      </x:c>
      <x:c r="N82" s="24" t="n">
        <x:f>'原始输入与口径'!BI84</x:f>
        <x:v>0</x:v>
      </x:c>
      <x:c r="O82" s="24" t="n">
        <x:f>M82*AE82*AC82</x:f>
        <x:v>0</x:v>
      </x:c>
      <x:c r="P82" s="24" t="n">
        <x:f>N82*AF82*AC82</x:f>
        <x:v>0</x:v>
      </x:c>
      <x:c r="Q82" s="25" t="n">
        <x:f>IF(K82=0,0,IF(ISNUMBER(B82),K82*AC82*B82,NA()))</x:f>
        <x:v>0</x:v>
      </x:c>
      <x:c r="R82" s="25" t="n">
        <x:f>IF(L82=0,0,IF(ISNUMBER(C82),L82*AC82*C82*AD82,NA()))</x:f>
        <x:v>0</x:v>
      </x:c>
      <x:c r="S82" s="25" t="n">
        <x:f>IF(M82=0,0,IF(ISNUMBER(D82),M82*AC82*D82*AD82,NA()))</x:f>
        <x:v>0</x:v>
      </x:c>
      <x:c r="T82" s="25" t="n">
        <x:f>IF(N82=0,0,IF(ISNUMBER(E82),N82*AC82*E82*AD82,NA()))</x:f>
        <x:v>0</x:v>
      </x:c>
      <x:c r="U82" s="25" t="n">
        <x:f>IF(O82=0,0,IF(ISNUMBER(F82),O82*F82,NA()))</x:f>
        <x:v>0</x:v>
      </x:c>
      <x:c r="V82" s="25" t="n">
        <x:f>IF(P82=0,0,IF(ISNUMBER(G82),-P82*G82,NA()))</x:f>
        <x:v>0</x:v>
      </x:c>
      <x:c r="W82" s="25" t="n">
        <x:f>SUM(Q82:V82)</x:f>
        <x:v>0</x:v>
      </x:c>
      <x:c r="X82" s="18" t="n">
        <x:f>'原始输入与口径'!BR84</x:f>
        <x:v>0</x:v>
      </x:c>
      <x:c r="Y82" s="18" t="n">
        <x:f>W82-X82</x:f>
        <x:v>0</x:v>
      </x:c>
      <x:c r="Z82" s="18" t="str">
        <x:f>"1月1日执行｜初始化零订单"</x:f>
        <x:v>1月1日执行｜初始化零订单</x:v>
      </x:c>
      <x:c r="AA82" s="19" t="n">
        <x:f>IF('原始输入与口径'!AW84,1,0)</x:f>
        <x:v>1</x:v>
      </x:c>
      <x:c r="AB82" s="19" t="n">
        <x:f>IF('原始输入与口径'!AY84,1,0)</x:f>
        <x:v>0</x:v>
      </x:c>
      <x:c r="AC82" s="18" t="n">
        <x:f>'原始输入与口径'!E84</x:f>
        <x:v>0.25</x:v>
      </x:c>
      <x:c r="AD82" s="20" t="n">
        <x:f>'原始输入与口径'!$F$5</x:f>
        <x:v>1</x:v>
      </x:c>
      <x:c r="AE82" s="20" t="n">
        <x:f>IF(AA82=0,0,AI82/(AG82*AC82))</x:f>
        <x:v>0.0526</x:v>
      </x:c>
      <x:c r="AF82" s="20" t="n">
        <x:f>IF(AA82=0,0,AJ82/(AH82*AC82))</x:f>
        <x:v>0.00035999999999999997</x:v>
      </x:c>
      <x:c r="AG82" s="18" t="n">
        <x:f>IF(ISNUMBER('原始输入与口径'!T84),'原始输入与口径'!T84,"缺失")</x:f>
        <x:v>200</x:v>
      </x:c>
      <x:c r="AH82" s="18" t="n">
        <x:f>IF(ISNUMBER('原始输入与口径'!Y84),'原始输入与口径'!Y84,"缺失")</x:f>
        <x:v>200</x:v>
      </x:c>
      <x:c r="AI82" s="18" t="n">
        <x:f>IF(ISNUMBER('原始输入与口径'!AI84),'原始输入与口径'!AI84,"缺失")</x:f>
        <x:v>2.63</x:v>
      </x:c>
      <x:c r="AJ82" s="18" t="n">
        <x:f>IF(ISNUMBER('原始输入与口径'!AL84),'原始输入与口径'!AL84,"缺失")</x:f>
        <x:v>0.018</x:v>
      </x:c>
      <x:c r="AK82" s="18" t="str">
        <x:f>IF(ISNUMBER('原始输入与口径'!O84),'原始输入与口径'!O84,"缺失")</x:f>
        <x:v>缺失</x:v>
      </x:c>
      <x:c r="AL82" s="18" t="n">
        <x:f>SUMIFS('相位SOC复算'!$N$7:$N$443,'相位SOC复算'!$S$7:$S$443,76)</x:f>
        <x:v>0</x:v>
      </x:c>
      <x:c r="AM82" s="18" t="n">
        <x:f>SUMIFS('相位SOC复算'!$Q$7:$Q$443,'相位SOC复算'!$S$7:$S$443,76)</x:f>
        <x:v>0</x:v>
      </x:c>
      <x:c r="AN82" s="18" t="n">
        <x:f>SUMIFS('相位SOC复算'!$R$7:$R$443,'相位SOC复算'!$S$7:$S$443,76)</x:f>
        <x:v>0</x:v>
      </x:c>
      <x:c r="AO82" s="18" t="n">
        <x:f>'相位SOC复算'!J182</x:f>
        <x:v>10</x:v>
      </x:c>
      <x:c r="AP82" s="18" t="n">
        <x:f>AO82-J82</x:f>
        <x:v>0</x:v>
      </x:c>
      <x:c r="AQ82" s="18" t="n">
        <x:f>IF(ISBLANK('原始输入与口径'!M84),"",'原始输入与口径'!M84)</x:f>
        <x:v>4.9741</x:v>
      </x:c>
      <x:c r="AR82" s="21" t="n">
        <x:f>IF(ISBLANK('原始输入与口径'!L84),"",'原始输入与口径'!L84)</x:f>
        <x:v>45657</x:v>
      </x:c>
      <x:c r="AS82" s="17" t="n">
        <x:f>IF(ISBLANK('原始输入与口径'!A84),"",'原始输入与口径'!A84)</x:f>
        <x:v>45658.697916666664</x:v>
      </x:c>
      <x:c r="AT82" s="18" t="str">
        <x:f>IF(ISBLANK('原始输入与口径'!I84),"",'原始输入与口径'!I84)</x:f>
        <x:v>2025-01-01_18</x:v>
      </x:c>
      <x:c r="AU82" s="19" t="n">
        <x:f>IF(ISBLANK('原始输入与口径'!J84),"",'原始输入与口径'!J84)</x:f>
        <x:v>60</x:v>
      </x:c>
      <x:c r="AV82" s="18" t="str">
        <x:f>IF(ISBLANK('原始输入与口径'!BB84),"",'原始输入与口径'!BB84)</x:f>
        <x:v>OK</x:v>
      </x:c>
    </x:row>
    <x:row r="83" ht="21" customHeight="1">
      <x:c r="A83" s="17" t="n">
        <x:f>45658.791666666664</x:f>
        <x:v>45658.791666666664</x:v>
      </x:c>
      <x:c r="B83" s="23" t="n">
        <x:f>IF(ISNUMBER('原始输入与口径'!H85),'原始输入与口径'!H85,"缺失")</x:f>
        <x:v>142.1</x:v>
      </x:c>
      <x:c r="C83" s="23" t="str">
        <x:f>IF(ISNUMBER('原始输入与口径'!R85),'原始输入与口径'!R85,"缺失")</x:f>
        <x:v>缺失</x:v>
      </x:c>
      <x:c r="D83" s="23" t="n">
        <x:f>IF(ISNUMBER('原始输入与口径'!W85),'原始输入与口径'!W85,"缺失")</x:f>
        <x:v>13.831647936310086</x:v>
      </x:c>
      <x:c r="E83" s="23" t="n">
        <x:f>IF(ISNUMBER('原始输入与口径'!AB85),'原始输入与口径'!AB85,"缺失")</x:f>
        <x:v>14.676021792887155</x:v>
      </x:c>
      <x:c r="F83" s="23" t="n">
        <x:f>IF(ISNUMBER('原始输入与口径'!AG85),'原始输入与口径'!AG85,"缺失")</x:f>
        <x:v>60.31241832693352</x:v>
      </x:c>
      <x:c r="G83" s="23" t="n">
        <x:f>IF(ISNUMBER('原始输入与口径'!AJ85),'原始输入与口径'!AJ85,"缺失")</x:f>
        <x:v>20.03236766450212</x:v>
      </x:c>
      <x:c r="H83" s="23" t="str">
        <x:f>"未模拟"</x:f>
        <x:v>未模拟</x:v>
      </x:c>
      <x:c r="I83" s="24" t="n">
        <x:f>'原始输入与口径'!BD85</x:f>
        <x:v>10</x:v>
      </x:c>
      <x:c r="J83" s="24" t="n">
        <x:f>'原始输入与口径'!BE85</x:f>
        <x:v>10</x:v>
      </x:c>
      <x:c r="K83" s="24" t="n">
        <x:f>'原始输入与口径'!BF85</x:f>
        <x:v>0</x:v>
      </x:c>
      <x:c r="L83" s="24" t="n">
        <x:f>'原始输入与口径'!BG85</x:f>
        <x:v>0</x:v>
      </x:c>
      <x:c r="M83" s="24" t="n">
        <x:f>'原始输入与口径'!BH85</x:f>
        <x:v>0</x:v>
      </x:c>
      <x:c r="N83" s="24" t="n">
        <x:f>'原始输入与口径'!BI85</x:f>
        <x:v>0</x:v>
      </x:c>
      <x:c r="O83" s="24" t="n">
        <x:f>M83*AE83*AC83</x:f>
        <x:v>0</x:v>
      </x:c>
      <x:c r="P83" s="24" t="n">
        <x:f>N83*AF83*AC83</x:f>
        <x:v>0</x:v>
      </x:c>
      <x:c r="Q83" s="25" t="n">
        <x:f>IF(K83=0,0,IF(ISNUMBER(B83),K83*AC83*B83,NA()))</x:f>
        <x:v>0</x:v>
      </x:c>
      <x:c r="R83" s="25" t="n">
        <x:f>IF(L83=0,0,IF(ISNUMBER(C83),L83*AC83*C83*AD83,NA()))</x:f>
        <x:v>0</x:v>
      </x:c>
      <x:c r="S83" s="25" t="n">
        <x:f>IF(M83=0,0,IF(ISNUMBER(D83),M83*AC83*D83*AD83,NA()))</x:f>
        <x:v>0</x:v>
      </x:c>
      <x:c r="T83" s="25" t="n">
        <x:f>IF(N83=0,0,IF(ISNUMBER(E83),N83*AC83*E83*AD83,NA()))</x:f>
        <x:v>0</x:v>
      </x:c>
      <x:c r="U83" s="25" t="n">
        <x:f>IF(O83=0,0,IF(ISNUMBER(F83),O83*F83,NA()))</x:f>
        <x:v>0</x:v>
      </x:c>
      <x:c r="V83" s="25" t="n">
        <x:f>IF(P83=0,0,IF(ISNUMBER(G83),-P83*G83,NA()))</x:f>
        <x:v>0</x:v>
      </x:c>
      <x:c r="W83" s="25" t="n">
        <x:f>SUM(Q83:V83)</x:f>
        <x:v>0</x:v>
      </x:c>
      <x:c r="X83" s="18" t="n">
        <x:f>'原始输入与口径'!BR85</x:f>
        <x:v>0</x:v>
      </x:c>
      <x:c r="Y83" s="18" t="n">
        <x:f>W83-X83</x:f>
        <x:v>0</x:v>
      </x:c>
      <x:c r="Z83" s="18" t="str">
        <x:f>"1月1日执行｜初始化零订单"</x:f>
        <x:v>1月1日执行｜初始化零订单</x:v>
      </x:c>
      <x:c r="AA83" s="19" t="n">
        <x:f>IF('原始输入与口径'!AW85,1,0)</x:f>
        <x:v>1</x:v>
      </x:c>
      <x:c r="AB83" s="19" t="n">
        <x:f>IF('原始输入与口径'!AY85,1,0)</x:f>
        <x:v>0</x:v>
      </x:c>
      <x:c r="AC83" s="18" t="n">
        <x:f>'原始输入与口径'!E85</x:f>
        <x:v>0.25</x:v>
      </x:c>
      <x:c r="AD83" s="20" t="n">
        <x:f>'原始输入与口径'!$F$5</x:f>
        <x:v>1</x:v>
      </x:c>
      <x:c r="AE83" s="20" t="n">
        <x:f>IF(AA83=0,0,AI83/(AG83*AC83))</x:f>
        <x:v>0.00012</x:v>
      </x:c>
      <x:c r="AF83" s="20" t="n">
        <x:f>IF(AA83=0,0,AJ83/(AH83*AC83))</x:f>
        <x:v>0.1185</x:v>
      </x:c>
      <x:c r="AG83" s="18" t="n">
        <x:f>IF(ISNUMBER('原始输入与口径'!T85),'原始输入与口径'!T85,"缺失")</x:f>
        <x:v>200</x:v>
      </x:c>
      <x:c r="AH83" s="18" t="n">
        <x:f>IF(ISNUMBER('原始输入与口径'!Y85),'原始输入与口径'!Y85,"缺失")</x:f>
        <x:v>200</x:v>
      </x:c>
      <x:c r="AI83" s="18" t="n">
        <x:f>IF(ISNUMBER('原始输入与口径'!AI85),'原始输入与口径'!AI85,"缺失")</x:f>
        <x:v>0.006</x:v>
      </x:c>
      <x:c r="AJ83" s="18" t="n">
        <x:f>IF(ISNUMBER('原始输入与口径'!AL85),'原始输入与口径'!AL85,"缺失")</x:f>
        <x:v>5.925</x:v>
      </x:c>
      <x:c r="AK83" s="18" t="str">
        <x:f>IF(ISNUMBER('原始输入与口径'!O85),'原始输入与口径'!O85,"缺失")</x:f>
        <x:v>缺失</x:v>
      </x:c>
      <x:c r="AL83" s="18" t="n">
        <x:f>SUMIFS('相位SOC复算'!$N$7:$N$443,'相位SOC复算'!$S$7:$S$443,77)</x:f>
        <x:v>0</x:v>
      </x:c>
      <x:c r="AM83" s="18" t="n">
        <x:f>SUMIFS('相位SOC复算'!$Q$7:$Q$443,'相位SOC复算'!$S$7:$S$443,77)</x:f>
        <x:v>0</x:v>
      </x:c>
      <x:c r="AN83" s="18" t="n">
        <x:f>SUMIFS('相位SOC复算'!$R$7:$R$443,'相位SOC复算'!$S$7:$S$443,77)</x:f>
        <x:v>0</x:v>
      </x:c>
      <x:c r="AO83" s="18" t="n">
        <x:f>'相位SOC复算'!J185</x:f>
        <x:v>10</x:v>
      </x:c>
      <x:c r="AP83" s="18" t="n">
        <x:f>AO83-J83</x:f>
        <x:v>0</x:v>
      </x:c>
      <x:c r="AQ83" s="18" t="n">
        <x:f>IF(ISBLANK('原始输入与口径'!M85),"",'原始输入与口径'!M85)</x:f>
        <x:v>4.9741</x:v>
      </x:c>
      <x:c r="AR83" s="21" t="n">
        <x:f>IF(ISBLANK('原始输入与口径'!L85),"",'原始输入与口径'!L85)</x:f>
        <x:v>45657</x:v>
      </x:c>
      <x:c r="AS83" s="17" t="n">
        <x:f>IF(ISBLANK('原始输入与口径'!A85),"",'原始输入与口径'!A85)</x:f>
        <x:v>45658.708333333336</x:v>
      </x:c>
      <x:c r="AT83" s="18" t="str">
        <x:f>IF(ISBLANK('原始输入与口径'!I85),"",'原始输入与口径'!I85)</x:f>
        <x:v>2025-01-01_19</x:v>
      </x:c>
      <x:c r="AU83" s="19" t="n">
        <x:f>IF(ISBLANK('原始输入与口径'!J85),"",'原始输入与口径'!J85)</x:f>
        <x:v>60</x:v>
      </x:c>
      <x:c r="AV83" s="18" t="str">
        <x:f>IF(ISBLANK('原始输入与口径'!BB85),"",'原始输入与口径'!BB85)</x:f>
        <x:v>OK</x:v>
      </x:c>
    </x:row>
    <x:row r="84" ht="21" customHeight="1">
      <x:c r="A84" s="17" t="n">
        <x:f>45658.802083333336</x:f>
        <x:v>45658.802083333336</x:v>
      </x:c>
      <x:c r="B84" s="23" t="n">
        <x:f>IF(ISNUMBER('原始输入与口径'!H86),'原始输入与口径'!H86,"缺失")</x:f>
        <x:v>142.1</x:v>
      </x:c>
      <x:c r="C84" s="23" t="str">
        <x:f>IF(ISNUMBER('原始输入与口径'!R86),'原始输入与口径'!R86,"缺失")</x:f>
        <x:v>缺失</x:v>
      </x:c>
      <x:c r="D84" s="23" t="n">
        <x:f>IF(ISNUMBER('原始输入与口径'!W86),'原始输入与口径'!W86,"缺失")</x:f>
        <x:v>13.831647936310086</x:v>
      </x:c>
      <x:c r="E84" s="23" t="n">
        <x:f>IF(ISNUMBER('原始输入与口径'!AB86),'原始输入与口径'!AB86,"缺失")</x:f>
        <x:v>14.676021792887155</x:v>
      </x:c>
      <x:c r="F84" s="23" t="n">
        <x:f>IF(ISNUMBER('原始输入与口径'!AG86),'原始输入与口径'!AG86,"缺失")</x:f>
        <x:v>108.85547134154922</x:v>
      </x:c>
      <x:c r="G84" s="23" t="n">
        <x:f>IF(ISNUMBER('原始输入与口径'!AJ86),'原始输入与口径'!AJ86,"缺失")</x:f>
        <x:v>24.689692607707926</x:v>
      </x:c>
      <x:c r="H84" s="23" t="str">
        <x:f>"未模拟"</x:f>
        <x:v>未模拟</x:v>
      </x:c>
      <x:c r="I84" s="24" t="n">
        <x:f>'原始输入与口径'!BD86</x:f>
        <x:v>10</x:v>
      </x:c>
      <x:c r="J84" s="24" t="n">
        <x:f>'原始输入与口径'!BE86</x:f>
        <x:v>10</x:v>
      </x:c>
      <x:c r="K84" s="24" t="n">
        <x:f>'原始输入与口径'!BF86</x:f>
        <x:v>0</x:v>
      </x:c>
      <x:c r="L84" s="24" t="n">
        <x:f>'原始输入与口径'!BG86</x:f>
        <x:v>0</x:v>
      </x:c>
      <x:c r="M84" s="24" t="n">
        <x:f>'原始输入与口径'!BH86</x:f>
        <x:v>0</x:v>
      </x:c>
      <x:c r="N84" s="24" t="n">
        <x:f>'原始输入与口径'!BI86</x:f>
        <x:v>0</x:v>
      </x:c>
      <x:c r="O84" s="24" t="n">
        <x:f>M84*AE84*AC84</x:f>
        <x:v>0</x:v>
      </x:c>
      <x:c r="P84" s="24" t="n">
        <x:f>N84*AF84*AC84</x:f>
        <x:v>0</x:v>
      </x:c>
      <x:c r="Q84" s="25" t="n">
        <x:f>IF(K84=0,0,IF(ISNUMBER(B84),K84*AC84*B84,NA()))</x:f>
        <x:v>0</x:v>
      </x:c>
      <x:c r="R84" s="25" t="n">
        <x:f>IF(L84=0,0,IF(ISNUMBER(C84),L84*AC84*C84*AD84,NA()))</x:f>
        <x:v>0</x:v>
      </x:c>
      <x:c r="S84" s="25" t="n">
        <x:f>IF(M84=0,0,IF(ISNUMBER(D84),M84*AC84*D84*AD84,NA()))</x:f>
        <x:v>0</x:v>
      </x:c>
      <x:c r="T84" s="25" t="n">
        <x:f>IF(N84=0,0,IF(ISNUMBER(E84),N84*AC84*E84*AD84,NA()))</x:f>
        <x:v>0</x:v>
      </x:c>
      <x:c r="U84" s="25" t="n">
        <x:f>IF(O84=0,0,IF(ISNUMBER(F84),O84*F84,NA()))</x:f>
        <x:v>0</x:v>
      </x:c>
      <x:c r="V84" s="25" t="n">
        <x:f>IF(P84=0,0,IF(ISNUMBER(G84),-P84*G84,NA()))</x:f>
        <x:v>0</x:v>
      </x:c>
      <x:c r="W84" s="25" t="n">
        <x:f>SUM(Q84:V84)</x:f>
        <x:v>0</x:v>
      </x:c>
      <x:c r="X84" s="18" t="n">
        <x:f>'原始输入与口径'!BR86</x:f>
        <x:v>0</x:v>
      </x:c>
      <x:c r="Y84" s="18" t="n">
        <x:f>W84-X84</x:f>
        <x:v>0</x:v>
      </x:c>
      <x:c r="Z84" s="18" t="str">
        <x:f>"1月1日执行｜初始化零订单"</x:f>
        <x:v>1月1日执行｜初始化零订单</x:v>
      </x:c>
      <x:c r="AA84" s="19" t="n">
        <x:f>IF('原始输入与口径'!AW86,1,0)</x:f>
        <x:v>1</x:v>
      </x:c>
      <x:c r="AB84" s="19" t="n">
        <x:f>IF('原始输入与口径'!AY86,1,0)</x:f>
        <x:v>0</x:v>
      </x:c>
      <x:c r="AC84" s="18" t="n">
        <x:f>'原始输入与口径'!E86</x:f>
        <x:v>0.25</x:v>
      </x:c>
      <x:c r="AD84" s="20" t="n">
        <x:f>'原始输入与口径'!$F$5</x:f>
        <x:v>1</x:v>
      </x:c>
      <x:c r="AE84" s="20" t="n">
        <x:f>IF(AA84=0,0,AI84/(AG84*AC84))</x:f>
        <x:v>0.00192</x:v>
      </x:c>
      <x:c r="AF84" s="20" t="n">
        <x:f>IF(AA84=0,0,AJ84/(AH84*AC84))</x:f>
        <x:v>0.03418</x:v>
      </x:c>
      <x:c r="AG84" s="18" t="n">
        <x:f>IF(ISNUMBER('原始输入与口径'!T86),'原始输入与口径'!T86,"缺失")</x:f>
        <x:v>200</x:v>
      </x:c>
      <x:c r="AH84" s="18" t="n">
        <x:f>IF(ISNUMBER('原始输入与口径'!Y86),'原始输入与口径'!Y86,"缺失")</x:f>
        <x:v>200</x:v>
      </x:c>
      <x:c r="AI84" s="18" t="n">
        <x:f>IF(ISNUMBER('原始输入与口径'!AI86),'原始输入与口径'!AI86,"缺失")</x:f>
        <x:v>0.096</x:v>
      </x:c>
      <x:c r="AJ84" s="18" t="n">
        <x:f>IF(ISNUMBER('原始输入与口径'!AL86),'原始输入与口径'!AL86,"缺失")</x:f>
        <x:v>1.709</x:v>
      </x:c>
      <x:c r="AK84" s="18" t="str">
        <x:f>IF(ISNUMBER('原始输入与口径'!O86),'原始输入与口径'!O86,"缺失")</x:f>
        <x:v>缺失</x:v>
      </x:c>
      <x:c r="AL84" s="18" t="n">
        <x:f>SUMIFS('相位SOC复算'!$N$7:$N$443,'相位SOC复算'!$S$7:$S$443,78)</x:f>
        <x:v>0</x:v>
      </x:c>
      <x:c r="AM84" s="18" t="n">
        <x:f>SUMIFS('相位SOC复算'!$Q$7:$Q$443,'相位SOC复算'!$S$7:$S$443,78)</x:f>
        <x:v>0</x:v>
      </x:c>
      <x:c r="AN84" s="18" t="n">
        <x:f>SUMIFS('相位SOC复算'!$R$7:$R$443,'相位SOC复算'!$S$7:$S$443,78)</x:f>
        <x:v>0</x:v>
      </x:c>
      <x:c r="AO84" s="18" t="n">
        <x:f>'相位SOC复算'!J188</x:f>
        <x:v>10</x:v>
      </x:c>
      <x:c r="AP84" s="18" t="n">
        <x:f>AO84-J84</x:f>
        <x:v>0</x:v>
      </x:c>
      <x:c r="AQ84" s="18" t="n">
        <x:f>IF(ISBLANK('原始输入与口径'!M86),"",'原始输入与口径'!M86)</x:f>
        <x:v>4.9741</x:v>
      </x:c>
      <x:c r="AR84" s="21" t="n">
        <x:f>IF(ISBLANK('原始输入与口径'!L86),"",'原始输入与口径'!L86)</x:f>
        <x:v>45657</x:v>
      </x:c>
      <x:c r="AS84" s="17" t="n">
        <x:f>IF(ISBLANK('原始输入与口径'!A86),"",'原始输入与口径'!A86)</x:f>
        <x:v>45658.71875</x:v>
      </x:c>
      <x:c r="AT84" s="18" t="str">
        <x:f>IF(ISBLANK('原始输入与口径'!I86),"",'原始输入与口径'!I86)</x:f>
        <x:v>2025-01-01_19</x:v>
      </x:c>
      <x:c r="AU84" s="19" t="n">
        <x:f>IF(ISBLANK('原始输入与口径'!J86),"",'原始输入与口径'!J86)</x:f>
        <x:v>60</x:v>
      </x:c>
      <x:c r="AV84" s="18" t="str">
        <x:f>IF(ISBLANK('原始输入与口径'!BB86),"",'原始输入与口径'!BB86)</x:f>
        <x:v>OK</x:v>
      </x:c>
    </x:row>
    <x:row r="85" ht="21" customHeight="1">
      <x:c r="A85" s="17" t="n">
        <x:f>45658.8125</x:f>
        <x:v>45658.8125</x:v>
      </x:c>
      <x:c r="B85" s="23" t="n">
        <x:f>IF(ISNUMBER('原始输入与口径'!H87),'原始输入与口径'!H87,"缺失")</x:f>
        <x:v>142.1</x:v>
      </x:c>
      <x:c r="C85" s="23" t="str">
        <x:f>IF(ISNUMBER('原始输入与口径'!R87),'原始输入与口径'!R87,"缺失")</x:f>
        <x:v>缺失</x:v>
      </x:c>
      <x:c r="D85" s="23" t="n">
        <x:f>IF(ISNUMBER('原始输入与口径'!W87),'原始输入与口径'!W87,"缺失")</x:f>
        <x:v>13.831647936310086</x:v>
      </x:c>
      <x:c r="E85" s="23" t="n">
        <x:f>IF(ISNUMBER('原始输入与口径'!AB87),'原始输入与口径'!AB87,"缺失")</x:f>
        <x:v>14.676021792887155</x:v>
      </x:c>
      <x:c r="F85" s="23" t="n">
        <x:f>IF(ISNUMBER('原始输入与口径'!AG87),'原始输入与口径'!AG87,"缺失")</x:f>
        <x:v>101.82223919905108</x:v>
      </x:c>
      <x:c r="G85" s="23" t="n">
        <x:f>IF(ISNUMBER('原始输入与口径'!AJ87),'原始输入与口径'!AJ87,"缺失")</x:f>
        <x:v>58.49158641764339</x:v>
      </x:c>
      <x:c r="H85" s="23" t="str">
        <x:f>"未模拟"</x:f>
        <x:v>未模拟</x:v>
      </x:c>
      <x:c r="I85" s="24" t="n">
        <x:f>'原始输入与口径'!BD87</x:f>
        <x:v>10</x:v>
      </x:c>
      <x:c r="J85" s="24" t="n">
        <x:f>'原始输入与口径'!BE87</x:f>
        <x:v>10</x:v>
      </x:c>
      <x:c r="K85" s="24" t="n">
        <x:f>'原始输入与口径'!BF87</x:f>
        <x:v>0</x:v>
      </x:c>
      <x:c r="L85" s="24" t="n">
        <x:f>'原始输入与口径'!BG87</x:f>
        <x:v>0</x:v>
      </x:c>
      <x:c r="M85" s="24" t="n">
        <x:f>'原始输入与口径'!BH87</x:f>
        <x:v>0</x:v>
      </x:c>
      <x:c r="N85" s="24" t="n">
        <x:f>'原始输入与口径'!BI87</x:f>
        <x:v>0</x:v>
      </x:c>
      <x:c r="O85" s="24" t="n">
        <x:f>M85*AE85*AC85</x:f>
        <x:v>0</x:v>
      </x:c>
      <x:c r="P85" s="24" t="n">
        <x:f>N85*AF85*AC85</x:f>
        <x:v>0</x:v>
      </x:c>
      <x:c r="Q85" s="25" t="n">
        <x:f>IF(K85=0,0,IF(ISNUMBER(B85),K85*AC85*B85,NA()))</x:f>
        <x:v>0</x:v>
      </x:c>
      <x:c r="R85" s="25" t="n">
        <x:f>IF(L85=0,0,IF(ISNUMBER(C85),L85*AC85*C85*AD85,NA()))</x:f>
        <x:v>0</x:v>
      </x:c>
      <x:c r="S85" s="25" t="n">
        <x:f>IF(M85=0,0,IF(ISNUMBER(D85),M85*AC85*D85*AD85,NA()))</x:f>
        <x:v>0</x:v>
      </x:c>
      <x:c r="T85" s="25" t="n">
        <x:f>IF(N85=0,0,IF(ISNUMBER(E85),N85*AC85*E85*AD85,NA()))</x:f>
        <x:v>0</x:v>
      </x:c>
      <x:c r="U85" s="25" t="n">
        <x:f>IF(O85=0,0,IF(ISNUMBER(F85),O85*F85,NA()))</x:f>
        <x:v>0</x:v>
      </x:c>
      <x:c r="V85" s="25" t="n">
        <x:f>IF(P85=0,0,IF(ISNUMBER(G85),-P85*G85,NA()))</x:f>
        <x:v>0</x:v>
      </x:c>
      <x:c r="W85" s="25" t="n">
        <x:f>SUM(Q85:V85)</x:f>
        <x:v>0</x:v>
      </x:c>
      <x:c r="X85" s="18" t="n">
        <x:f>'原始输入与口径'!BR87</x:f>
        <x:v>0</x:v>
      </x:c>
      <x:c r="Y85" s="18" t="n">
        <x:f>W85-X85</x:f>
        <x:v>0</x:v>
      </x:c>
      <x:c r="Z85" s="18" t="str">
        <x:f>"1月1日执行｜初始化零订单"</x:f>
        <x:v>1月1日执行｜初始化零订单</x:v>
      </x:c>
      <x:c r="AA85" s="19" t="n">
        <x:f>IF('原始输入与口径'!AW87,1,0)</x:f>
        <x:v>1</x:v>
      </x:c>
      <x:c r="AB85" s="19" t="n">
        <x:f>IF('原始输入与口径'!AY87,1,0)</x:f>
        <x:v>0</x:v>
      </x:c>
      <x:c r="AC85" s="18" t="n">
        <x:f>'原始输入与口径'!E87</x:f>
        <x:v>0.25</x:v>
      </x:c>
      <x:c r="AD85" s="20" t="n">
        <x:f>'原始输入与口径'!$F$5</x:f>
        <x:v>1</x:v>
      </x:c>
      <x:c r="AE85" s="20" t="n">
        <x:f>IF(AA85=0,0,AI85/(AG85*AC85))</x:f>
        <x:v>0.0034599999999999995</x:v>
      </x:c>
      <x:c r="AF85" s="20" t="n">
        <x:f>IF(AA85=0,0,AJ85/(AH85*AC85))</x:f>
        <x:v>0.00212</x:v>
      </x:c>
      <x:c r="AG85" s="18" t="n">
        <x:f>IF(ISNUMBER('原始输入与口径'!T87),'原始输入与口径'!T87,"缺失")</x:f>
        <x:v>200</x:v>
      </x:c>
      <x:c r="AH85" s="18" t="n">
        <x:f>IF(ISNUMBER('原始输入与口径'!Y87),'原始输入与口径'!Y87,"缺失")</x:f>
        <x:v>200</x:v>
      </x:c>
      <x:c r="AI85" s="18" t="n">
        <x:f>IF(ISNUMBER('原始输入与口径'!AI87),'原始输入与口径'!AI87,"缺失")</x:f>
        <x:v>0.173</x:v>
      </x:c>
      <x:c r="AJ85" s="18" t="n">
        <x:f>IF(ISNUMBER('原始输入与口径'!AL87),'原始输入与口径'!AL87,"缺失")</x:f>
        <x:v>0.106</x:v>
      </x:c>
      <x:c r="AK85" s="18" t="str">
        <x:f>IF(ISNUMBER('原始输入与口径'!O87),'原始输入与口径'!O87,"缺失")</x:f>
        <x:v>缺失</x:v>
      </x:c>
      <x:c r="AL85" s="18" t="n">
        <x:f>SUMIFS('相位SOC复算'!$N$7:$N$443,'相位SOC复算'!$S$7:$S$443,79)</x:f>
        <x:v>0</x:v>
      </x:c>
      <x:c r="AM85" s="18" t="n">
        <x:f>SUMIFS('相位SOC复算'!$Q$7:$Q$443,'相位SOC复算'!$S$7:$S$443,79)</x:f>
        <x:v>0</x:v>
      </x:c>
      <x:c r="AN85" s="18" t="n">
        <x:f>SUMIFS('相位SOC复算'!$R$7:$R$443,'相位SOC复算'!$S$7:$S$443,79)</x:f>
        <x:v>0</x:v>
      </x:c>
      <x:c r="AO85" s="18" t="n">
        <x:f>'相位SOC复算'!J191</x:f>
        <x:v>10</x:v>
      </x:c>
      <x:c r="AP85" s="18" t="n">
        <x:f>AO85-J85</x:f>
        <x:v>0</x:v>
      </x:c>
      <x:c r="AQ85" s="18" t="n">
        <x:f>IF(ISBLANK('原始输入与口径'!M87),"",'原始输入与口径'!M87)</x:f>
        <x:v>4.9741</x:v>
      </x:c>
      <x:c r="AR85" s="21" t="n">
        <x:f>IF(ISBLANK('原始输入与口径'!L87),"",'原始输入与口径'!L87)</x:f>
        <x:v>45657</x:v>
      </x:c>
      <x:c r="AS85" s="17" t="n">
        <x:f>IF(ISBLANK('原始输入与口径'!A87),"",'原始输入与口径'!A87)</x:f>
        <x:v>45658.729166666664</x:v>
      </x:c>
      <x:c r="AT85" s="18" t="str">
        <x:f>IF(ISBLANK('原始输入与口径'!I87),"",'原始输入与口径'!I87)</x:f>
        <x:v>2025-01-01_19</x:v>
      </x:c>
      <x:c r="AU85" s="19" t="n">
        <x:f>IF(ISBLANK('原始输入与口径'!J87),"",'原始输入与口径'!J87)</x:f>
        <x:v>60</x:v>
      </x:c>
      <x:c r="AV85" s="18" t="str">
        <x:f>IF(ISBLANK('原始输入与口径'!BB87),"",'原始输入与口径'!BB87)</x:f>
        <x:v>OK</x:v>
      </x:c>
    </x:row>
    <x:row r="86" ht="21" customHeight="1">
      <x:c r="A86" s="17" t="n">
        <x:f>45658.822916666664</x:f>
        <x:v>45658.822916666664</x:v>
      </x:c>
      <x:c r="B86" s="23" t="n">
        <x:f>IF(ISNUMBER('原始输入与口径'!H88),'原始输入与口径'!H88,"缺失")</x:f>
        <x:v>142.1</x:v>
      </x:c>
      <x:c r="C86" s="23" t="str">
        <x:f>IF(ISNUMBER('原始输入与口径'!R88),'原始输入与口径'!R88,"缺失")</x:f>
        <x:v>缺失</x:v>
      </x:c>
      <x:c r="D86" s="23" t="n">
        <x:f>IF(ISNUMBER('原始输入与口径'!W88),'原始输入与口径'!W88,"缺失")</x:f>
        <x:v>13.831647936310086</x:v>
      </x:c>
      <x:c r="E86" s="23" t="n">
        <x:f>IF(ISNUMBER('原始输入与口径'!AB88),'原始输入与口径'!AB88,"缺失")</x:f>
        <x:v>14.676021792887155</x:v>
      </x:c>
      <x:c r="F86" s="23" t="n">
        <x:f>IF(ISNUMBER('原始输入与口径'!AG88),'原始输入与口径'!AG88,"缺失")</x:f>
        <x:v>170.24929132908466</x:v>
      </x:c>
      <x:c r="G86" s="23" t="n">
        <x:f>IF(ISNUMBER('原始输入与口径'!AJ88),'原始输入与口径'!AJ88,"缺失")</x:f>
        <x:v>0</x:v>
      </x:c>
      <x:c r="H86" s="23" t="str">
        <x:f>"未模拟"</x:f>
        <x:v>未模拟</x:v>
      </x:c>
      <x:c r="I86" s="24" t="n">
        <x:f>'原始输入与口径'!BD88</x:f>
        <x:v>10</x:v>
      </x:c>
      <x:c r="J86" s="24" t="n">
        <x:f>'原始输入与口径'!BE88</x:f>
        <x:v>10</x:v>
      </x:c>
      <x:c r="K86" s="24" t="n">
        <x:f>'原始输入与口径'!BF88</x:f>
        <x:v>0</x:v>
      </x:c>
      <x:c r="L86" s="24" t="n">
        <x:f>'原始输入与口径'!BG88</x:f>
        <x:v>0</x:v>
      </x:c>
      <x:c r="M86" s="24" t="n">
        <x:f>'原始输入与口径'!BH88</x:f>
        <x:v>0</x:v>
      </x:c>
      <x:c r="N86" s="24" t="n">
        <x:f>'原始输入与口径'!BI88</x:f>
        <x:v>0</x:v>
      </x:c>
      <x:c r="O86" s="24" t="n">
        <x:f>M86*AE86*AC86</x:f>
        <x:v>0</x:v>
      </x:c>
      <x:c r="P86" s="24" t="n">
        <x:f>N86*AF86*AC86</x:f>
        <x:v>0</x:v>
      </x:c>
      <x:c r="Q86" s="25" t="n">
        <x:f>IF(K86=0,0,IF(ISNUMBER(B86),K86*AC86*B86,NA()))</x:f>
        <x:v>0</x:v>
      </x:c>
      <x:c r="R86" s="25" t="n">
        <x:f>IF(L86=0,0,IF(ISNUMBER(C86),L86*AC86*C86*AD86,NA()))</x:f>
        <x:v>0</x:v>
      </x:c>
      <x:c r="S86" s="25" t="n">
        <x:f>IF(M86=0,0,IF(ISNUMBER(D86),M86*AC86*D86*AD86,NA()))</x:f>
        <x:v>0</x:v>
      </x:c>
      <x:c r="T86" s="25" t="n">
        <x:f>IF(N86=0,0,IF(ISNUMBER(E86),N86*AC86*E86*AD86,NA()))</x:f>
        <x:v>0</x:v>
      </x:c>
      <x:c r="U86" s="25" t="n">
        <x:f>IF(O86=0,0,IF(ISNUMBER(F86),O86*F86,NA()))</x:f>
        <x:v>0</x:v>
      </x:c>
      <x:c r="V86" s="25" t="n">
        <x:f>IF(P86=0,0,IF(ISNUMBER(G86),-P86*G86,NA()))</x:f>
        <x:v>0</x:v>
      </x:c>
      <x:c r="W86" s="25" t="n">
        <x:f>SUM(Q86:V86)</x:f>
        <x:v>0</x:v>
      </x:c>
      <x:c r="X86" s="18" t="n">
        <x:f>'原始输入与口径'!BR88</x:f>
        <x:v>0</x:v>
      </x:c>
      <x:c r="Y86" s="18" t="n">
        <x:f>W86-X86</x:f>
        <x:v>0</x:v>
      </x:c>
      <x:c r="Z86" s="18" t="str">
        <x:f>"1月1日执行｜初始化零订单"</x:f>
        <x:v>1月1日执行｜初始化零订单</x:v>
      </x:c>
      <x:c r="AA86" s="19" t="n">
        <x:f>IF('原始输入与口径'!AW88,1,0)</x:f>
        <x:v>1</x:v>
      </x:c>
      <x:c r="AB86" s="19" t="n">
        <x:f>IF('原始输入与口径'!AY88,1,0)</x:f>
        <x:v>0</x:v>
      </x:c>
      <x:c r="AC86" s="18" t="n">
        <x:f>'原始输入与口径'!E88</x:f>
        <x:v>0.25</x:v>
      </x:c>
      <x:c r="AD86" s="20" t="n">
        <x:f>'原始输入与口径'!$F$5</x:f>
        <x:v>1</x:v>
      </x:c>
      <x:c r="AE86" s="20" t="n">
        <x:f>IF(AA86=0,0,AI86/(AG86*AC86))</x:f>
        <x:v>0.17412</x:v>
      </x:c>
      <x:c r="AF86" s="20" t="n">
        <x:f>IF(AA86=0,0,AJ86/(AH86*AC86))</x:f>
        <x:v>0</x:v>
      </x:c>
      <x:c r="AG86" s="18" t="n">
        <x:f>IF(ISNUMBER('原始输入与口径'!T88),'原始输入与口径'!T88,"缺失")</x:f>
        <x:v>200</x:v>
      </x:c>
      <x:c r="AH86" s="18" t="n">
        <x:f>IF(ISNUMBER('原始输入与口径'!Y88),'原始输入与口径'!Y88,"缺失")</x:f>
        <x:v>200</x:v>
      </x:c>
      <x:c r="AI86" s="18" t="n">
        <x:f>IF(ISNUMBER('原始输入与口径'!AI88),'原始输入与口径'!AI88,"缺失")</x:f>
        <x:v>8.706</x:v>
      </x:c>
      <x:c r="AJ86" s="18" t="n">
        <x:f>IF(ISNUMBER('原始输入与口径'!AL88),'原始输入与口径'!AL88,"缺失")</x:f>
        <x:v>0</x:v>
      </x:c>
      <x:c r="AK86" s="18" t="str">
        <x:f>IF(ISNUMBER('原始输入与口径'!O88),'原始输入与口径'!O88,"缺失")</x:f>
        <x:v>缺失</x:v>
      </x:c>
      <x:c r="AL86" s="18" t="n">
        <x:f>SUMIFS('相位SOC复算'!$N$7:$N$443,'相位SOC复算'!$S$7:$S$443,80)</x:f>
        <x:v>0</x:v>
      </x:c>
      <x:c r="AM86" s="18" t="n">
        <x:f>SUMIFS('相位SOC复算'!$Q$7:$Q$443,'相位SOC复算'!$S$7:$S$443,80)</x:f>
        <x:v>0</x:v>
      </x:c>
      <x:c r="AN86" s="18" t="n">
        <x:f>SUMIFS('相位SOC复算'!$R$7:$R$443,'相位SOC复算'!$S$7:$S$443,80)</x:f>
        <x:v>0</x:v>
      </x:c>
      <x:c r="AO86" s="18" t="n">
        <x:f>'相位SOC复算'!J193</x:f>
        <x:v>10</x:v>
      </x:c>
      <x:c r="AP86" s="18" t="n">
        <x:f>AO86-J86</x:f>
        <x:v>0</x:v>
      </x:c>
      <x:c r="AQ86" s="18" t="n">
        <x:f>IF(ISBLANK('原始输入与口径'!M88),"",'原始输入与口径'!M88)</x:f>
        <x:v>4.9741</x:v>
      </x:c>
      <x:c r="AR86" s="21" t="n">
        <x:f>IF(ISBLANK('原始输入与口径'!L88),"",'原始输入与口径'!L88)</x:f>
        <x:v>45657</x:v>
      </x:c>
      <x:c r="AS86" s="17" t="n">
        <x:f>IF(ISBLANK('原始输入与口径'!A88),"",'原始输入与口径'!A88)</x:f>
        <x:v>45658.739583333336</x:v>
      </x:c>
      <x:c r="AT86" s="18" t="str">
        <x:f>IF(ISBLANK('原始输入与口径'!I88),"",'原始输入与口径'!I88)</x:f>
        <x:v>2025-01-01_19</x:v>
      </x:c>
      <x:c r="AU86" s="19" t="n">
        <x:f>IF(ISBLANK('原始输入与口径'!J88),"",'原始输入与口径'!J88)</x:f>
        <x:v>60</x:v>
      </x:c>
      <x:c r="AV86" s="18" t="str">
        <x:f>IF(ISBLANK('原始输入与口径'!BB88),"",'原始输入与口径'!BB88)</x:f>
        <x:v>OK</x:v>
      </x:c>
    </x:row>
    <x:row r="87" ht="21" customHeight="1">
      <x:c r="A87" s="17" t="n">
        <x:f>45658.833333333336</x:f>
        <x:v>45658.833333333336</x:v>
      </x:c>
      <x:c r="B87" s="23" t="n">
        <x:f>IF(ISNUMBER('原始输入与口径'!H89),'原始输入与口径'!H89,"缺失")</x:f>
        <x:v>149.55</x:v>
      </x:c>
      <x:c r="C87" s="23" t="str">
        <x:f>IF(ISNUMBER('原始输入与口径'!R89),'原始输入与口径'!R89,"缺失")</x:f>
        <x:v>缺失</x:v>
      </x:c>
      <x:c r="D87" s="23" t="n">
        <x:f>IF(ISNUMBER('原始输入与口径'!W89),'原始输入与口径'!W89,"缺失")</x:f>
        <x:v>13.831647936310086</x:v>
      </x:c>
      <x:c r="E87" s="23" t="n">
        <x:f>IF(ISNUMBER('原始输入与口径'!AB89),'原始输入与口径'!AB89,"缺失")</x:f>
        <x:v>14.710198829939085</x:v>
      </x:c>
      <x:c r="F87" s="23" t="n">
        <x:f>IF(ISNUMBER('原始输入与口径'!AG89),'原始输入与口径'!AG89,"缺失")</x:f>
        <x:v>190.7315896343057</x:v>
      </x:c>
      <x:c r="G87" s="23" t="n">
        <x:f>IF(ISNUMBER('原始输入与口径'!AJ89),'原始输入与口径'!AJ89,"缺失")</x:f>
        <x:v>0</x:v>
      </x:c>
      <x:c r="H87" s="23" t="str">
        <x:f>"未模拟"</x:f>
        <x:v>未模拟</x:v>
      </x:c>
      <x:c r="I87" s="24" t="n">
        <x:f>'原始输入与口径'!BD89</x:f>
        <x:v>10</x:v>
      </x:c>
      <x:c r="J87" s="24" t="n">
        <x:f>'原始输入与口径'!BE89</x:f>
        <x:v>10</x:v>
      </x:c>
      <x:c r="K87" s="24" t="n">
        <x:f>'原始输入与口径'!BF89</x:f>
        <x:v>0</x:v>
      </x:c>
      <x:c r="L87" s="24" t="n">
        <x:f>'原始输入与口径'!BG89</x:f>
        <x:v>0</x:v>
      </x:c>
      <x:c r="M87" s="24" t="n">
        <x:f>'原始输入与口径'!BH89</x:f>
        <x:v>0</x:v>
      </x:c>
      <x:c r="N87" s="24" t="n">
        <x:f>'原始输入与口径'!BI89</x:f>
        <x:v>0</x:v>
      </x:c>
      <x:c r="O87" s="24" t="n">
        <x:f>M87*AE87*AC87</x:f>
        <x:v>0</x:v>
      </x:c>
      <x:c r="P87" s="24" t="n">
        <x:f>N87*AF87*AC87</x:f>
        <x:v>0</x:v>
      </x:c>
      <x:c r="Q87" s="25" t="n">
        <x:f>IF(K87=0,0,IF(ISNUMBER(B87),K87*AC87*B87,NA()))</x:f>
        <x:v>0</x:v>
      </x:c>
      <x:c r="R87" s="25" t="n">
        <x:f>IF(L87=0,0,IF(ISNUMBER(C87),L87*AC87*C87*AD87,NA()))</x:f>
        <x:v>0</x:v>
      </x:c>
      <x:c r="S87" s="25" t="n">
        <x:f>IF(M87=0,0,IF(ISNUMBER(D87),M87*AC87*D87*AD87,NA()))</x:f>
        <x:v>0</x:v>
      </x:c>
      <x:c r="T87" s="25" t="n">
        <x:f>IF(N87=0,0,IF(ISNUMBER(E87),N87*AC87*E87*AD87,NA()))</x:f>
        <x:v>0</x:v>
      </x:c>
      <x:c r="U87" s="25" t="n">
        <x:f>IF(O87=0,0,IF(ISNUMBER(F87),O87*F87,NA()))</x:f>
        <x:v>0</x:v>
      </x:c>
      <x:c r="V87" s="25" t="n">
        <x:f>IF(P87=0,0,IF(ISNUMBER(G87),-P87*G87,NA()))</x:f>
        <x:v>0</x:v>
      </x:c>
      <x:c r="W87" s="25" t="n">
        <x:f>SUM(Q87:V87)</x:f>
        <x:v>0</x:v>
      </x:c>
      <x:c r="X87" s="18" t="n">
        <x:f>'原始输入与口径'!BR89</x:f>
        <x:v>0</x:v>
      </x:c>
      <x:c r="Y87" s="18" t="n">
        <x:f>W87-X87</x:f>
        <x:v>0</x:v>
      </x:c>
      <x:c r="Z87" s="18" t="str">
        <x:f>"1月1日执行｜初始化零订单"</x:f>
        <x:v>1月1日执行｜初始化零订单</x:v>
      </x:c>
      <x:c r="AA87" s="19" t="n">
        <x:f>IF('原始输入与口径'!AW89,1,0)</x:f>
        <x:v>1</x:v>
      </x:c>
      <x:c r="AB87" s="19" t="n">
        <x:f>IF('原始输入与口径'!AY89,1,0)</x:f>
        <x:v>0</x:v>
      </x:c>
      <x:c r="AC87" s="18" t="n">
        <x:f>'原始输入与口径'!E89</x:f>
        <x:v>0.25</x:v>
      </x:c>
      <x:c r="AD87" s="20" t="n">
        <x:f>'原始输入与口径'!$F$5</x:f>
        <x:v>1</x:v>
      </x:c>
      <x:c r="AE87" s="20" t="n">
        <x:f>IF(AA87=0,0,AI87/(AG87*AC87))</x:f>
        <x:v>0.18016</x:v>
      </x:c>
      <x:c r="AF87" s="20" t="n">
        <x:f>IF(AA87=0,0,AJ87/(AH87*AC87))</x:f>
        <x:v>0</x:v>
      </x:c>
      <x:c r="AG87" s="18" t="n">
        <x:f>IF(ISNUMBER('原始输入与口径'!T89),'原始输入与口径'!T89,"缺失")</x:f>
        <x:v>200</x:v>
      </x:c>
      <x:c r="AH87" s="18" t="n">
        <x:f>IF(ISNUMBER('原始输入与口径'!Y89),'原始输入与口径'!Y89,"缺失")</x:f>
        <x:v>200</x:v>
      </x:c>
      <x:c r="AI87" s="18" t="n">
        <x:f>IF(ISNUMBER('原始输入与口径'!AI89),'原始输入与口径'!AI89,"缺失")</x:f>
        <x:v>9.008</x:v>
      </x:c>
      <x:c r="AJ87" s="18" t="n">
        <x:f>IF(ISNUMBER('原始输入与口径'!AL89),'原始输入与口径'!AL89,"缺失")</x:f>
        <x:v>0</x:v>
      </x:c>
      <x:c r="AK87" s="18" t="str">
        <x:f>IF(ISNUMBER('原始输入与口径'!O89),'原始输入与口径'!O89,"缺失")</x:f>
        <x:v>缺失</x:v>
      </x:c>
      <x:c r="AL87" s="18" t="n">
        <x:f>SUMIFS('相位SOC复算'!$N$7:$N$443,'相位SOC复算'!$S$7:$S$443,81)</x:f>
        <x:v>0</x:v>
      </x:c>
      <x:c r="AM87" s="18" t="n">
        <x:f>SUMIFS('相位SOC复算'!$Q$7:$Q$443,'相位SOC复算'!$S$7:$S$443,81)</x:f>
        <x:v>0</x:v>
      </x:c>
      <x:c r="AN87" s="18" t="n">
        <x:f>SUMIFS('相位SOC复算'!$R$7:$R$443,'相位SOC复算'!$S$7:$S$443,81)</x:f>
        <x:v>0</x:v>
      </x:c>
      <x:c r="AO87" s="18" t="n">
        <x:f>'相位SOC复算'!J195</x:f>
        <x:v>10</x:v>
      </x:c>
      <x:c r="AP87" s="18" t="n">
        <x:f>AO87-J87</x:f>
        <x:v>0</x:v>
      </x:c>
      <x:c r="AQ87" s="18" t="n">
        <x:f>IF(ISBLANK('原始输入与口径'!M89),"",'原始输入与口径'!M89)</x:f>
        <x:v>4.9741</x:v>
      </x:c>
      <x:c r="AR87" s="21" t="n">
        <x:f>IF(ISBLANK('原始输入与口径'!L89),"",'原始输入与口径'!L89)</x:f>
        <x:v>45657</x:v>
      </x:c>
      <x:c r="AS87" s="17" t="n">
        <x:f>IF(ISBLANK('原始输入与口径'!A89),"",'原始输入与口径'!A89)</x:f>
        <x:v>45658.75</x:v>
      </x:c>
      <x:c r="AT87" s="18" t="str">
        <x:f>IF(ISBLANK('原始输入与口径'!I89),"",'原始输入与口径'!I89)</x:f>
        <x:v>2025-01-01_20</x:v>
      </x:c>
      <x:c r="AU87" s="19" t="n">
        <x:f>IF(ISBLANK('原始输入与口径'!J89),"",'原始输入与口径'!J89)</x:f>
        <x:v>60</x:v>
      </x:c>
      <x:c r="AV87" s="18" t="str">
        <x:f>IF(ISBLANK('原始输入与口径'!BB89),"",'原始输入与口径'!BB89)</x:f>
        <x:v>OK</x:v>
      </x:c>
    </x:row>
    <x:row r="88" ht="21" customHeight="1">
      <x:c r="A88" s="17" t="n">
        <x:f>45658.84375</x:f>
        <x:v>45658.84375</x:v>
      </x:c>
      <x:c r="B88" s="23" t="n">
        <x:f>IF(ISNUMBER('原始输入与口径'!H90),'原始输入与口径'!H90,"缺失")</x:f>
        <x:v>149.55</x:v>
      </x:c>
      <x:c r="C88" s="23" t="str">
        <x:f>IF(ISNUMBER('原始输入与口径'!R90),'原始输入与口径'!R90,"缺失")</x:f>
        <x:v>缺失</x:v>
      </x:c>
      <x:c r="D88" s="23" t="n">
        <x:f>IF(ISNUMBER('原始输入与口径'!W90),'原始输入与口径'!W90,"缺失")</x:f>
        <x:v>13.831647936310086</x:v>
      </x:c>
      <x:c r="E88" s="23" t="n">
        <x:f>IF(ISNUMBER('原始输入与口径'!AB90),'原始输入与口径'!AB90,"缺失")</x:f>
        <x:v>14.710198829939085</x:v>
      </x:c>
      <x:c r="F88" s="23" t="n">
        <x:f>IF(ISNUMBER('原始输入与口径'!AG90),'原始输入与口径'!AG90,"缺失")</x:f>
        <x:v>201.00761946884865</x:v>
      </x:c>
      <x:c r="G88" s="23" t="n">
        <x:f>IF(ISNUMBER('原始输入与口径'!AJ90),'原始输入与口径'!AJ90,"缺失")</x:f>
        <x:v>0</x:v>
      </x:c>
      <x:c r="H88" s="23" t="str">
        <x:f>"未模拟"</x:f>
        <x:v>未模拟</x:v>
      </x:c>
      <x:c r="I88" s="24" t="n">
        <x:f>'原始输入与口径'!BD90</x:f>
        <x:v>10</x:v>
      </x:c>
      <x:c r="J88" s="24" t="n">
        <x:f>'原始输入与口径'!BE90</x:f>
        <x:v>10</x:v>
      </x:c>
      <x:c r="K88" s="24" t="n">
        <x:f>'原始输入与口径'!BF90</x:f>
        <x:v>0</x:v>
      </x:c>
      <x:c r="L88" s="24" t="n">
        <x:f>'原始输入与口径'!BG90</x:f>
        <x:v>0</x:v>
      </x:c>
      <x:c r="M88" s="24" t="n">
        <x:f>'原始输入与口径'!BH90</x:f>
        <x:v>0</x:v>
      </x:c>
      <x:c r="N88" s="24" t="n">
        <x:f>'原始输入与口径'!BI90</x:f>
        <x:v>0</x:v>
      </x:c>
      <x:c r="O88" s="24" t="n">
        <x:f>M88*AE88*AC88</x:f>
        <x:v>0</x:v>
      </x:c>
      <x:c r="P88" s="24" t="n">
        <x:f>N88*AF88*AC88</x:f>
        <x:v>0</x:v>
      </x:c>
      <x:c r="Q88" s="25" t="n">
        <x:f>IF(K88=0,0,IF(ISNUMBER(B88),K88*AC88*B88,NA()))</x:f>
        <x:v>0</x:v>
      </x:c>
      <x:c r="R88" s="25" t="n">
        <x:f>IF(L88=0,0,IF(ISNUMBER(C88),L88*AC88*C88*AD88,NA()))</x:f>
        <x:v>0</x:v>
      </x:c>
      <x:c r="S88" s="25" t="n">
        <x:f>IF(M88=0,0,IF(ISNUMBER(D88),M88*AC88*D88*AD88,NA()))</x:f>
        <x:v>0</x:v>
      </x:c>
      <x:c r="T88" s="25" t="n">
        <x:f>IF(N88=0,0,IF(ISNUMBER(E88),N88*AC88*E88*AD88,NA()))</x:f>
        <x:v>0</x:v>
      </x:c>
      <x:c r="U88" s="25" t="n">
        <x:f>IF(O88=0,0,IF(ISNUMBER(F88),O88*F88,NA()))</x:f>
        <x:v>0</x:v>
      </x:c>
      <x:c r="V88" s="25" t="n">
        <x:f>IF(P88=0,0,IF(ISNUMBER(G88),-P88*G88,NA()))</x:f>
        <x:v>0</x:v>
      </x:c>
      <x:c r="W88" s="25" t="n">
        <x:f>SUM(Q88:V88)</x:f>
        <x:v>0</x:v>
      </x:c>
      <x:c r="X88" s="18" t="n">
        <x:f>'原始输入与口径'!BR90</x:f>
        <x:v>0</x:v>
      </x:c>
      <x:c r="Y88" s="18" t="n">
        <x:f>W88-X88</x:f>
        <x:v>0</x:v>
      </x:c>
      <x:c r="Z88" s="18" t="str">
        <x:f>"1月1日执行｜初始化零订单"</x:f>
        <x:v>1月1日执行｜初始化零订单</x:v>
      </x:c>
      <x:c r="AA88" s="19" t="n">
        <x:f>IF('原始输入与口径'!AW90,1,0)</x:f>
        <x:v>1</x:v>
      </x:c>
      <x:c r="AB88" s="19" t="n">
        <x:f>IF('原始输入与口径'!AY90,1,0)</x:f>
        <x:v>0</x:v>
      </x:c>
      <x:c r="AC88" s="18" t="n">
        <x:f>'原始输入与口径'!E90</x:f>
        <x:v>0.25</x:v>
      </x:c>
      <x:c r="AD88" s="20" t="n">
        <x:f>'原始输入与口径'!$F$5</x:f>
        <x:v>1</x:v>
      </x:c>
      <x:c r="AE88" s="20" t="n">
        <x:f>IF(AA88=0,0,AI88/(AG88*AC88))</x:f>
        <x:v>0.2396</x:v>
      </x:c>
      <x:c r="AF88" s="20" t="n">
        <x:f>IF(AA88=0,0,AJ88/(AH88*AC88))</x:f>
        <x:v>0</x:v>
      </x:c>
      <x:c r="AG88" s="18" t="n">
        <x:f>IF(ISNUMBER('原始输入与口径'!T90),'原始输入与口径'!T90,"缺失")</x:f>
        <x:v>200</x:v>
      </x:c>
      <x:c r="AH88" s="18" t="n">
        <x:f>IF(ISNUMBER('原始输入与口径'!Y90),'原始输入与口径'!Y90,"缺失")</x:f>
        <x:v>200</x:v>
      </x:c>
      <x:c r="AI88" s="18" t="n">
        <x:f>IF(ISNUMBER('原始输入与口径'!AI90),'原始输入与口径'!AI90,"缺失")</x:f>
        <x:v>11.98</x:v>
      </x:c>
      <x:c r="AJ88" s="18" t="n">
        <x:f>IF(ISNUMBER('原始输入与口径'!AL90),'原始输入与口径'!AL90,"缺失")</x:f>
        <x:v>0</x:v>
      </x:c>
      <x:c r="AK88" s="18" t="str">
        <x:f>IF(ISNUMBER('原始输入与口径'!O90),'原始输入与口径'!O90,"缺失")</x:f>
        <x:v>缺失</x:v>
      </x:c>
      <x:c r="AL88" s="18" t="n">
        <x:f>SUMIFS('相位SOC复算'!$N$7:$N$443,'相位SOC复算'!$S$7:$S$443,82)</x:f>
        <x:v>0</x:v>
      </x:c>
      <x:c r="AM88" s="18" t="n">
        <x:f>SUMIFS('相位SOC复算'!$Q$7:$Q$443,'相位SOC复算'!$S$7:$S$443,82)</x:f>
        <x:v>0</x:v>
      </x:c>
      <x:c r="AN88" s="18" t="n">
        <x:f>SUMIFS('相位SOC复算'!$R$7:$R$443,'相位SOC复算'!$S$7:$S$443,82)</x:f>
        <x:v>0</x:v>
      </x:c>
      <x:c r="AO88" s="18" t="n">
        <x:f>'相位SOC复算'!J197</x:f>
        <x:v>10</x:v>
      </x:c>
      <x:c r="AP88" s="18" t="n">
        <x:f>AO88-J88</x:f>
        <x:v>0</x:v>
      </x:c>
      <x:c r="AQ88" s="18" t="n">
        <x:f>IF(ISBLANK('原始输入与口径'!M90),"",'原始输入与口径'!M90)</x:f>
        <x:v>4.9741</x:v>
      </x:c>
      <x:c r="AR88" s="21" t="n">
        <x:f>IF(ISBLANK('原始输入与口径'!L90),"",'原始输入与口径'!L90)</x:f>
        <x:v>45657</x:v>
      </x:c>
      <x:c r="AS88" s="17" t="n">
        <x:f>IF(ISBLANK('原始输入与口径'!A90),"",'原始输入与口径'!A90)</x:f>
        <x:v>45658.760416666664</x:v>
      </x:c>
      <x:c r="AT88" s="18" t="str">
        <x:f>IF(ISBLANK('原始输入与口径'!I90),"",'原始输入与口径'!I90)</x:f>
        <x:v>2025-01-01_20</x:v>
      </x:c>
      <x:c r="AU88" s="19" t="n">
        <x:f>IF(ISBLANK('原始输入与口径'!J90),"",'原始输入与口径'!J90)</x:f>
        <x:v>60</x:v>
      </x:c>
      <x:c r="AV88" s="18" t="str">
        <x:f>IF(ISBLANK('原始输入与口径'!BB90),"",'原始输入与口径'!BB90)</x:f>
        <x:v>OK</x:v>
      </x:c>
    </x:row>
    <x:row r="89" ht="21" customHeight="1">
      <x:c r="A89" s="17" t="n">
        <x:f>45658.854166666664</x:f>
        <x:v>45658.854166666664</x:v>
      </x:c>
      <x:c r="B89" s="23" t="n">
        <x:f>IF(ISNUMBER('原始输入与口径'!H91),'原始输入与口径'!H91,"缺失")</x:f>
        <x:v>149.55</x:v>
      </x:c>
      <x:c r="C89" s="23" t="str">
        <x:f>IF(ISNUMBER('原始输入与口径'!R91),'原始输入与口径'!R91,"缺失")</x:f>
        <x:v>缺失</x:v>
      </x:c>
      <x:c r="D89" s="23" t="n">
        <x:f>IF(ISNUMBER('原始输入与口径'!W91),'原始输入与口径'!W91,"缺失")</x:f>
        <x:v>13.831647936310086</x:v>
      </x:c>
      <x:c r="E89" s="23" t="n">
        <x:f>IF(ISNUMBER('原始输入与口径'!AB91),'原始输入与口径'!AB91,"缺失")</x:f>
        <x:v>14.710198829939085</x:v>
      </x:c>
      <x:c r="F89" s="23" t="n">
        <x:f>IF(ISNUMBER('原始输入与口径'!AG91),'原始输入与口径'!AG91,"缺失")</x:f>
        <x:v>156.0967813272753</x:v>
      </x:c>
      <x:c r="G89" s="23" t="n">
        <x:f>IF(ISNUMBER('原始输入与口径'!AJ91),'原始输入与口径'!AJ91,"缺失")</x:f>
        <x:v>33.268732031925374</x:v>
      </x:c>
      <x:c r="H89" s="23" t="str">
        <x:f>"未模拟"</x:f>
        <x:v>未模拟</x:v>
      </x:c>
      <x:c r="I89" s="24" t="n">
        <x:f>'原始输入与口径'!BD91</x:f>
        <x:v>10</x:v>
      </x:c>
      <x:c r="J89" s="24" t="n">
        <x:f>'原始输入与口径'!BE91</x:f>
        <x:v>10</x:v>
      </x:c>
      <x:c r="K89" s="24" t="n">
        <x:f>'原始输入与口径'!BF91</x:f>
        <x:v>0</x:v>
      </x:c>
      <x:c r="L89" s="24" t="n">
        <x:f>'原始输入与口径'!BG91</x:f>
        <x:v>0</x:v>
      </x:c>
      <x:c r="M89" s="24" t="n">
        <x:f>'原始输入与口径'!BH91</x:f>
        <x:v>0</x:v>
      </x:c>
      <x:c r="N89" s="24" t="n">
        <x:f>'原始输入与口径'!BI91</x:f>
        <x:v>0</x:v>
      </x:c>
      <x:c r="O89" s="24" t="n">
        <x:f>M89*AE89*AC89</x:f>
        <x:v>0</x:v>
      </x:c>
      <x:c r="P89" s="24" t="n">
        <x:f>N89*AF89*AC89</x:f>
        <x:v>0</x:v>
      </x:c>
      <x:c r="Q89" s="25" t="n">
        <x:f>IF(K89=0,0,IF(ISNUMBER(B89),K89*AC89*B89,NA()))</x:f>
        <x:v>0</x:v>
      </x:c>
      <x:c r="R89" s="25" t="n">
        <x:f>IF(L89=0,0,IF(ISNUMBER(C89),L89*AC89*C89*AD89,NA()))</x:f>
        <x:v>0</x:v>
      </x:c>
      <x:c r="S89" s="25" t="n">
        <x:f>IF(M89=0,0,IF(ISNUMBER(D89),M89*AC89*D89*AD89,NA()))</x:f>
        <x:v>0</x:v>
      </x:c>
      <x:c r="T89" s="25" t="n">
        <x:f>IF(N89=0,0,IF(ISNUMBER(E89),N89*AC89*E89*AD89,NA()))</x:f>
        <x:v>0</x:v>
      </x:c>
      <x:c r="U89" s="25" t="n">
        <x:f>IF(O89=0,0,IF(ISNUMBER(F89),O89*F89,NA()))</x:f>
        <x:v>0</x:v>
      </x:c>
      <x:c r="V89" s="25" t="n">
        <x:f>IF(P89=0,0,IF(ISNUMBER(G89),-P89*G89,NA()))</x:f>
        <x:v>0</x:v>
      </x:c>
      <x:c r="W89" s="25" t="n">
        <x:f>SUM(Q89:V89)</x:f>
        <x:v>0</x:v>
      </x:c>
      <x:c r="X89" s="18" t="n">
        <x:f>'原始输入与口径'!BR91</x:f>
        <x:v>0</x:v>
      </x:c>
      <x:c r="Y89" s="18" t="n">
        <x:f>W89-X89</x:f>
        <x:v>0</x:v>
      </x:c>
      <x:c r="Z89" s="18" t="str">
        <x:f>"1月1日执行｜初始化零订单"</x:f>
        <x:v>1月1日执行｜初始化零订单</x:v>
      </x:c>
      <x:c r="AA89" s="19" t="n">
        <x:f>IF('原始输入与口径'!AW91,1,0)</x:f>
        <x:v>1</x:v>
      </x:c>
      <x:c r="AB89" s="19" t="n">
        <x:f>IF('原始输入与口径'!AY91,1,0)</x:f>
        <x:v>0</x:v>
      </x:c>
      <x:c r="AC89" s="18" t="n">
        <x:f>'原始输入与口径'!E91</x:f>
        <x:v>0.25</x:v>
      </x:c>
      <x:c r="AD89" s="20" t="n">
        <x:f>'原始输入与口径'!$F$5</x:f>
        <x:v>1</x:v>
      </x:c>
      <x:c r="AE89" s="20" t="n">
        <x:f>IF(AA89=0,0,AI89/(AG89*AC89))</x:f>
        <x:v>0.04014</x:v>
      </x:c>
      <x:c r="AF89" s="20" t="n">
        <x:f>IF(AA89=0,0,AJ89/(AH89*AC89))</x:f>
        <x:v>0.00962</x:v>
      </x:c>
      <x:c r="AG89" s="18" t="n">
        <x:f>IF(ISNUMBER('原始输入与口径'!T91),'原始输入与口径'!T91,"缺失")</x:f>
        <x:v>200</x:v>
      </x:c>
      <x:c r="AH89" s="18" t="n">
        <x:f>IF(ISNUMBER('原始输入与口径'!Y91),'原始输入与口径'!Y91,"缺失")</x:f>
        <x:v>200</x:v>
      </x:c>
      <x:c r="AI89" s="18" t="n">
        <x:f>IF(ISNUMBER('原始输入与口径'!AI91),'原始输入与口径'!AI91,"缺失")</x:f>
        <x:v>2.007</x:v>
      </x:c>
      <x:c r="AJ89" s="18" t="n">
        <x:f>IF(ISNUMBER('原始输入与口径'!AL91),'原始输入与口径'!AL91,"缺失")</x:f>
        <x:v>0.481</x:v>
      </x:c>
      <x:c r="AK89" s="18" t="str">
        <x:f>IF(ISNUMBER('原始输入与口径'!O91),'原始输入与口径'!O91,"缺失")</x:f>
        <x:v>缺失</x:v>
      </x:c>
      <x:c r="AL89" s="18" t="n">
        <x:f>SUMIFS('相位SOC复算'!$N$7:$N$443,'相位SOC复算'!$S$7:$S$443,83)</x:f>
        <x:v>0</x:v>
      </x:c>
      <x:c r="AM89" s="18" t="n">
        <x:f>SUMIFS('相位SOC复算'!$Q$7:$Q$443,'相位SOC复算'!$S$7:$S$443,83)</x:f>
        <x:v>0</x:v>
      </x:c>
      <x:c r="AN89" s="18" t="n">
        <x:f>SUMIFS('相位SOC复算'!$R$7:$R$443,'相位SOC复算'!$S$7:$S$443,83)</x:f>
        <x:v>0</x:v>
      </x:c>
      <x:c r="AO89" s="18" t="n">
        <x:f>'相位SOC复算'!J200</x:f>
        <x:v>10</x:v>
      </x:c>
      <x:c r="AP89" s="18" t="n">
        <x:f>AO89-J89</x:f>
        <x:v>0</x:v>
      </x:c>
      <x:c r="AQ89" s="18" t="n">
        <x:f>IF(ISBLANK('原始输入与口径'!M91),"",'原始输入与口径'!M91)</x:f>
        <x:v>4.9741</x:v>
      </x:c>
      <x:c r="AR89" s="21" t="n">
        <x:f>IF(ISBLANK('原始输入与口径'!L91),"",'原始输入与口径'!L91)</x:f>
        <x:v>45657</x:v>
      </x:c>
      <x:c r="AS89" s="17" t="n">
        <x:f>IF(ISBLANK('原始输入与口径'!A91),"",'原始输入与口径'!A91)</x:f>
        <x:v>45658.770833333336</x:v>
      </x:c>
      <x:c r="AT89" s="18" t="str">
        <x:f>IF(ISBLANK('原始输入与口径'!I91),"",'原始输入与口径'!I91)</x:f>
        <x:v>2025-01-01_20</x:v>
      </x:c>
      <x:c r="AU89" s="19" t="n">
        <x:f>IF(ISBLANK('原始输入与口径'!J91),"",'原始输入与口径'!J91)</x:f>
        <x:v>60</x:v>
      </x:c>
      <x:c r="AV89" s="18" t="str">
        <x:f>IF(ISBLANK('原始输入与口径'!BB91),"",'原始输入与口径'!BB91)</x:f>
        <x:v>OK</x:v>
      </x:c>
    </x:row>
    <x:row r="90" ht="21" customHeight="1">
      <x:c r="A90" s="17" t="n">
        <x:f>45658.864583333336</x:f>
        <x:v>45658.864583333336</x:v>
      </x:c>
      <x:c r="B90" s="23" t="n">
        <x:f>IF(ISNUMBER('原始输入与口径'!H92),'原始输入与口径'!H92,"缺失")</x:f>
        <x:v>149.55</x:v>
      </x:c>
      <x:c r="C90" s="23" t="str">
        <x:f>IF(ISNUMBER('原始输入与口径'!R92),'原始输入与口径'!R92,"缺失")</x:f>
        <x:v>缺失</x:v>
      </x:c>
      <x:c r="D90" s="23" t="n">
        <x:f>IF(ISNUMBER('原始输入与口径'!W92),'原始输入与口径'!W92,"缺失")</x:f>
        <x:v>13.831647936310086</x:v>
      </x:c>
      <x:c r="E90" s="23" t="n">
        <x:f>IF(ISNUMBER('原始输入与口径'!AB92),'原始输入与口径'!AB92,"缺失")</x:f>
        <x:v>14.710198829939085</x:v>
      </x:c>
      <x:c r="F90" s="23" t="n">
        <x:f>IF(ISNUMBER('原始输入与口径'!AG92),'原始输入与口径'!AG92,"缺失")</x:f>
        <x:v>0</x:v>
      </x:c>
      <x:c r="G90" s="23" t="n">
        <x:f>IF(ISNUMBER('原始输入与口径'!AJ92),'原始输入与口径'!AJ92,"缺失")</x:f>
        <x:v>19.747290967210148</x:v>
      </x:c>
      <x:c r="H90" s="23" t="str">
        <x:f>"未模拟"</x:f>
        <x:v>未模拟</x:v>
      </x:c>
      <x:c r="I90" s="24" t="n">
        <x:f>'原始输入与口径'!BD92</x:f>
        <x:v>10</x:v>
      </x:c>
      <x:c r="J90" s="24" t="n">
        <x:f>'原始输入与口径'!BE92</x:f>
        <x:v>10</x:v>
      </x:c>
      <x:c r="K90" s="24" t="n">
        <x:f>'原始输入与口径'!BF92</x:f>
        <x:v>0</x:v>
      </x:c>
      <x:c r="L90" s="24" t="n">
        <x:f>'原始输入与口径'!BG92</x:f>
        <x:v>0</x:v>
      </x:c>
      <x:c r="M90" s="24" t="n">
        <x:f>'原始输入与口径'!BH92</x:f>
        <x:v>0</x:v>
      </x:c>
      <x:c r="N90" s="24" t="n">
        <x:f>'原始输入与口径'!BI92</x:f>
        <x:v>0</x:v>
      </x:c>
      <x:c r="O90" s="24" t="n">
        <x:f>M90*AE90*AC90</x:f>
        <x:v>0</x:v>
      </x:c>
      <x:c r="P90" s="24" t="n">
        <x:f>N90*AF90*AC90</x:f>
        <x:v>0</x:v>
      </x:c>
      <x:c r="Q90" s="25" t="n">
        <x:f>IF(K90=0,0,IF(ISNUMBER(B90),K90*AC90*B90,NA()))</x:f>
        <x:v>0</x:v>
      </x:c>
      <x:c r="R90" s="25" t="n">
        <x:f>IF(L90=0,0,IF(ISNUMBER(C90),L90*AC90*C90*AD90,NA()))</x:f>
        <x:v>0</x:v>
      </x:c>
      <x:c r="S90" s="25" t="n">
        <x:f>IF(M90=0,0,IF(ISNUMBER(D90),M90*AC90*D90*AD90,NA()))</x:f>
        <x:v>0</x:v>
      </x:c>
      <x:c r="T90" s="25" t="n">
        <x:f>IF(N90=0,0,IF(ISNUMBER(E90),N90*AC90*E90*AD90,NA()))</x:f>
        <x:v>0</x:v>
      </x:c>
      <x:c r="U90" s="25" t="n">
        <x:f>IF(O90=0,0,IF(ISNUMBER(F90),O90*F90,NA()))</x:f>
        <x:v>0</x:v>
      </x:c>
      <x:c r="V90" s="25" t="n">
        <x:f>IF(P90=0,0,IF(ISNUMBER(G90),-P90*G90,NA()))</x:f>
        <x:v>0</x:v>
      </x:c>
      <x:c r="W90" s="25" t="n">
        <x:f>SUM(Q90:V90)</x:f>
        <x:v>0</x:v>
      </x:c>
      <x:c r="X90" s="18" t="n">
        <x:f>'原始输入与口径'!BR92</x:f>
        <x:v>0</x:v>
      </x:c>
      <x:c r="Y90" s="18" t="n">
        <x:f>W90-X90</x:f>
        <x:v>0</x:v>
      </x:c>
      <x:c r="Z90" s="18" t="str">
        <x:f>"1月1日执行｜初始化零订单"</x:f>
        <x:v>1月1日执行｜初始化零订单</x:v>
      </x:c>
      <x:c r="AA90" s="19" t="n">
        <x:f>IF('原始输入与口径'!AW92,1,0)</x:f>
        <x:v>1</x:v>
      </x:c>
      <x:c r="AB90" s="19" t="n">
        <x:f>IF('原始输入与口径'!AY92,1,0)</x:f>
        <x:v>0</x:v>
      </x:c>
      <x:c r="AC90" s="18" t="n">
        <x:f>'原始输入与口径'!E92</x:f>
        <x:v>0.25</x:v>
      </x:c>
      <x:c r="AD90" s="20" t="n">
        <x:f>'原始输入与口径'!$F$5</x:f>
        <x:v>1</x:v>
      </x:c>
      <x:c r="AE90" s="20" t="n">
        <x:f>IF(AA90=0,0,AI90/(AG90*AC90))</x:f>
        <x:v>0</x:v>
      </x:c>
      <x:c r="AF90" s="20" t="n">
        <x:f>IF(AA90=0,0,AJ90/(AH90*AC90))</x:f>
        <x:v>0.14728</x:v>
      </x:c>
      <x:c r="AG90" s="18" t="n">
        <x:f>IF(ISNUMBER('原始输入与口径'!T92),'原始输入与口径'!T92,"缺失")</x:f>
        <x:v>200</x:v>
      </x:c>
      <x:c r="AH90" s="18" t="n">
        <x:f>IF(ISNUMBER('原始输入与口径'!Y92),'原始输入与口径'!Y92,"缺失")</x:f>
        <x:v>200</x:v>
      </x:c>
      <x:c r="AI90" s="18" t="n">
        <x:f>IF(ISNUMBER('原始输入与口径'!AI92),'原始输入与口径'!AI92,"缺失")</x:f>
        <x:v>0</x:v>
      </x:c>
      <x:c r="AJ90" s="18" t="n">
        <x:f>IF(ISNUMBER('原始输入与口径'!AL92),'原始输入与口径'!AL92,"缺失")</x:f>
        <x:v>7.364</x:v>
      </x:c>
      <x:c r="AK90" s="18" t="str">
        <x:f>IF(ISNUMBER('原始输入与口径'!O92),'原始输入与口径'!O92,"缺失")</x:f>
        <x:v>缺失</x:v>
      </x:c>
      <x:c r="AL90" s="18" t="n">
        <x:f>SUMIFS('相位SOC复算'!$N$7:$N$443,'相位SOC复算'!$S$7:$S$443,84)</x:f>
        <x:v>0</x:v>
      </x:c>
      <x:c r="AM90" s="18" t="n">
        <x:f>SUMIFS('相位SOC复算'!$Q$7:$Q$443,'相位SOC复算'!$S$7:$S$443,84)</x:f>
        <x:v>0</x:v>
      </x:c>
      <x:c r="AN90" s="18" t="n">
        <x:f>SUMIFS('相位SOC复算'!$R$7:$R$443,'相位SOC复算'!$S$7:$S$443,84)</x:f>
        <x:v>0</x:v>
      </x:c>
      <x:c r="AO90" s="18" t="n">
        <x:f>'相位SOC复算'!J202</x:f>
        <x:v>10</x:v>
      </x:c>
      <x:c r="AP90" s="18" t="n">
        <x:f>AO90-J90</x:f>
        <x:v>0</x:v>
      </x:c>
      <x:c r="AQ90" s="18" t="n">
        <x:f>IF(ISBLANK('原始输入与口径'!M92),"",'原始输入与口径'!M92)</x:f>
        <x:v>4.9741</x:v>
      </x:c>
      <x:c r="AR90" s="21" t="n">
        <x:f>IF(ISBLANK('原始输入与口径'!L92),"",'原始输入与口径'!L92)</x:f>
        <x:v>45657</x:v>
      </x:c>
      <x:c r="AS90" s="17" t="n">
        <x:f>IF(ISBLANK('原始输入与口径'!A92),"",'原始输入与口径'!A92)</x:f>
        <x:v>45658.78125</x:v>
      </x:c>
      <x:c r="AT90" s="18" t="str">
        <x:f>IF(ISBLANK('原始输入与口径'!I92),"",'原始输入与口径'!I92)</x:f>
        <x:v>2025-01-01_20</x:v>
      </x:c>
      <x:c r="AU90" s="19" t="n">
        <x:f>IF(ISBLANK('原始输入与口径'!J92),"",'原始输入与口径'!J92)</x:f>
        <x:v>60</x:v>
      </x:c>
      <x:c r="AV90" s="18" t="str">
        <x:f>IF(ISBLANK('原始输入与口径'!BB92),"",'原始输入与口径'!BB92)</x:f>
        <x:v>OK</x:v>
      </x:c>
    </x:row>
    <x:row r="91" ht="21" customHeight="1">
      <x:c r="A91" s="17" t="n">
        <x:f>45658.875</x:f>
        <x:v>45658.875</x:v>
      </x:c>
      <x:c r="B91" s="23" t="n">
        <x:f>IF(ISNUMBER('原始输入与口径'!H93),'原始输入与口径'!H93,"缺失")</x:f>
        <x:v>139.62</x:v>
      </x:c>
      <x:c r="C91" s="23" t="str">
        <x:f>IF(ISNUMBER('原始输入与口径'!R93),'原始输入与口径'!R93,"缺失")</x:f>
        <x:v>缺失</x:v>
      </x:c>
      <x:c r="D91" s="23" t="n">
        <x:f>IF(ISNUMBER('原始输入与口径'!W93),'原始输入与口径'!W93,"缺失")</x:f>
        <x:v>13.831647936310086</x:v>
      </x:c>
      <x:c r="E91" s="23" t="n">
        <x:f>IF(ISNUMBER('原始输入与口径'!AB93),'原始输入与口径'!AB93,"缺失")</x:f>
        <x:v>14.710198829939085</x:v>
      </x:c>
      <x:c r="F91" s="23" t="n">
        <x:f>IF(ISNUMBER('原始输入与口径'!AG93),'原始输入与口径'!AG93,"缺失")</x:f>
        <x:v>0</x:v>
      </x:c>
      <x:c r="G91" s="23" t="n">
        <x:f>IF(ISNUMBER('原始输入与口径'!AJ93),'原始输入与口径'!AJ93,"缺失")</x:f>
        <x:v>40.80295932932591</x:v>
      </x:c>
      <x:c r="H91" s="23" t="str">
        <x:f>"未模拟"</x:f>
        <x:v>未模拟</x:v>
      </x:c>
      <x:c r="I91" s="24" t="n">
        <x:f>'原始输入与口径'!BD93</x:f>
        <x:v>10</x:v>
      </x:c>
      <x:c r="J91" s="24" t="n">
        <x:f>'原始输入与口径'!BE93</x:f>
        <x:v>10</x:v>
      </x:c>
      <x:c r="K91" s="24" t="n">
        <x:f>'原始输入与口径'!BF93</x:f>
        <x:v>0</x:v>
      </x:c>
      <x:c r="L91" s="24" t="n">
        <x:f>'原始输入与口径'!BG93</x:f>
        <x:v>0</x:v>
      </x:c>
      <x:c r="M91" s="24" t="n">
        <x:f>'原始输入与口径'!BH93</x:f>
        <x:v>0</x:v>
      </x:c>
      <x:c r="N91" s="24" t="n">
        <x:f>'原始输入与口径'!BI93</x:f>
        <x:v>0</x:v>
      </x:c>
      <x:c r="O91" s="24" t="n">
        <x:f>M91*AE91*AC91</x:f>
        <x:v>0</x:v>
      </x:c>
      <x:c r="P91" s="24" t="n">
        <x:f>N91*AF91*AC91</x:f>
        <x:v>0</x:v>
      </x:c>
      <x:c r="Q91" s="25" t="n">
        <x:f>IF(K91=0,0,IF(ISNUMBER(B91),K91*AC91*B91,NA()))</x:f>
        <x:v>0</x:v>
      </x:c>
      <x:c r="R91" s="25" t="n">
        <x:f>IF(L91=0,0,IF(ISNUMBER(C91),L91*AC91*C91*AD91,NA()))</x:f>
        <x:v>0</x:v>
      </x:c>
      <x:c r="S91" s="25" t="n">
        <x:f>IF(M91=0,0,IF(ISNUMBER(D91),M91*AC91*D91*AD91,NA()))</x:f>
        <x:v>0</x:v>
      </x:c>
      <x:c r="T91" s="25" t="n">
        <x:f>IF(N91=0,0,IF(ISNUMBER(E91),N91*AC91*E91*AD91,NA()))</x:f>
        <x:v>0</x:v>
      </x:c>
      <x:c r="U91" s="25" t="n">
        <x:f>IF(O91=0,0,IF(ISNUMBER(F91),O91*F91,NA()))</x:f>
        <x:v>0</x:v>
      </x:c>
      <x:c r="V91" s="25" t="n">
        <x:f>IF(P91=0,0,IF(ISNUMBER(G91),-P91*G91,NA()))</x:f>
        <x:v>0</x:v>
      </x:c>
      <x:c r="W91" s="25" t="n">
        <x:f>SUM(Q91:V91)</x:f>
        <x:v>0</x:v>
      </x:c>
      <x:c r="X91" s="18" t="n">
        <x:f>'原始输入与口径'!BR93</x:f>
        <x:v>0</x:v>
      </x:c>
      <x:c r="Y91" s="18" t="n">
        <x:f>W91-X91</x:f>
        <x:v>0</x:v>
      </x:c>
      <x:c r="Z91" s="18" t="str">
        <x:f>"1月1日执行｜初始化零订单"</x:f>
        <x:v>1月1日执行｜初始化零订单</x:v>
      </x:c>
      <x:c r="AA91" s="19" t="n">
        <x:f>IF('原始输入与口径'!AW93,1,0)</x:f>
        <x:v>1</x:v>
      </x:c>
      <x:c r="AB91" s="19" t="n">
        <x:f>IF('原始输入与口径'!AY93,1,0)</x:f>
        <x:v>0</x:v>
      </x:c>
      <x:c r="AC91" s="18" t="n">
        <x:f>'原始输入与口径'!E93</x:f>
        <x:v>0.25</x:v>
      </x:c>
      <x:c r="AD91" s="20" t="n">
        <x:f>'原始输入与口径'!$F$5</x:f>
        <x:v>1</x:v>
      </x:c>
      <x:c r="AE91" s="20" t="n">
        <x:f>IF(AA91=0,0,AI91/(AG91*AC91))</x:f>
        <x:v>0</x:v>
      </x:c>
      <x:c r="AF91" s="20" t="n">
        <x:f>IF(AA91=0,0,AJ91/(AH91*AC91))</x:f>
        <x:v>0.03128</x:v>
      </x:c>
      <x:c r="AG91" s="18" t="n">
        <x:f>IF(ISNUMBER('原始输入与口径'!T93),'原始输入与口径'!T93,"缺失")</x:f>
        <x:v>200</x:v>
      </x:c>
      <x:c r="AH91" s="18" t="n">
        <x:f>IF(ISNUMBER('原始输入与口径'!Y93),'原始输入与口径'!Y93,"缺失")</x:f>
        <x:v>200</x:v>
      </x:c>
      <x:c r="AI91" s="18" t="n">
        <x:f>IF(ISNUMBER('原始输入与口径'!AI93),'原始输入与口径'!AI93,"缺失")</x:f>
        <x:v>0</x:v>
      </x:c>
      <x:c r="AJ91" s="18" t="n">
        <x:f>IF(ISNUMBER('原始输入与口径'!AL93),'原始输入与口径'!AL93,"缺失")</x:f>
        <x:v>1.564</x:v>
      </x:c>
      <x:c r="AK91" s="18" t="str">
        <x:f>IF(ISNUMBER('原始输入与口径'!O93),'原始输入与口径'!O93,"缺失")</x:f>
        <x:v>缺失</x:v>
      </x:c>
      <x:c r="AL91" s="18" t="n">
        <x:f>SUMIFS('相位SOC复算'!$N$7:$N$443,'相位SOC复算'!$S$7:$S$443,85)</x:f>
        <x:v>0</x:v>
      </x:c>
      <x:c r="AM91" s="18" t="n">
        <x:f>SUMIFS('相位SOC复算'!$Q$7:$Q$443,'相位SOC复算'!$S$7:$S$443,85)</x:f>
        <x:v>0</x:v>
      </x:c>
      <x:c r="AN91" s="18" t="n">
        <x:f>SUMIFS('相位SOC复算'!$R$7:$R$443,'相位SOC复算'!$S$7:$S$443,85)</x:f>
        <x:v>0</x:v>
      </x:c>
      <x:c r="AO91" s="18" t="n">
        <x:f>'相位SOC复算'!J204</x:f>
        <x:v>10</x:v>
      </x:c>
      <x:c r="AP91" s="18" t="n">
        <x:f>AO91-J91</x:f>
        <x:v>0</x:v>
      </x:c>
      <x:c r="AQ91" s="18" t="n">
        <x:f>IF(ISBLANK('原始输入与口径'!M93),"",'原始输入与口径'!M93)</x:f>
        <x:v>4.9741</x:v>
      </x:c>
      <x:c r="AR91" s="21" t="n">
        <x:f>IF(ISBLANK('原始输入与口径'!L93),"",'原始输入与口径'!L93)</x:f>
        <x:v>45657</x:v>
      </x:c>
      <x:c r="AS91" s="17" t="n">
        <x:f>IF(ISBLANK('原始输入与口径'!A93),"",'原始输入与口径'!A93)</x:f>
        <x:v>45658.791666666664</x:v>
      </x:c>
      <x:c r="AT91" s="18" t="str">
        <x:f>IF(ISBLANK('原始输入与口径'!I93),"",'原始输入与口径'!I93)</x:f>
        <x:v>2025-01-01_21</x:v>
      </x:c>
      <x:c r="AU91" s="19" t="n">
        <x:f>IF(ISBLANK('原始输入与口径'!J93),"",'原始输入与口径'!J93)</x:f>
        <x:v>60</x:v>
      </x:c>
      <x:c r="AV91" s="18" t="str">
        <x:f>IF(ISBLANK('原始输入与口径'!BB93),"",'原始输入与口径'!BB93)</x:f>
        <x:v>OK</x:v>
      </x:c>
    </x:row>
    <x:row r="92" ht="21" customHeight="1">
      <x:c r="A92" s="17" t="n">
        <x:f>45658.885416666664</x:f>
        <x:v>45658.885416666664</x:v>
      </x:c>
      <x:c r="B92" s="23" t="n">
        <x:f>IF(ISNUMBER('原始输入与口径'!H94),'原始输入与口径'!H94,"缺失")</x:f>
        <x:v>139.62</x:v>
      </x:c>
      <x:c r="C92" s="23" t="str">
        <x:f>IF(ISNUMBER('原始输入与口径'!R94),'原始输入与口径'!R94,"缺失")</x:f>
        <x:v>缺失</x:v>
      </x:c>
      <x:c r="D92" s="23" t="n">
        <x:f>IF(ISNUMBER('原始输入与口径'!W94),'原始输入与口径'!W94,"缺失")</x:f>
        <x:v>13.831647936310086</x:v>
      </x:c>
      <x:c r="E92" s="23" t="n">
        <x:f>IF(ISNUMBER('原始输入与口径'!AB94),'原始输入与口径'!AB94,"缺失")</x:f>
        <x:v>14.710198829939085</x:v>
      </x:c>
      <x:c r="F92" s="23" t="n">
        <x:f>IF(ISNUMBER('原始输入与口径'!AG94),'原始输入与口径'!AG94,"缺失")</x:f>
        <x:v>0</x:v>
      </x:c>
      <x:c r="G92" s="23" t="n">
        <x:f>IF(ISNUMBER('原始输入与口径'!AJ94),'原始输入与口径'!AJ94,"缺失")</x:f>
        <x:v>57.110029955167775</x:v>
      </x:c>
      <x:c r="H92" s="23" t="str">
        <x:f>"未模拟"</x:f>
        <x:v>未模拟</x:v>
      </x:c>
      <x:c r="I92" s="24" t="n">
        <x:f>'原始输入与口径'!BD94</x:f>
        <x:v>10</x:v>
      </x:c>
      <x:c r="J92" s="24" t="n">
        <x:f>'原始输入与口径'!BE94</x:f>
        <x:v>10</x:v>
      </x:c>
      <x:c r="K92" s="24" t="n">
        <x:f>'原始输入与口径'!BF94</x:f>
        <x:v>0</x:v>
      </x:c>
      <x:c r="L92" s="24" t="n">
        <x:f>'原始输入与口径'!BG94</x:f>
        <x:v>0</x:v>
      </x:c>
      <x:c r="M92" s="24" t="n">
        <x:f>'原始输入与口径'!BH94</x:f>
        <x:v>0</x:v>
      </x:c>
      <x:c r="N92" s="24" t="n">
        <x:f>'原始输入与口径'!BI94</x:f>
        <x:v>0</x:v>
      </x:c>
      <x:c r="O92" s="24" t="n">
        <x:f>M92*AE92*AC92</x:f>
        <x:v>0</x:v>
      </x:c>
      <x:c r="P92" s="24" t="n">
        <x:f>N92*AF92*AC92</x:f>
        <x:v>0</x:v>
      </x:c>
      <x:c r="Q92" s="25" t="n">
        <x:f>IF(K92=0,0,IF(ISNUMBER(B92),K92*AC92*B92,NA()))</x:f>
        <x:v>0</x:v>
      </x:c>
      <x:c r="R92" s="25" t="n">
        <x:f>IF(L92=0,0,IF(ISNUMBER(C92),L92*AC92*C92*AD92,NA()))</x:f>
        <x:v>0</x:v>
      </x:c>
      <x:c r="S92" s="25" t="n">
        <x:f>IF(M92=0,0,IF(ISNUMBER(D92),M92*AC92*D92*AD92,NA()))</x:f>
        <x:v>0</x:v>
      </x:c>
      <x:c r="T92" s="25" t="n">
        <x:f>IF(N92=0,0,IF(ISNUMBER(E92),N92*AC92*E92*AD92,NA()))</x:f>
        <x:v>0</x:v>
      </x:c>
      <x:c r="U92" s="25" t="n">
        <x:f>IF(O92=0,0,IF(ISNUMBER(F92),O92*F92,NA()))</x:f>
        <x:v>0</x:v>
      </x:c>
      <x:c r="V92" s="25" t="n">
        <x:f>IF(P92=0,0,IF(ISNUMBER(G92),-P92*G92,NA()))</x:f>
        <x:v>0</x:v>
      </x:c>
      <x:c r="W92" s="25" t="n">
        <x:f>SUM(Q92:V92)</x:f>
        <x:v>0</x:v>
      </x:c>
      <x:c r="X92" s="18" t="n">
        <x:f>'原始输入与口径'!BR94</x:f>
        <x:v>0</x:v>
      </x:c>
      <x:c r="Y92" s="18" t="n">
        <x:f>W92-X92</x:f>
        <x:v>0</x:v>
      </x:c>
      <x:c r="Z92" s="18" t="str">
        <x:f>"1月1日执行｜初始化零订单"</x:f>
        <x:v>1月1日执行｜初始化零订单</x:v>
      </x:c>
      <x:c r="AA92" s="19" t="n">
        <x:f>IF('原始输入与口径'!AW94,1,0)</x:f>
        <x:v>1</x:v>
      </x:c>
      <x:c r="AB92" s="19" t="n">
        <x:f>IF('原始输入与口径'!AY94,1,0)</x:f>
        <x:v>0</x:v>
      </x:c>
      <x:c r="AC92" s="18" t="n">
        <x:f>'原始输入与口径'!E94</x:f>
        <x:v>0.25</x:v>
      </x:c>
      <x:c r="AD92" s="20" t="n">
        <x:f>'原始输入与口径'!$F$5</x:f>
        <x:v>1</x:v>
      </x:c>
      <x:c r="AE92" s="20" t="n">
        <x:f>IF(AA92=0,0,AI92/(AG92*AC92))</x:f>
        <x:v>0</x:v>
      </x:c>
      <x:c r="AF92" s="20" t="n">
        <x:f>IF(AA92=0,0,AJ92/(AH92*AC92))</x:f>
        <x:v>0.02854</x:v>
      </x:c>
      <x:c r="AG92" s="18" t="n">
        <x:f>IF(ISNUMBER('原始输入与口径'!T94),'原始输入与口径'!T94,"缺失")</x:f>
        <x:v>200</x:v>
      </x:c>
      <x:c r="AH92" s="18" t="n">
        <x:f>IF(ISNUMBER('原始输入与口径'!Y94),'原始输入与口径'!Y94,"缺失")</x:f>
        <x:v>200</x:v>
      </x:c>
      <x:c r="AI92" s="18" t="n">
        <x:f>IF(ISNUMBER('原始输入与口径'!AI94),'原始输入与口径'!AI94,"缺失")</x:f>
        <x:v>0</x:v>
      </x:c>
      <x:c r="AJ92" s="18" t="n">
        <x:f>IF(ISNUMBER('原始输入与口径'!AL94),'原始输入与口径'!AL94,"缺失")</x:f>
        <x:v>1.427</x:v>
      </x:c>
      <x:c r="AK92" s="18" t="str">
        <x:f>IF(ISNUMBER('原始输入与口径'!O94),'原始输入与口径'!O94,"缺失")</x:f>
        <x:v>缺失</x:v>
      </x:c>
      <x:c r="AL92" s="18" t="n">
        <x:f>SUMIFS('相位SOC复算'!$N$7:$N$443,'相位SOC复算'!$S$7:$S$443,86)</x:f>
        <x:v>0</x:v>
      </x:c>
      <x:c r="AM92" s="18" t="n">
        <x:f>SUMIFS('相位SOC复算'!$Q$7:$Q$443,'相位SOC复算'!$S$7:$S$443,86)</x:f>
        <x:v>0</x:v>
      </x:c>
      <x:c r="AN92" s="18" t="n">
        <x:f>SUMIFS('相位SOC复算'!$R$7:$R$443,'相位SOC复算'!$S$7:$S$443,86)</x:f>
        <x:v>0</x:v>
      </x:c>
      <x:c r="AO92" s="18" t="n">
        <x:f>'相位SOC复算'!J206</x:f>
        <x:v>10</x:v>
      </x:c>
      <x:c r="AP92" s="18" t="n">
        <x:f>AO92-J92</x:f>
        <x:v>0</x:v>
      </x:c>
      <x:c r="AQ92" s="18" t="n">
        <x:f>IF(ISBLANK('原始输入与口径'!M94),"",'原始输入与口径'!M94)</x:f>
        <x:v>4.9741</x:v>
      </x:c>
      <x:c r="AR92" s="21" t="n">
        <x:f>IF(ISBLANK('原始输入与口径'!L94),"",'原始输入与口径'!L94)</x:f>
        <x:v>45657</x:v>
      </x:c>
      <x:c r="AS92" s="17" t="n">
        <x:f>IF(ISBLANK('原始输入与口径'!A94),"",'原始输入与口径'!A94)</x:f>
        <x:v>45658.802083333336</x:v>
      </x:c>
      <x:c r="AT92" s="18" t="str">
        <x:f>IF(ISBLANK('原始输入与口径'!I94),"",'原始输入与口径'!I94)</x:f>
        <x:v>2025-01-01_21</x:v>
      </x:c>
      <x:c r="AU92" s="19" t="n">
        <x:f>IF(ISBLANK('原始输入与口径'!J94),"",'原始输入与口径'!J94)</x:f>
        <x:v>60</x:v>
      </x:c>
      <x:c r="AV92" s="18" t="str">
        <x:f>IF(ISBLANK('原始输入与口径'!BB94),"",'原始输入与口径'!BB94)</x:f>
        <x:v>OK</x:v>
      </x:c>
    </x:row>
    <x:row r="93" ht="21" customHeight="1">
      <x:c r="A93" s="17" t="n">
        <x:f>45658.895833333336</x:f>
        <x:v>45658.895833333336</x:v>
      </x:c>
      <x:c r="B93" s="23" t="n">
        <x:f>IF(ISNUMBER('原始输入与口径'!H95),'原始输入与口径'!H95,"缺失")</x:f>
        <x:v>139.62</x:v>
      </x:c>
      <x:c r="C93" s="23" t="str">
        <x:f>IF(ISNUMBER('原始输入与口径'!R95),'原始输入与口径'!R95,"缺失")</x:f>
        <x:v>缺失</x:v>
      </x:c>
      <x:c r="D93" s="23" t="n">
        <x:f>IF(ISNUMBER('原始输入与口径'!W95),'原始输入与口径'!W95,"缺失")</x:f>
        <x:v>13.831647936310086</x:v>
      </x:c>
      <x:c r="E93" s="23" t="n">
        <x:f>IF(ISNUMBER('原始输入与口径'!AB95),'原始输入与口径'!AB95,"缺失")</x:f>
        <x:v>14.710198829939085</x:v>
      </x:c>
      <x:c r="F93" s="23" t="n">
        <x:f>IF(ISNUMBER('原始输入与口径'!AG95),'原始输入与口径'!AG95,"缺失")</x:f>
        <x:v>136.70814820771596</x:v>
      </x:c>
      <x:c r="G93" s="23" t="n">
        <x:f>IF(ISNUMBER('原始输入与口径'!AJ95),'原始输入与口径'!AJ95,"缺失")</x:f>
        <x:v>58.3020043827024</x:v>
      </x:c>
      <x:c r="H93" s="23" t="str">
        <x:f>"未模拟"</x:f>
        <x:v>未模拟</x:v>
      </x:c>
      <x:c r="I93" s="24" t="n">
        <x:f>'原始输入与口径'!BD95</x:f>
        <x:v>10</x:v>
      </x:c>
      <x:c r="J93" s="24" t="n">
        <x:f>'原始输入与口径'!BE95</x:f>
        <x:v>10</x:v>
      </x:c>
      <x:c r="K93" s="24" t="n">
        <x:f>'原始输入与口径'!BF95</x:f>
        <x:v>0</x:v>
      </x:c>
      <x:c r="L93" s="24" t="n">
        <x:f>'原始输入与口径'!BG95</x:f>
        <x:v>0</x:v>
      </x:c>
      <x:c r="M93" s="24" t="n">
        <x:f>'原始输入与口径'!BH95</x:f>
        <x:v>0</x:v>
      </x:c>
      <x:c r="N93" s="24" t="n">
        <x:f>'原始输入与口径'!BI95</x:f>
        <x:v>0</x:v>
      </x:c>
      <x:c r="O93" s="24" t="n">
        <x:f>M93*AE93*AC93</x:f>
        <x:v>0</x:v>
      </x:c>
      <x:c r="P93" s="24" t="n">
        <x:f>N93*AF93*AC93</x:f>
        <x:v>0</x:v>
      </x:c>
      <x:c r="Q93" s="25" t="n">
        <x:f>IF(K93=0,0,IF(ISNUMBER(B93),K93*AC93*B93,NA()))</x:f>
        <x:v>0</x:v>
      </x:c>
      <x:c r="R93" s="25" t="n">
        <x:f>IF(L93=0,0,IF(ISNUMBER(C93),L93*AC93*C93*AD93,NA()))</x:f>
        <x:v>0</x:v>
      </x:c>
      <x:c r="S93" s="25" t="n">
        <x:f>IF(M93=0,0,IF(ISNUMBER(D93),M93*AC93*D93*AD93,NA()))</x:f>
        <x:v>0</x:v>
      </x:c>
      <x:c r="T93" s="25" t="n">
        <x:f>IF(N93=0,0,IF(ISNUMBER(E93),N93*AC93*E93*AD93,NA()))</x:f>
        <x:v>0</x:v>
      </x:c>
      <x:c r="U93" s="25" t="n">
        <x:f>IF(O93=0,0,IF(ISNUMBER(F93),O93*F93,NA()))</x:f>
        <x:v>0</x:v>
      </x:c>
      <x:c r="V93" s="25" t="n">
        <x:f>IF(P93=0,0,IF(ISNUMBER(G93),-P93*G93,NA()))</x:f>
        <x:v>0</x:v>
      </x:c>
      <x:c r="W93" s="25" t="n">
        <x:f>SUM(Q93:V93)</x:f>
        <x:v>0</x:v>
      </x:c>
      <x:c r="X93" s="18" t="n">
        <x:f>'原始输入与口径'!BR95</x:f>
        <x:v>0</x:v>
      </x:c>
      <x:c r="Y93" s="18" t="n">
        <x:f>W93-X93</x:f>
        <x:v>0</x:v>
      </x:c>
      <x:c r="Z93" s="18" t="str">
        <x:f>"1月1日执行｜初始化零订单"</x:f>
        <x:v>1月1日执行｜初始化零订单</x:v>
      </x:c>
      <x:c r="AA93" s="19" t="n">
        <x:f>IF('原始输入与口径'!AW95,1,0)</x:f>
        <x:v>1</x:v>
      </x:c>
      <x:c r="AB93" s="19" t="n">
        <x:f>IF('原始输入与口径'!AY95,1,0)</x:f>
        <x:v>0</x:v>
      </x:c>
      <x:c r="AC93" s="18" t="n">
        <x:f>'原始输入与口径'!E95</x:f>
        <x:v>0.25</x:v>
      </x:c>
      <x:c r="AD93" s="20" t="n">
        <x:f>'原始输入与口径'!$F$5</x:f>
        <x:v>1</x:v>
      </x:c>
      <x:c r="AE93" s="20" t="n">
        <x:f>IF(AA93=0,0,AI93/(AG93*AC93))</x:f>
        <x:v>0.00192</x:v>
      </x:c>
      <x:c r="AF93" s="20" t="n">
        <x:f>IF(AA93=0,0,AJ93/(AH93*AC93))</x:f>
        <x:v>0.00306</x:v>
      </x:c>
      <x:c r="AG93" s="18" t="n">
        <x:f>IF(ISNUMBER('原始输入与口径'!T95),'原始输入与口径'!T95,"缺失")</x:f>
        <x:v>200</x:v>
      </x:c>
      <x:c r="AH93" s="18" t="n">
        <x:f>IF(ISNUMBER('原始输入与口径'!Y95),'原始输入与口径'!Y95,"缺失")</x:f>
        <x:v>200</x:v>
      </x:c>
      <x:c r="AI93" s="18" t="n">
        <x:f>IF(ISNUMBER('原始输入与口径'!AI95),'原始输入与口径'!AI95,"缺失")</x:f>
        <x:v>0.096</x:v>
      </x:c>
      <x:c r="AJ93" s="18" t="n">
        <x:f>IF(ISNUMBER('原始输入与口径'!AL95),'原始输入与口径'!AL95,"缺失")</x:f>
        <x:v>0.153</x:v>
      </x:c>
      <x:c r="AK93" s="18" t="str">
        <x:f>IF(ISNUMBER('原始输入与口径'!O95),'原始输入与口径'!O95,"缺失")</x:f>
        <x:v>缺失</x:v>
      </x:c>
      <x:c r="AL93" s="18" t="n">
        <x:f>SUMIFS('相位SOC复算'!$N$7:$N$443,'相位SOC复算'!$S$7:$S$443,87)</x:f>
        <x:v>0</x:v>
      </x:c>
      <x:c r="AM93" s="18" t="n">
        <x:f>SUMIFS('相位SOC复算'!$Q$7:$Q$443,'相位SOC复算'!$S$7:$S$443,87)</x:f>
        <x:v>0</x:v>
      </x:c>
      <x:c r="AN93" s="18" t="n">
        <x:f>SUMIFS('相位SOC复算'!$R$7:$R$443,'相位SOC复算'!$S$7:$S$443,87)</x:f>
        <x:v>0</x:v>
      </x:c>
      <x:c r="AO93" s="18" t="n">
        <x:f>'相位SOC复算'!J209</x:f>
        <x:v>10</x:v>
      </x:c>
      <x:c r="AP93" s="18" t="n">
        <x:f>AO93-J93</x:f>
        <x:v>0</x:v>
      </x:c>
      <x:c r="AQ93" s="18" t="n">
        <x:f>IF(ISBLANK('原始输入与口径'!M95),"",'原始输入与口径'!M95)</x:f>
        <x:v>4.9741</x:v>
      </x:c>
      <x:c r="AR93" s="21" t="n">
        <x:f>IF(ISBLANK('原始输入与口径'!L95),"",'原始输入与口径'!L95)</x:f>
        <x:v>45657</x:v>
      </x:c>
      <x:c r="AS93" s="17" t="n">
        <x:f>IF(ISBLANK('原始输入与口径'!A95),"",'原始输入与口径'!A95)</x:f>
        <x:v>45658.8125</x:v>
      </x:c>
      <x:c r="AT93" s="18" t="str">
        <x:f>IF(ISBLANK('原始输入与口径'!I95),"",'原始输入与口径'!I95)</x:f>
        <x:v>2025-01-01_21</x:v>
      </x:c>
      <x:c r="AU93" s="19" t="n">
        <x:f>IF(ISBLANK('原始输入与口径'!J95),"",'原始输入与口径'!J95)</x:f>
        <x:v>60</x:v>
      </x:c>
      <x:c r="AV93" s="18" t="str">
        <x:f>IF(ISBLANK('原始输入与口径'!BB95),"",'原始输入与口径'!BB95)</x:f>
        <x:v>OK</x:v>
      </x:c>
    </x:row>
    <x:row r="94" ht="21" customHeight="1">
      <x:c r="A94" s="17" t="n">
        <x:f>45658.90625</x:f>
        <x:v>45658.90625</x:v>
      </x:c>
      <x:c r="B94" s="23" t="n">
        <x:f>IF(ISNUMBER('原始输入与口径'!H96),'原始输入与口径'!H96,"缺失")</x:f>
        <x:v>139.62</x:v>
      </x:c>
      <x:c r="C94" s="23" t="str">
        <x:f>IF(ISNUMBER('原始输入与口径'!R96),'原始输入与口径'!R96,"缺失")</x:f>
        <x:v>缺失</x:v>
      </x:c>
      <x:c r="D94" s="23" t="n">
        <x:f>IF(ISNUMBER('原始输入与口径'!W96),'原始输入与口径'!W96,"缺失")</x:f>
        <x:v>13.831647936310086</x:v>
      </x:c>
      <x:c r="E94" s="23" t="n">
        <x:f>IF(ISNUMBER('原始输入与口径'!AB96),'原始输入与口径'!AB96,"缺失")</x:f>
        <x:v>14.710198829939085</x:v>
      </x:c>
      <x:c r="F94" s="23" t="n">
        <x:f>IF(ISNUMBER('原始输入与口径'!AG96),'原始输入与口径'!AG96,"缺失")</x:f>
        <x:v>136.70814820771596</x:v>
      </x:c>
      <x:c r="G94" s="23" t="n">
        <x:f>IF(ISNUMBER('原始输入与口径'!AJ96),'原始输入与口径'!AJ96,"缺失")</x:f>
        <x:v>58.3020043827024</x:v>
      </x:c>
      <x:c r="H94" s="23" t="str">
        <x:f>"未模拟"</x:f>
        <x:v>未模拟</x:v>
      </x:c>
      <x:c r="I94" s="24" t="n">
        <x:f>'原始输入与口径'!BD96</x:f>
        <x:v>10</x:v>
      </x:c>
      <x:c r="J94" s="24" t="n">
        <x:f>'原始输入与口径'!BE96</x:f>
        <x:v>10</x:v>
      </x:c>
      <x:c r="K94" s="24" t="n">
        <x:f>'原始输入与口径'!BF96</x:f>
        <x:v>0</x:v>
      </x:c>
      <x:c r="L94" s="24" t="n">
        <x:f>'原始输入与口径'!BG96</x:f>
        <x:v>0</x:v>
      </x:c>
      <x:c r="M94" s="24" t="n">
        <x:f>'原始输入与口径'!BH96</x:f>
        <x:v>0</x:v>
      </x:c>
      <x:c r="N94" s="24" t="n">
        <x:f>'原始输入与口径'!BI96</x:f>
        <x:v>0</x:v>
      </x:c>
      <x:c r="O94" s="24" t="n">
        <x:f>M94*AE94*AC94</x:f>
        <x:v>0</x:v>
      </x:c>
      <x:c r="P94" s="24" t="n">
        <x:f>N94*AF94*AC94</x:f>
        <x:v>0</x:v>
      </x:c>
      <x:c r="Q94" s="25" t="n">
        <x:f>IF(K94=0,0,IF(ISNUMBER(B94),K94*AC94*B94,NA()))</x:f>
        <x:v>0</x:v>
      </x:c>
      <x:c r="R94" s="25" t="n">
        <x:f>IF(L94=0,0,IF(ISNUMBER(C94),L94*AC94*C94*AD94,NA()))</x:f>
        <x:v>0</x:v>
      </x:c>
      <x:c r="S94" s="25" t="n">
        <x:f>IF(M94=0,0,IF(ISNUMBER(D94),M94*AC94*D94*AD94,NA()))</x:f>
        <x:v>0</x:v>
      </x:c>
      <x:c r="T94" s="25" t="n">
        <x:f>IF(N94=0,0,IF(ISNUMBER(E94),N94*AC94*E94*AD94,NA()))</x:f>
        <x:v>0</x:v>
      </x:c>
      <x:c r="U94" s="25" t="n">
        <x:f>IF(O94=0,0,IF(ISNUMBER(F94),O94*F94,NA()))</x:f>
        <x:v>0</x:v>
      </x:c>
      <x:c r="V94" s="25" t="n">
        <x:f>IF(P94=0,0,IF(ISNUMBER(G94),-P94*G94,NA()))</x:f>
        <x:v>0</x:v>
      </x:c>
      <x:c r="W94" s="25" t="n">
        <x:f>SUM(Q94:V94)</x:f>
        <x:v>0</x:v>
      </x:c>
      <x:c r="X94" s="18" t="n">
        <x:f>'原始输入与口径'!BR96</x:f>
        <x:v>0</x:v>
      </x:c>
      <x:c r="Y94" s="18" t="n">
        <x:f>W94-X94</x:f>
        <x:v>0</x:v>
      </x:c>
      <x:c r="Z94" s="18" t="str">
        <x:f>"1月1日执行｜初始化零订单"</x:f>
        <x:v>1月1日执行｜初始化零订单</x:v>
      </x:c>
      <x:c r="AA94" s="19" t="n">
        <x:f>IF('原始输入与口径'!AW96,1,0)</x:f>
        <x:v>1</x:v>
      </x:c>
      <x:c r="AB94" s="19" t="n">
        <x:f>IF('原始输入与口径'!AY96,1,0)</x:f>
        <x:v>0</x:v>
      </x:c>
      <x:c r="AC94" s="18" t="n">
        <x:f>'原始输入与口径'!E96</x:f>
        <x:v>0.25</x:v>
      </x:c>
      <x:c r="AD94" s="20" t="n">
        <x:f>'原始输入与口径'!$F$5</x:f>
        <x:v>1</x:v>
      </x:c>
      <x:c r="AE94" s="20" t="n">
        <x:f>IF(AA94=0,0,AI94/(AG94*AC94))</x:f>
        <x:v>0.013500000000000002</x:v>
      </x:c>
      <x:c r="AF94" s="20" t="n">
        <x:f>IF(AA94=0,0,AJ94/(AH94*AC94))</x:f>
        <x:v>0.00004</x:v>
      </x:c>
      <x:c r="AG94" s="18" t="n">
        <x:f>IF(ISNUMBER('原始输入与口径'!T96),'原始输入与口径'!T96,"缺失")</x:f>
        <x:v>200</x:v>
      </x:c>
      <x:c r="AH94" s="18" t="n">
        <x:f>IF(ISNUMBER('原始输入与口径'!Y96),'原始输入与口径'!Y96,"缺失")</x:f>
        <x:v>200</x:v>
      </x:c>
      <x:c r="AI94" s="18" t="n">
        <x:f>IF(ISNUMBER('原始输入与口径'!AI96),'原始输入与口径'!AI96,"缺失")</x:f>
        <x:v>0.675</x:v>
      </x:c>
      <x:c r="AJ94" s="18" t="n">
        <x:f>IF(ISNUMBER('原始输入与口径'!AL96),'原始输入与口径'!AL96,"缺失")</x:f>
        <x:v>0.002</x:v>
      </x:c>
      <x:c r="AK94" s="18" t="str">
        <x:f>IF(ISNUMBER('原始输入与口径'!O96),'原始输入与口径'!O96,"缺失")</x:f>
        <x:v>缺失</x:v>
      </x:c>
      <x:c r="AL94" s="18" t="n">
        <x:f>SUMIFS('相位SOC复算'!$N$7:$N$443,'相位SOC复算'!$S$7:$S$443,88)</x:f>
        <x:v>0</x:v>
      </x:c>
      <x:c r="AM94" s="18" t="n">
        <x:f>SUMIFS('相位SOC复算'!$Q$7:$Q$443,'相位SOC复算'!$S$7:$S$443,88)</x:f>
        <x:v>0</x:v>
      </x:c>
      <x:c r="AN94" s="18" t="n">
        <x:f>SUMIFS('相位SOC复算'!$R$7:$R$443,'相位SOC复算'!$S$7:$S$443,88)</x:f>
        <x:v>0</x:v>
      </x:c>
      <x:c r="AO94" s="18" t="n">
        <x:f>'相位SOC复算'!J212</x:f>
        <x:v>10</x:v>
      </x:c>
      <x:c r="AP94" s="18" t="n">
        <x:f>AO94-J94</x:f>
        <x:v>0</x:v>
      </x:c>
      <x:c r="AQ94" s="18" t="n">
        <x:f>IF(ISBLANK('原始输入与口径'!M96),"",'原始输入与口径'!M96)</x:f>
        <x:v>4.9741</x:v>
      </x:c>
      <x:c r="AR94" s="21" t="n">
        <x:f>IF(ISBLANK('原始输入与口径'!L96),"",'原始输入与口径'!L96)</x:f>
        <x:v>45657</x:v>
      </x:c>
      <x:c r="AS94" s="17" t="n">
        <x:f>IF(ISBLANK('原始输入与口径'!A96),"",'原始输入与口径'!A96)</x:f>
        <x:v>45658.822916666664</x:v>
      </x:c>
      <x:c r="AT94" s="18" t="str">
        <x:f>IF(ISBLANK('原始输入与口径'!I96),"",'原始输入与口径'!I96)</x:f>
        <x:v>2025-01-01_21</x:v>
      </x:c>
      <x:c r="AU94" s="19" t="n">
        <x:f>IF(ISBLANK('原始输入与口径'!J96),"",'原始输入与口径'!J96)</x:f>
        <x:v>60</x:v>
      </x:c>
      <x:c r="AV94" s="18" t="str">
        <x:f>IF(ISBLANK('原始输入与口径'!BB96),"",'原始输入与口径'!BB96)</x:f>
        <x:v>OK</x:v>
      </x:c>
    </x:row>
    <x:row r="95" ht="21" customHeight="1">
      <x:c r="A95" s="17" t="n">
        <x:f>45658.916666666664</x:f>
        <x:v>45658.916666666664</x:v>
      </x:c>
      <x:c r="B95" s="23" t="n">
        <x:f>IF(ISNUMBER('原始输入与口径'!H97),'原始输入与口径'!H97,"缺失")</x:f>
        <x:v>131.4</x:v>
      </x:c>
      <x:c r="C95" s="23" t="str">
        <x:f>IF(ISNUMBER('原始输入与口径'!R97),'原始输入与口径'!R97,"缺失")</x:f>
        <x:v>缺失</x:v>
      </x:c>
      <x:c r="D95" s="23" t="n">
        <x:f>IF(ISNUMBER('原始输入与口径'!W97),'原始输入与口径'!W97,"缺失")</x:f>
        <x:v>13.831647936310086</x:v>
      </x:c>
      <x:c r="E95" s="23" t="n">
        <x:f>IF(ISNUMBER('原始输入与口径'!AB97),'原始输入与口径'!AB97,"缺失")</x:f>
        <x:v>14.710198829939085</x:v>
      </x:c>
      <x:c r="F95" s="23" t="n">
        <x:f>IF(ISNUMBER('原始输入与口径'!AG97),'原始输入与口径'!AG97,"缺失")</x:f>
        <x:v>210.29512876701313</x:v>
      </x:c>
      <x:c r="G95" s="23" t="n">
        <x:f>IF(ISNUMBER('原始输入与口径'!AJ97),'原始输入与口径'!AJ97,"缺失")</x:f>
        <x:v>0</x:v>
      </x:c>
      <x:c r="H95" s="23" t="str">
        <x:f>"未模拟"</x:f>
        <x:v>未模拟</x:v>
      </x:c>
      <x:c r="I95" s="24" t="n">
        <x:f>'原始输入与口径'!BD97</x:f>
        <x:v>10</x:v>
      </x:c>
      <x:c r="J95" s="24" t="n">
        <x:f>'原始输入与口径'!BE97</x:f>
        <x:v>10</x:v>
      </x:c>
      <x:c r="K95" s="24" t="n">
        <x:f>'原始输入与口径'!BF97</x:f>
        <x:v>0</x:v>
      </x:c>
      <x:c r="L95" s="24" t="n">
        <x:f>'原始输入与口径'!BG97</x:f>
        <x:v>0</x:v>
      </x:c>
      <x:c r="M95" s="24" t="n">
        <x:f>'原始输入与口径'!BH97</x:f>
        <x:v>0</x:v>
      </x:c>
      <x:c r="N95" s="24" t="n">
        <x:f>'原始输入与口径'!BI97</x:f>
        <x:v>0</x:v>
      </x:c>
      <x:c r="O95" s="24" t="n">
        <x:f>M95*AE95*AC95</x:f>
        <x:v>0</x:v>
      </x:c>
      <x:c r="P95" s="24" t="n">
        <x:f>N95*AF95*AC95</x:f>
        <x:v>0</x:v>
      </x:c>
      <x:c r="Q95" s="25" t="n">
        <x:f>IF(K95=0,0,IF(ISNUMBER(B95),K95*AC95*B95,NA()))</x:f>
        <x:v>0</x:v>
      </x:c>
      <x:c r="R95" s="25" t="n">
        <x:f>IF(L95=0,0,IF(ISNUMBER(C95),L95*AC95*C95*AD95,NA()))</x:f>
        <x:v>0</x:v>
      </x:c>
      <x:c r="S95" s="25" t="n">
        <x:f>IF(M95=0,0,IF(ISNUMBER(D95),M95*AC95*D95*AD95,NA()))</x:f>
        <x:v>0</x:v>
      </x:c>
      <x:c r="T95" s="25" t="n">
        <x:f>IF(N95=0,0,IF(ISNUMBER(E95),N95*AC95*E95*AD95,NA()))</x:f>
        <x:v>0</x:v>
      </x:c>
      <x:c r="U95" s="25" t="n">
        <x:f>IF(O95=0,0,IF(ISNUMBER(F95),O95*F95,NA()))</x:f>
        <x:v>0</x:v>
      </x:c>
      <x:c r="V95" s="25" t="n">
        <x:f>IF(P95=0,0,IF(ISNUMBER(G95),-P95*G95,NA()))</x:f>
        <x:v>0</x:v>
      </x:c>
      <x:c r="W95" s="25" t="n">
        <x:f>SUM(Q95:V95)</x:f>
        <x:v>0</x:v>
      </x:c>
      <x:c r="X95" s="18" t="n">
        <x:f>'原始输入与口径'!BR97</x:f>
        <x:v>0</x:v>
      </x:c>
      <x:c r="Y95" s="18" t="n">
        <x:f>W95-X95</x:f>
        <x:v>0</x:v>
      </x:c>
      <x:c r="Z95" s="18" t="str">
        <x:f>"1月1日执行｜初始化零订单"</x:f>
        <x:v>1月1日执行｜初始化零订单</x:v>
      </x:c>
      <x:c r="AA95" s="19" t="n">
        <x:f>IF('原始输入与口径'!AW97,1,0)</x:f>
        <x:v>1</x:v>
      </x:c>
      <x:c r="AB95" s="19" t="n">
        <x:f>IF('原始输入与口径'!AY97,1,0)</x:f>
        <x:v>0</x:v>
      </x:c>
      <x:c r="AC95" s="18" t="n">
        <x:f>'原始输入与口径'!E97</x:f>
        <x:v>0.25</x:v>
      </x:c>
      <x:c r="AD95" s="20" t="n">
        <x:f>'原始输入与口径'!$F$5</x:f>
        <x:v>1</x:v>
      </x:c>
      <x:c r="AE95" s="20" t="n">
        <x:f>IF(AA95=0,0,AI95/(AG95*AC95))</x:f>
        <x:v>0.31766</x:v>
      </x:c>
      <x:c r="AF95" s="20" t="n">
        <x:f>IF(AA95=0,0,AJ95/(AH95*AC95))</x:f>
        <x:v>0</x:v>
      </x:c>
      <x:c r="AG95" s="18" t="n">
        <x:f>IF(ISNUMBER('原始输入与口径'!T97),'原始输入与口径'!T97,"缺失")</x:f>
        <x:v>200</x:v>
      </x:c>
      <x:c r="AH95" s="18" t="n">
        <x:f>IF(ISNUMBER('原始输入与口径'!Y97),'原始输入与口径'!Y97,"缺失")</x:f>
        <x:v>200</x:v>
      </x:c>
      <x:c r="AI95" s="18" t="n">
        <x:f>IF(ISNUMBER('原始输入与口径'!AI97),'原始输入与口径'!AI97,"缺失")</x:f>
        <x:v>15.883</x:v>
      </x:c>
      <x:c r="AJ95" s="18" t="n">
        <x:f>IF(ISNUMBER('原始输入与口径'!AL97),'原始输入与口径'!AL97,"缺失")</x:f>
        <x:v>0</x:v>
      </x:c>
      <x:c r="AK95" s="18" t="str">
        <x:f>IF(ISNUMBER('原始输入与口径'!O97),'原始输入与口径'!O97,"缺失")</x:f>
        <x:v>缺失</x:v>
      </x:c>
      <x:c r="AL95" s="18" t="n">
        <x:f>SUMIFS('相位SOC复算'!$N$7:$N$443,'相位SOC复算'!$S$7:$S$443,89)</x:f>
        <x:v>0</x:v>
      </x:c>
      <x:c r="AM95" s="18" t="n">
        <x:f>SUMIFS('相位SOC复算'!$Q$7:$Q$443,'相位SOC复算'!$S$7:$S$443,89)</x:f>
        <x:v>0</x:v>
      </x:c>
      <x:c r="AN95" s="18" t="n">
        <x:f>SUMIFS('相位SOC复算'!$R$7:$R$443,'相位SOC复算'!$S$7:$S$443,89)</x:f>
        <x:v>0</x:v>
      </x:c>
      <x:c r="AO95" s="18" t="n">
        <x:f>'相位SOC复算'!J214</x:f>
        <x:v>10</x:v>
      </x:c>
      <x:c r="AP95" s="18" t="n">
        <x:f>AO95-J95</x:f>
        <x:v>0</x:v>
      </x:c>
      <x:c r="AQ95" s="18" t="n">
        <x:f>IF(ISBLANK('原始输入与口径'!M97),"",'原始输入与口径'!M97)</x:f>
        <x:v>4.9741</x:v>
      </x:c>
      <x:c r="AR95" s="21" t="n">
        <x:f>IF(ISBLANK('原始输入与口径'!L97),"",'原始输入与口径'!L97)</x:f>
        <x:v>45657</x:v>
      </x:c>
      <x:c r="AS95" s="17" t="n">
        <x:f>IF(ISBLANK('原始输入与口径'!A97),"",'原始输入与口径'!A97)</x:f>
        <x:v>45658.833333333336</x:v>
      </x:c>
      <x:c r="AT95" s="18" t="str">
        <x:f>IF(ISBLANK('原始输入与口径'!I97),"",'原始输入与口径'!I97)</x:f>
        <x:v>2025-01-01_22</x:v>
      </x:c>
      <x:c r="AU95" s="19" t="n">
        <x:f>IF(ISBLANK('原始输入与口径'!J97),"",'原始输入与口径'!J97)</x:f>
        <x:v>60</x:v>
      </x:c>
      <x:c r="AV95" s="18" t="str">
        <x:f>IF(ISBLANK('原始输入与口径'!BB97),"",'原始输入与口径'!BB97)</x:f>
        <x:v>OK</x:v>
      </x:c>
    </x:row>
    <x:row r="96" ht="21" customHeight="1">
      <x:c r="A96" s="17" t="n">
        <x:f>45658.927083333336</x:f>
        <x:v>45658.927083333336</x:v>
      </x:c>
      <x:c r="B96" s="23" t="n">
        <x:f>IF(ISNUMBER('原始输入与口径'!H98),'原始输入与口径'!H98,"缺失")</x:f>
        <x:v>131.4</x:v>
      </x:c>
      <x:c r="C96" s="23" t="str">
        <x:f>IF(ISNUMBER('原始输入与口径'!R98),'原始输入与口径'!R98,"缺失")</x:f>
        <x:v>缺失</x:v>
      </x:c>
      <x:c r="D96" s="23" t="n">
        <x:f>IF(ISNUMBER('原始输入与口径'!W98),'原始输入与口径'!W98,"缺失")</x:f>
        <x:v>13.831647936310086</x:v>
      </x:c>
      <x:c r="E96" s="23" t="n">
        <x:f>IF(ISNUMBER('原始输入与口径'!AB98),'原始输入与口径'!AB98,"缺失")</x:f>
        <x:v>14.710198829939085</x:v>
      </x:c>
      <x:c r="F96" s="23" t="n">
        <x:f>IF(ISNUMBER('原始输入与口径'!AG98),'原始输入与口径'!AG98,"缺失")</x:f>
        <x:v>190.3071912506785</x:v>
      </x:c>
      <x:c r="G96" s="23" t="n">
        <x:f>IF(ISNUMBER('原始输入与口径'!AJ98),'原始输入与口径'!AJ98,"缺失")</x:f>
        <x:v>0</x:v>
      </x:c>
      <x:c r="H96" s="23" t="str">
        <x:f>"未模拟"</x:f>
        <x:v>未模拟</x:v>
      </x:c>
      <x:c r="I96" s="24" t="n">
        <x:f>'原始输入与口径'!BD98</x:f>
        <x:v>10</x:v>
      </x:c>
      <x:c r="J96" s="24" t="n">
        <x:f>'原始输入与口径'!BE98</x:f>
        <x:v>10</x:v>
      </x:c>
      <x:c r="K96" s="24" t="n">
        <x:f>'原始输入与口径'!BF98</x:f>
        <x:v>0</x:v>
      </x:c>
      <x:c r="L96" s="24" t="n">
        <x:f>'原始输入与口径'!BG98</x:f>
        <x:v>0</x:v>
      </x:c>
      <x:c r="M96" s="24" t="n">
        <x:f>'原始输入与口径'!BH98</x:f>
        <x:v>0</x:v>
      </x:c>
      <x:c r="N96" s="24" t="n">
        <x:f>'原始输入与口径'!BI98</x:f>
        <x:v>0</x:v>
      </x:c>
      <x:c r="O96" s="24" t="n">
        <x:f>M96*AE96*AC96</x:f>
        <x:v>0</x:v>
      </x:c>
      <x:c r="P96" s="24" t="n">
        <x:f>N96*AF96*AC96</x:f>
        <x:v>0</x:v>
      </x:c>
      <x:c r="Q96" s="25" t="n">
        <x:f>IF(K96=0,0,IF(ISNUMBER(B96),K96*AC96*B96,NA()))</x:f>
        <x:v>0</x:v>
      </x:c>
      <x:c r="R96" s="25" t="n">
        <x:f>IF(L96=0,0,IF(ISNUMBER(C96),L96*AC96*C96*AD96,NA()))</x:f>
        <x:v>0</x:v>
      </x:c>
      <x:c r="S96" s="25" t="n">
        <x:f>IF(M96=0,0,IF(ISNUMBER(D96),M96*AC96*D96*AD96,NA()))</x:f>
        <x:v>0</x:v>
      </x:c>
      <x:c r="T96" s="25" t="n">
        <x:f>IF(N96=0,0,IF(ISNUMBER(E96),N96*AC96*E96*AD96,NA()))</x:f>
        <x:v>0</x:v>
      </x:c>
      <x:c r="U96" s="25" t="n">
        <x:f>IF(O96=0,0,IF(ISNUMBER(F96),O96*F96,NA()))</x:f>
        <x:v>0</x:v>
      </x:c>
      <x:c r="V96" s="25" t="n">
        <x:f>IF(P96=0,0,IF(ISNUMBER(G96),-P96*G96,NA()))</x:f>
        <x:v>0</x:v>
      </x:c>
      <x:c r="W96" s="25" t="n">
        <x:f>SUM(Q96:V96)</x:f>
        <x:v>0</x:v>
      </x:c>
      <x:c r="X96" s="18" t="n">
        <x:f>'原始输入与口径'!BR98</x:f>
        <x:v>0</x:v>
      </x:c>
      <x:c r="Y96" s="18" t="n">
        <x:f>W96-X96</x:f>
        <x:v>0</x:v>
      </x:c>
      <x:c r="Z96" s="18" t="str">
        <x:f>"1月1日执行｜初始化零订单"</x:f>
        <x:v>1月1日执行｜初始化零订单</x:v>
      </x:c>
      <x:c r="AA96" s="19" t="n">
        <x:f>IF('原始输入与口径'!AW98,1,0)</x:f>
        <x:v>1</x:v>
      </x:c>
      <x:c r="AB96" s="19" t="n">
        <x:f>IF('原始输入与口径'!AY98,1,0)</x:f>
        <x:v>0</x:v>
      </x:c>
      <x:c r="AC96" s="18" t="n">
        <x:f>'原始输入与口径'!E98</x:f>
        <x:v>0.25</x:v>
      </x:c>
      <x:c r="AD96" s="20" t="n">
        <x:f>'原始输入与口径'!$F$5</x:f>
        <x:v>1</x:v>
      </x:c>
      <x:c r="AE96" s="20" t="n">
        <x:f>IF(AA96=0,0,AI96/(AG96*AC96))</x:f>
        <x:v>0.20132000000000003</x:v>
      </x:c>
      <x:c r="AF96" s="20" t="n">
        <x:f>IF(AA96=0,0,AJ96/(AH96*AC96))</x:f>
        <x:v>0</x:v>
      </x:c>
      <x:c r="AG96" s="18" t="n">
        <x:f>IF(ISNUMBER('原始输入与口径'!T98),'原始输入与口径'!T98,"缺失")</x:f>
        <x:v>200</x:v>
      </x:c>
      <x:c r="AH96" s="18" t="n">
        <x:f>IF(ISNUMBER('原始输入与口径'!Y98),'原始输入与口径'!Y98,"缺失")</x:f>
        <x:v>200</x:v>
      </x:c>
      <x:c r="AI96" s="18" t="n">
        <x:f>IF(ISNUMBER('原始输入与口径'!AI98),'原始输入与口径'!AI98,"缺失")</x:f>
        <x:v>10.066</x:v>
      </x:c>
      <x:c r="AJ96" s="18" t="n">
        <x:f>IF(ISNUMBER('原始输入与口径'!AL98),'原始输入与口径'!AL98,"缺失")</x:f>
        <x:v>0</x:v>
      </x:c>
      <x:c r="AK96" s="18" t="str">
        <x:f>IF(ISNUMBER('原始输入与口径'!O98),'原始输入与口径'!O98,"缺失")</x:f>
        <x:v>缺失</x:v>
      </x:c>
      <x:c r="AL96" s="18" t="n">
        <x:f>SUMIFS('相位SOC复算'!$N$7:$N$443,'相位SOC复算'!$S$7:$S$443,90)</x:f>
        <x:v>0</x:v>
      </x:c>
      <x:c r="AM96" s="18" t="n">
        <x:f>SUMIFS('相位SOC复算'!$Q$7:$Q$443,'相位SOC复算'!$S$7:$S$443,90)</x:f>
        <x:v>0</x:v>
      </x:c>
      <x:c r="AN96" s="18" t="n">
        <x:f>SUMIFS('相位SOC复算'!$R$7:$R$443,'相位SOC复算'!$S$7:$S$443,90)</x:f>
        <x:v>0</x:v>
      </x:c>
      <x:c r="AO96" s="18" t="n">
        <x:f>'相位SOC复算'!J216</x:f>
        <x:v>10</x:v>
      </x:c>
      <x:c r="AP96" s="18" t="n">
        <x:f>AO96-J96</x:f>
        <x:v>0</x:v>
      </x:c>
      <x:c r="AQ96" s="18" t="n">
        <x:f>IF(ISBLANK('原始输入与口径'!M98),"",'原始输入与口径'!M98)</x:f>
        <x:v>4.9741</x:v>
      </x:c>
      <x:c r="AR96" s="21" t="n">
        <x:f>IF(ISBLANK('原始输入与口径'!L98),"",'原始输入与口径'!L98)</x:f>
        <x:v>45657</x:v>
      </x:c>
      <x:c r="AS96" s="17" t="n">
        <x:f>IF(ISBLANK('原始输入与口径'!A98),"",'原始输入与口径'!A98)</x:f>
        <x:v>45658.84375</x:v>
      </x:c>
      <x:c r="AT96" s="18" t="str">
        <x:f>IF(ISBLANK('原始输入与口径'!I98),"",'原始输入与口径'!I98)</x:f>
        <x:v>2025-01-01_22</x:v>
      </x:c>
      <x:c r="AU96" s="19" t="n">
        <x:f>IF(ISBLANK('原始输入与口径'!J98),"",'原始输入与口径'!J98)</x:f>
        <x:v>60</x:v>
      </x:c>
      <x:c r="AV96" s="18" t="str">
        <x:f>IF(ISBLANK('原始输入与口径'!BB98),"",'原始输入与口径'!BB98)</x:f>
        <x:v>OK</x:v>
      </x:c>
    </x:row>
    <x:row r="97" ht="21" customHeight="1">
      <x:c r="A97" s="17" t="n">
        <x:f>45658.9375</x:f>
        <x:v>45658.9375</x:v>
      </x:c>
      <x:c r="B97" s="23" t="n">
        <x:f>IF(ISNUMBER('原始输入与口径'!H99),'原始输入与口径'!H99,"缺失")</x:f>
        <x:v>131.4</x:v>
      </x:c>
      <x:c r="C97" s="23" t="str">
        <x:f>IF(ISNUMBER('原始输入与口径'!R99),'原始输入与口径'!R99,"缺失")</x:f>
        <x:v>缺失</x:v>
      </x:c>
      <x:c r="D97" s="23" t="n">
        <x:f>IF(ISNUMBER('原始输入与口径'!W99),'原始输入与口径'!W99,"缺失")</x:f>
        <x:v>13.831647936310086</x:v>
      </x:c>
      <x:c r="E97" s="23" t="n">
        <x:f>IF(ISNUMBER('原始输入与口径'!AB99),'原始输入与口径'!AB99,"缺失")</x:f>
        <x:v>14.710198829939085</x:v>
      </x:c>
      <x:c r="F97" s="23" t="n">
        <x:f>IF(ISNUMBER('原始输入与口径'!AG99),'原始输入与口径'!AG99,"缺失")</x:f>
        <x:v>136.70814820771596</x:v>
      </x:c>
      <x:c r="G97" s="23" t="n">
        <x:f>IF(ISNUMBER('原始输入与口径'!AJ99),'原始输入与口径'!AJ99,"缺失")</x:f>
        <x:v>58.3020043827024</x:v>
      </x:c>
      <x:c r="H97" s="23" t="str">
        <x:f>"未模拟"</x:f>
        <x:v>未模拟</x:v>
      </x:c>
      <x:c r="I97" s="24" t="n">
        <x:f>'原始输入与口径'!BD99</x:f>
        <x:v>10</x:v>
      </x:c>
      <x:c r="J97" s="24" t="n">
        <x:f>'原始输入与口径'!BE99</x:f>
        <x:v>10</x:v>
      </x:c>
      <x:c r="K97" s="24" t="n">
        <x:f>'原始输入与口径'!BF99</x:f>
        <x:v>0</x:v>
      </x:c>
      <x:c r="L97" s="24" t="n">
        <x:f>'原始输入与口径'!BG99</x:f>
        <x:v>0</x:v>
      </x:c>
      <x:c r="M97" s="24" t="n">
        <x:f>'原始输入与口径'!BH99</x:f>
        <x:v>0</x:v>
      </x:c>
      <x:c r="N97" s="24" t="n">
        <x:f>'原始输入与口径'!BI99</x:f>
        <x:v>0</x:v>
      </x:c>
      <x:c r="O97" s="24" t="n">
        <x:f>M97*AE97*AC97</x:f>
        <x:v>0</x:v>
      </x:c>
      <x:c r="P97" s="24" t="n">
        <x:f>N97*AF97*AC97</x:f>
        <x:v>0</x:v>
      </x:c>
      <x:c r="Q97" s="25" t="n">
        <x:f>IF(K97=0,0,IF(ISNUMBER(B97),K97*AC97*B97,NA()))</x:f>
        <x:v>0</x:v>
      </x:c>
      <x:c r="R97" s="25" t="n">
        <x:f>IF(L97=0,0,IF(ISNUMBER(C97),L97*AC97*C97*AD97,NA()))</x:f>
        <x:v>0</x:v>
      </x:c>
      <x:c r="S97" s="25" t="n">
        <x:f>IF(M97=0,0,IF(ISNUMBER(D97),M97*AC97*D97*AD97,NA()))</x:f>
        <x:v>0</x:v>
      </x:c>
      <x:c r="T97" s="25" t="n">
        <x:f>IF(N97=0,0,IF(ISNUMBER(E97),N97*AC97*E97*AD97,NA()))</x:f>
        <x:v>0</x:v>
      </x:c>
      <x:c r="U97" s="25" t="n">
        <x:f>IF(O97=0,0,IF(ISNUMBER(F97),O97*F97,NA()))</x:f>
        <x:v>0</x:v>
      </x:c>
      <x:c r="V97" s="25" t="n">
        <x:f>IF(P97=0,0,IF(ISNUMBER(G97),-P97*G97,NA()))</x:f>
        <x:v>0</x:v>
      </x:c>
      <x:c r="W97" s="25" t="n">
        <x:f>SUM(Q97:V97)</x:f>
        <x:v>0</x:v>
      </x:c>
      <x:c r="X97" s="18" t="n">
        <x:f>'原始输入与口径'!BR99</x:f>
        <x:v>0</x:v>
      </x:c>
      <x:c r="Y97" s="18" t="n">
        <x:f>W97-X97</x:f>
        <x:v>0</x:v>
      </x:c>
      <x:c r="Z97" s="18" t="str">
        <x:f>"1月1日执行｜初始化零订单"</x:f>
        <x:v>1月1日执行｜初始化零订单</x:v>
      </x:c>
      <x:c r="AA97" s="19" t="n">
        <x:f>IF('原始输入与口径'!AW99,1,0)</x:f>
        <x:v>1</x:v>
      </x:c>
      <x:c r="AB97" s="19" t="n">
        <x:f>IF('原始输入与口径'!AY99,1,0)</x:f>
        <x:v>0</x:v>
      </x:c>
      <x:c r="AC97" s="18" t="n">
        <x:f>'原始输入与口径'!E99</x:f>
        <x:v>0.25</x:v>
      </x:c>
      <x:c r="AD97" s="20" t="n">
        <x:f>'原始输入与口径'!$F$5</x:f>
        <x:v>1</x:v>
      </x:c>
      <x:c r="AE97" s="20" t="n">
        <x:f>IF(AA97=0,0,AI97/(AG97*AC97))</x:f>
        <x:v>0.06842</x:v>
      </x:c>
      <x:c r="AF97" s="20" t="n">
        <x:f>IF(AA97=0,0,AJ97/(AH97*AC97))</x:f>
        <x:v>0.00092</x:v>
      </x:c>
      <x:c r="AG97" s="18" t="n">
        <x:f>IF(ISNUMBER('原始输入与口径'!T99),'原始输入与口径'!T99,"缺失")</x:f>
        <x:v>200</x:v>
      </x:c>
      <x:c r="AH97" s="18" t="n">
        <x:f>IF(ISNUMBER('原始输入与口径'!Y99),'原始输入与口径'!Y99,"缺失")</x:f>
        <x:v>200</x:v>
      </x:c>
      <x:c r="AI97" s="18" t="n">
        <x:f>IF(ISNUMBER('原始输入与口径'!AI99),'原始输入与口径'!AI99,"缺失")</x:f>
        <x:v>3.421</x:v>
      </x:c>
      <x:c r="AJ97" s="18" t="n">
        <x:f>IF(ISNUMBER('原始输入与口径'!AL99),'原始输入与口径'!AL99,"缺失")</x:f>
        <x:v>0.046</x:v>
      </x:c>
      <x:c r="AK97" s="18" t="str">
        <x:f>IF(ISNUMBER('原始输入与口径'!O99),'原始输入与口径'!O99,"缺失")</x:f>
        <x:v>缺失</x:v>
      </x:c>
      <x:c r="AL97" s="18" t="n">
        <x:f>SUMIFS('相位SOC复算'!$N$7:$N$443,'相位SOC复算'!$S$7:$S$443,91)</x:f>
        <x:v>0</x:v>
      </x:c>
      <x:c r="AM97" s="18" t="n">
        <x:f>SUMIFS('相位SOC复算'!$Q$7:$Q$443,'相位SOC复算'!$S$7:$S$443,91)</x:f>
        <x:v>0</x:v>
      </x:c>
      <x:c r="AN97" s="18" t="n">
        <x:f>SUMIFS('相位SOC复算'!$R$7:$R$443,'相位SOC复算'!$S$7:$S$443,91)</x:f>
        <x:v>0</x:v>
      </x:c>
      <x:c r="AO97" s="18" t="n">
        <x:f>'相位SOC复算'!J219</x:f>
        <x:v>10</x:v>
      </x:c>
      <x:c r="AP97" s="18" t="n">
        <x:f>AO97-J97</x:f>
        <x:v>0</x:v>
      </x:c>
      <x:c r="AQ97" s="18" t="n">
        <x:f>IF(ISBLANK('原始输入与口径'!M99),"",'原始输入与口径'!M99)</x:f>
        <x:v>4.9741</x:v>
      </x:c>
      <x:c r="AR97" s="21" t="n">
        <x:f>IF(ISBLANK('原始输入与口径'!L99),"",'原始输入与口径'!L99)</x:f>
        <x:v>45657</x:v>
      </x:c>
      <x:c r="AS97" s="17" t="n">
        <x:f>IF(ISBLANK('原始输入与口径'!A99),"",'原始输入与口径'!A99)</x:f>
        <x:v>45658.854166666664</x:v>
      </x:c>
      <x:c r="AT97" s="18" t="str">
        <x:f>IF(ISBLANK('原始输入与口径'!I99),"",'原始输入与口径'!I99)</x:f>
        <x:v>2025-01-01_22</x:v>
      </x:c>
      <x:c r="AU97" s="19" t="n">
        <x:f>IF(ISBLANK('原始输入与口径'!J99),"",'原始输入与口径'!J99)</x:f>
        <x:v>60</x:v>
      </x:c>
      <x:c r="AV97" s="18" t="str">
        <x:f>IF(ISBLANK('原始输入与口径'!BB99),"",'原始输入与口径'!BB99)</x:f>
        <x:v>OK</x:v>
      </x:c>
    </x:row>
    <x:row r="98" ht="21" customHeight="1">
      <x:c r="A98" s="17" t="n">
        <x:f>45658.947916666664</x:f>
        <x:v>45658.947916666664</x:v>
      </x:c>
      <x:c r="B98" s="23" t="n">
        <x:f>IF(ISNUMBER('原始输入与口径'!H100),'原始输入与口径'!H100,"缺失")</x:f>
        <x:v>131.4</x:v>
      </x:c>
      <x:c r="C98" s="23" t="str">
        <x:f>IF(ISNUMBER('原始输入与口径'!R100),'原始输入与口径'!R100,"缺失")</x:f>
        <x:v>缺失</x:v>
      </x:c>
      <x:c r="D98" s="23" t="n">
        <x:f>IF(ISNUMBER('原始输入与口径'!W100),'原始输入与口径'!W100,"缺失")</x:f>
        <x:v>13.831647936310086</x:v>
      </x:c>
      <x:c r="E98" s="23" t="n">
        <x:f>IF(ISNUMBER('原始输入与口径'!AB100),'原始输入与口径'!AB100,"缺失")</x:f>
        <x:v>14.710198829939085</x:v>
      </x:c>
      <x:c r="F98" s="23" t="n">
        <x:f>IF(ISNUMBER('原始输入与口径'!AG100),'原始输入与口径'!AG100,"缺失")</x:f>
        <x:v>0</x:v>
      </x:c>
      <x:c r="G98" s="23" t="n">
        <x:f>IF(ISNUMBER('原始输入与口径'!AJ100),'原始输入与口径'!AJ100,"缺失")</x:f>
        <x:v>20.941476850083433</x:v>
      </x:c>
      <x:c r="H98" s="23" t="str">
        <x:f>"未模拟"</x:f>
        <x:v>未模拟</x:v>
      </x:c>
      <x:c r="I98" s="24" t="n">
        <x:f>'原始输入与口径'!BD100</x:f>
        <x:v>10</x:v>
      </x:c>
      <x:c r="J98" s="24" t="n">
        <x:f>'原始输入与口径'!BE100</x:f>
        <x:v>10</x:v>
      </x:c>
      <x:c r="K98" s="24" t="n">
        <x:f>'原始输入与口径'!BF100</x:f>
        <x:v>0</x:v>
      </x:c>
      <x:c r="L98" s="24" t="n">
        <x:f>'原始输入与口径'!BG100</x:f>
        <x:v>0</x:v>
      </x:c>
      <x:c r="M98" s="24" t="n">
        <x:f>'原始输入与口径'!BH100</x:f>
        <x:v>0</x:v>
      </x:c>
      <x:c r="N98" s="24" t="n">
        <x:f>'原始输入与口径'!BI100</x:f>
        <x:v>0</x:v>
      </x:c>
      <x:c r="O98" s="24" t="n">
        <x:f>M98*AE98*AC98</x:f>
        <x:v>0</x:v>
      </x:c>
      <x:c r="P98" s="24" t="n">
        <x:f>N98*AF98*AC98</x:f>
        <x:v>0</x:v>
      </x:c>
      <x:c r="Q98" s="25" t="n">
        <x:f>IF(K98=0,0,IF(ISNUMBER(B98),K98*AC98*B98,NA()))</x:f>
        <x:v>0</x:v>
      </x:c>
      <x:c r="R98" s="25" t="n">
        <x:f>IF(L98=0,0,IF(ISNUMBER(C98),L98*AC98*C98*AD98,NA()))</x:f>
        <x:v>0</x:v>
      </x:c>
      <x:c r="S98" s="25" t="n">
        <x:f>IF(M98=0,0,IF(ISNUMBER(D98),M98*AC98*D98*AD98,NA()))</x:f>
        <x:v>0</x:v>
      </x:c>
      <x:c r="T98" s="25" t="n">
        <x:f>IF(N98=0,0,IF(ISNUMBER(E98),N98*AC98*E98*AD98,NA()))</x:f>
        <x:v>0</x:v>
      </x:c>
      <x:c r="U98" s="25" t="n">
        <x:f>IF(O98=0,0,IF(ISNUMBER(F98),O98*F98,NA()))</x:f>
        <x:v>0</x:v>
      </x:c>
      <x:c r="V98" s="25" t="n">
        <x:f>IF(P98=0,0,IF(ISNUMBER(G98),-P98*G98,NA()))</x:f>
        <x:v>0</x:v>
      </x:c>
      <x:c r="W98" s="25" t="n">
        <x:f>SUM(Q98:V98)</x:f>
        <x:v>0</x:v>
      </x:c>
      <x:c r="X98" s="18" t="n">
        <x:f>'原始输入与口径'!BR100</x:f>
        <x:v>0</x:v>
      </x:c>
      <x:c r="Y98" s="18" t="n">
        <x:f>W98-X98</x:f>
        <x:v>0</x:v>
      </x:c>
      <x:c r="Z98" s="18" t="str">
        <x:f>"1月1日执行｜初始化零订单"</x:f>
        <x:v>1月1日执行｜初始化零订单</x:v>
      </x:c>
      <x:c r="AA98" s="19" t="n">
        <x:f>IF('原始输入与口径'!AW100,1,0)</x:f>
        <x:v>1</x:v>
      </x:c>
      <x:c r="AB98" s="19" t="n">
        <x:f>IF('原始输入与口径'!AY100,1,0)</x:f>
        <x:v>0</x:v>
      </x:c>
      <x:c r="AC98" s="18" t="n">
        <x:f>'原始输入与口径'!E100</x:f>
        <x:v>0.25</x:v>
      </x:c>
      <x:c r="AD98" s="20" t="n">
        <x:f>'原始输入与口径'!$F$5</x:f>
        <x:v>1</x:v>
      </x:c>
      <x:c r="AE98" s="20" t="n">
        <x:f>IF(AA98=0,0,AI98/(AG98*AC98))</x:f>
        <x:v>0</x:v>
      </x:c>
      <x:c r="AF98" s="20" t="n">
        <x:f>IF(AA98=0,0,AJ98/(AH98*AC98))</x:f>
        <x:v>0.14032</x:v>
      </x:c>
      <x:c r="AG98" s="18" t="n">
        <x:f>IF(ISNUMBER('原始输入与口径'!T100),'原始输入与口径'!T100,"缺失")</x:f>
        <x:v>200</x:v>
      </x:c>
      <x:c r="AH98" s="18" t="n">
        <x:f>IF(ISNUMBER('原始输入与口径'!Y100),'原始输入与口径'!Y100,"缺失")</x:f>
        <x:v>200</x:v>
      </x:c>
      <x:c r="AI98" s="18" t="n">
        <x:f>IF(ISNUMBER('原始输入与口径'!AI100),'原始输入与口径'!AI100,"缺失")</x:f>
        <x:v>0</x:v>
      </x:c>
      <x:c r="AJ98" s="18" t="n">
        <x:f>IF(ISNUMBER('原始输入与口径'!AL100),'原始输入与口径'!AL100,"缺失")</x:f>
        <x:v>7.016</x:v>
      </x:c>
      <x:c r="AK98" s="18" t="str">
        <x:f>IF(ISNUMBER('原始输入与口径'!O100),'原始输入与口径'!O100,"缺失")</x:f>
        <x:v>缺失</x:v>
      </x:c>
      <x:c r="AL98" s="18" t="n">
        <x:f>SUMIFS('相位SOC复算'!$N$7:$N$443,'相位SOC复算'!$S$7:$S$443,92)</x:f>
        <x:v>0</x:v>
      </x:c>
      <x:c r="AM98" s="18" t="n">
        <x:f>SUMIFS('相位SOC复算'!$Q$7:$Q$443,'相位SOC复算'!$S$7:$S$443,92)</x:f>
        <x:v>0</x:v>
      </x:c>
      <x:c r="AN98" s="18" t="n">
        <x:f>SUMIFS('相位SOC复算'!$R$7:$R$443,'相位SOC复算'!$S$7:$S$443,92)</x:f>
        <x:v>0</x:v>
      </x:c>
      <x:c r="AO98" s="18" t="n">
        <x:f>'相位SOC复算'!J221</x:f>
        <x:v>10</x:v>
      </x:c>
      <x:c r="AP98" s="18" t="n">
        <x:f>AO98-J98</x:f>
        <x:v>0</x:v>
      </x:c>
      <x:c r="AQ98" s="18" t="n">
        <x:f>IF(ISBLANK('原始输入与口径'!M100),"",'原始输入与口径'!M100)</x:f>
        <x:v>4.9741</x:v>
      </x:c>
      <x:c r="AR98" s="21" t="n">
        <x:f>IF(ISBLANK('原始输入与口径'!L100),"",'原始输入与口径'!L100)</x:f>
        <x:v>45657</x:v>
      </x:c>
      <x:c r="AS98" s="17" t="n">
        <x:f>IF(ISBLANK('原始输入与口径'!A100),"",'原始输入与口径'!A100)</x:f>
        <x:v>45658.864583333336</x:v>
      </x:c>
      <x:c r="AT98" s="18" t="str">
        <x:f>IF(ISBLANK('原始输入与口径'!I100),"",'原始输入与口径'!I100)</x:f>
        <x:v>2025-01-01_22</x:v>
      </x:c>
      <x:c r="AU98" s="19" t="n">
        <x:f>IF(ISBLANK('原始输入与口径'!J100),"",'原始输入与口径'!J100)</x:f>
        <x:v>60</x:v>
      </x:c>
      <x:c r="AV98" s="18" t="str">
        <x:f>IF(ISBLANK('原始输入与口径'!BB100),"",'原始输入与口径'!BB100)</x:f>
        <x:v>OK</x:v>
      </x:c>
    </x:row>
    <x:row r="99" ht="21" customHeight="1">
      <x:c r="A99" s="17" t="n">
        <x:f>45658.958333333336</x:f>
        <x:v>45658.958333333336</x:v>
      </x:c>
      <x:c r="B99" s="23" t="n">
        <x:f>IF(ISNUMBER('原始输入与口径'!H101),'原始输入与口径'!H101,"缺失")</x:f>
        <x:v>107.6</x:v>
      </x:c>
      <x:c r="C99" s="23" t="str">
        <x:f>IF(ISNUMBER('原始输入与口径'!R101),'原始输入与口径'!R101,"缺失")</x:f>
        <x:v>缺失</x:v>
      </x:c>
      <x:c r="D99" s="23" t="n">
        <x:f>IF(ISNUMBER('原始输入与口径'!W101),'原始输入与口径'!W101,"缺失")</x:f>
        <x:v>13.831647936310086</x:v>
      </x:c>
      <x:c r="E99" s="23" t="n">
        <x:f>IF(ISNUMBER('原始输入与口径'!AB101),'原始输入与口径'!AB101,"缺失")</x:f>
        <x:v>14.710198829939085</x:v>
      </x:c>
      <x:c r="F99" s="23" t="n">
        <x:f>IF(ISNUMBER('原始输入与口径'!AG101),'原始输入与口径'!AG101,"缺失")</x:f>
        <x:v>197.61544802074746</x:v>
      </x:c>
      <x:c r="G99" s="23" t="n">
        <x:f>IF(ISNUMBER('原始输入与口径'!AJ101),'原始输入与口径'!AJ101,"缺失")</x:f>
        <x:v>35.34629380189381</x:v>
      </x:c>
      <x:c r="H99" s="23" t="str">
        <x:f>"未模拟"</x:f>
        <x:v>未模拟</x:v>
      </x:c>
      <x:c r="I99" s="24" t="n">
        <x:f>'原始输入与口径'!BD101</x:f>
        <x:v>10</x:v>
      </x:c>
      <x:c r="J99" s="24" t="n">
        <x:f>'原始输入与口径'!BE101</x:f>
        <x:v>10</x:v>
      </x:c>
      <x:c r="K99" s="24" t="n">
        <x:f>'原始输入与口径'!BF101</x:f>
        <x:v>0</x:v>
      </x:c>
      <x:c r="L99" s="24" t="n">
        <x:f>'原始输入与口径'!BG101</x:f>
        <x:v>0</x:v>
      </x:c>
      <x:c r="M99" s="24" t="n">
        <x:f>'原始输入与口径'!BH101</x:f>
        <x:v>0</x:v>
      </x:c>
      <x:c r="N99" s="24" t="n">
        <x:f>'原始输入与口径'!BI101</x:f>
        <x:v>0</x:v>
      </x:c>
      <x:c r="O99" s="24" t="n">
        <x:f>M99*AE99*AC99</x:f>
        <x:v>0</x:v>
      </x:c>
      <x:c r="P99" s="24" t="n">
        <x:f>N99*AF99*AC99</x:f>
        <x:v>0</x:v>
      </x:c>
      <x:c r="Q99" s="25" t="n">
        <x:f>IF(K99=0,0,IF(ISNUMBER(B99),K99*AC99*B99,NA()))</x:f>
        <x:v>0</x:v>
      </x:c>
      <x:c r="R99" s="25" t="n">
        <x:f>IF(L99=0,0,IF(ISNUMBER(C99),L99*AC99*C99*AD99,NA()))</x:f>
        <x:v>0</x:v>
      </x:c>
      <x:c r="S99" s="25" t="n">
        <x:f>IF(M99=0,0,IF(ISNUMBER(D99),M99*AC99*D99*AD99,NA()))</x:f>
        <x:v>0</x:v>
      </x:c>
      <x:c r="T99" s="25" t="n">
        <x:f>IF(N99=0,0,IF(ISNUMBER(E99),N99*AC99*E99*AD99,NA()))</x:f>
        <x:v>0</x:v>
      </x:c>
      <x:c r="U99" s="25" t="n">
        <x:f>IF(O99=0,0,IF(ISNUMBER(F99),O99*F99,NA()))</x:f>
        <x:v>0</x:v>
      </x:c>
      <x:c r="V99" s="25" t="n">
        <x:f>IF(P99=0,0,IF(ISNUMBER(G99),-P99*G99,NA()))</x:f>
        <x:v>0</x:v>
      </x:c>
      <x:c r="W99" s="25" t="n">
        <x:f>SUM(Q99:V99)</x:f>
        <x:v>0</x:v>
      </x:c>
      <x:c r="X99" s="18" t="n">
        <x:f>'原始输入与口径'!BR101</x:f>
        <x:v>0</x:v>
      </x:c>
      <x:c r="Y99" s="18" t="n">
        <x:f>W99-X99</x:f>
        <x:v>0</x:v>
      </x:c>
      <x:c r="Z99" s="18" t="str">
        <x:f>"1月1日执行｜初始化零订单"</x:f>
        <x:v>1月1日执行｜初始化零订单</x:v>
      </x:c>
      <x:c r="AA99" s="19" t="n">
        <x:f>IF('原始输入与口径'!AW101,1,0)</x:f>
        <x:v>1</x:v>
      </x:c>
      <x:c r="AB99" s="19" t="n">
        <x:f>IF('原始输入与口径'!AY101,1,0)</x:f>
        <x:v>0</x:v>
      </x:c>
      <x:c r="AC99" s="18" t="n">
        <x:f>'原始输入与口径'!E101</x:f>
        <x:v>0.25</x:v>
      </x:c>
      <x:c r="AD99" s="20" t="n">
        <x:f>'原始输入与口径'!$F$5</x:f>
        <x:v>1</x:v>
      </x:c>
      <x:c r="AE99" s="20" t="n">
        <x:f>IF(AA99=0,0,AI99/(AG99*AC99))</x:f>
        <x:v>0.353</x:v>
      </x:c>
      <x:c r="AF99" s="20" t="n">
        <x:f>IF(AA99=0,0,AJ99/(AH99*AC99))</x:f>
        <x:v>0.00456</x:v>
      </x:c>
      <x:c r="AG99" s="18" t="n">
        <x:f>IF(ISNUMBER('原始输入与口径'!T101),'原始输入与口径'!T101,"缺失")</x:f>
        <x:v>200</x:v>
      </x:c>
      <x:c r="AH99" s="18" t="n">
        <x:f>IF(ISNUMBER('原始输入与口径'!Y101),'原始输入与口径'!Y101,"缺失")</x:f>
        <x:v>200</x:v>
      </x:c>
      <x:c r="AI99" s="18" t="n">
        <x:f>IF(ISNUMBER('原始输入与口径'!AI101),'原始输入与口径'!AI101,"缺失")</x:f>
        <x:v>17.65</x:v>
      </x:c>
      <x:c r="AJ99" s="18" t="n">
        <x:f>IF(ISNUMBER('原始输入与口径'!AL101),'原始输入与口径'!AL101,"缺失")</x:f>
        <x:v>0.228</x:v>
      </x:c>
      <x:c r="AK99" s="18" t="str">
        <x:f>IF(ISNUMBER('原始输入与口径'!O101),'原始输入与口径'!O101,"缺失")</x:f>
        <x:v>缺失</x:v>
      </x:c>
      <x:c r="AL99" s="18" t="n">
        <x:f>SUMIFS('相位SOC复算'!$N$7:$N$443,'相位SOC复算'!$S$7:$S$443,93)</x:f>
        <x:v>0</x:v>
      </x:c>
      <x:c r="AM99" s="18" t="n">
        <x:f>SUMIFS('相位SOC复算'!$Q$7:$Q$443,'相位SOC复算'!$S$7:$S$443,93)</x:f>
        <x:v>0</x:v>
      </x:c>
      <x:c r="AN99" s="18" t="n">
        <x:f>SUMIFS('相位SOC复算'!$R$7:$R$443,'相位SOC复算'!$S$7:$S$443,93)</x:f>
        <x:v>0</x:v>
      </x:c>
      <x:c r="AO99" s="18" t="n">
        <x:f>'相位SOC复算'!J224</x:f>
        <x:v>10</x:v>
      </x:c>
      <x:c r="AP99" s="18" t="n">
        <x:f>AO99-J99</x:f>
        <x:v>0</x:v>
      </x:c>
      <x:c r="AQ99" s="18" t="n">
        <x:f>IF(ISBLANK('原始输入与口径'!M101),"",'原始输入与口径'!M101)</x:f>
        <x:v>4.9741</x:v>
      </x:c>
      <x:c r="AR99" s="21" t="n">
        <x:f>IF(ISBLANK('原始输入与口径'!L101),"",'原始输入与口径'!L101)</x:f>
        <x:v>45657</x:v>
      </x:c>
      <x:c r="AS99" s="17" t="n">
        <x:f>IF(ISBLANK('原始输入与口径'!A101),"",'原始输入与口径'!A101)</x:f>
        <x:v>45658.875</x:v>
      </x:c>
      <x:c r="AT99" s="18" t="str">
        <x:f>IF(ISBLANK('原始输入与口径'!I101),"",'原始输入与口径'!I101)</x:f>
        <x:v>2025-01-01_23</x:v>
      </x:c>
      <x:c r="AU99" s="19" t="n">
        <x:f>IF(ISBLANK('原始输入与口径'!J101),"",'原始输入与口径'!J101)</x:f>
        <x:v>60</x:v>
      </x:c>
      <x:c r="AV99" s="18" t="str">
        <x:f>IF(ISBLANK('原始输入与口径'!BB101),"",'原始输入与口径'!BB101)</x:f>
        <x:v>OK</x:v>
      </x:c>
    </x:row>
    <x:row r="100" ht="21" customHeight="1">
      <x:c r="A100" s="17" t="n">
        <x:f>45658.96875</x:f>
        <x:v>45658.96875</x:v>
      </x:c>
      <x:c r="B100" s="23" t="n">
        <x:f>IF(ISNUMBER('原始输入与口径'!H102),'原始输入与口径'!H102,"缺失")</x:f>
        <x:v>107.6</x:v>
      </x:c>
      <x:c r="C100" s="23" t="str">
        <x:f>IF(ISNUMBER('原始输入与口径'!R102),'原始输入与口径'!R102,"缺失")</x:f>
        <x:v>缺失</x:v>
      </x:c>
      <x:c r="D100" s="23" t="n">
        <x:f>IF(ISNUMBER('原始输入与口径'!W102),'原始输入与口径'!W102,"缺失")</x:f>
        <x:v>13.831647936310086</x:v>
      </x:c>
      <x:c r="E100" s="23" t="n">
        <x:f>IF(ISNUMBER('原始输入与口径'!AB102),'原始输入与口径'!AB102,"缺失")</x:f>
        <x:v>14.710198829939085</x:v>
      </x:c>
      <x:c r="F100" s="23" t="n">
        <x:f>IF(ISNUMBER('原始输入与口径'!AG102),'原始输入与口径'!AG102,"缺失")</x:f>
        <x:v>197.85227478337788</x:v>
      </x:c>
      <x:c r="G100" s="23" t="n">
        <x:f>IF(ISNUMBER('原始输入与口径'!AJ102),'原始输入与口径'!AJ102,"缺失")</x:f>
        <x:v>0</x:v>
      </x:c>
      <x:c r="H100" s="23" t="str">
        <x:f>"未模拟"</x:f>
        <x:v>未模拟</x:v>
      </x:c>
      <x:c r="I100" s="24" t="n">
        <x:f>'原始输入与口径'!BD102</x:f>
        <x:v>10</x:v>
      </x:c>
      <x:c r="J100" s="24" t="n">
        <x:f>'原始输入与口径'!BE102</x:f>
        <x:v>10</x:v>
      </x:c>
      <x:c r="K100" s="24" t="n">
        <x:f>'原始输入与口径'!BF102</x:f>
        <x:v>0</x:v>
      </x:c>
      <x:c r="L100" s="24" t="n">
        <x:f>'原始输入与口径'!BG102</x:f>
        <x:v>0</x:v>
      </x:c>
      <x:c r="M100" s="24" t="n">
        <x:f>'原始输入与口径'!BH102</x:f>
        <x:v>0</x:v>
      </x:c>
      <x:c r="N100" s="24" t="n">
        <x:f>'原始输入与口径'!BI102</x:f>
        <x:v>0</x:v>
      </x:c>
      <x:c r="O100" s="24" t="n">
        <x:f>M100*AE100*AC100</x:f>
        <x:v>0</x:v>
      </x:c>
      <x:c r="P100" s="24" t="n">
        <x:f>N100*AF100*AC100</x:f>
        <x:v>0</x:v>
      </x:c>
      <x:c r="Q100" s="25" t="n">
        <x:f>IF(K100=0,0,IF(ISNUMBER(B100),K100*AC100*B100,NA()))</x:f>
        <x:v>0</x:v>
      </x:c>
      <x:c r="R100" s="25" t="n">
        <x:f>IF(L100=0,0,IF(ISNUMBER(C100),L100*AC100*C100*AD100,NA()))</x:f>
        <x:v>0</x:v>
      </x:c>
      <x:c r="S100" s="25" t="n">
        <x:f>IF(M100=0,0,IF(ISNUMBER(D100),M100*AC100*D100*AD100,NA()))</x:f>
        <x:v>0</x:v>
      </x:c>
      <x:c r="T100" s="25" t="n">
        <x:f>IF(N100=0,0,IF(ISNUMBER(E100),N100*AC100*E100*AD100,NA()))</x:f>
        <x:v>0</x:v>
      </x:c>
      <x:c r="U100" s="25" t="n">
        <x:f>IF(O100=0,0,IF(ISNUMBER(F100),O100*F100,NA()))</x:f>
        <x:v>0</x:v>
      </x:c>
      <x:c r="V100" s="25" t="n">
        <x:f>IF(P100=0,0,IF(ISNUMBER(G100),-P100*G100,NA()))</x:f>
        <x:v>0</x:v>
      </x:c>
      <x:c r="W100" s="25" t="n">
        <x:f>SUM(Q100:V100)</x:f>
        <x:v>0</x:v>
      </x:c>
      <x:c r="X100" s="18" t="n">
        <x:f>'原始输入与口径'!BR102</x:f>
        <x:v>0</x:v>
      </x:c>
      <x:c r="Y100" s="18" t="n">
        <x:f>W100-X100</x:f>
        <x:v>0</x:v>
      </x:c>
      <x:c r="Z100" s="18" t="str">
        <x:f>"1月1日执行｜初始化零订单"</x:f>
        <x:v>1月1日执行｜初始化零订单</x:v>
      </x:c>
      <x:c r="AA100" s="19" t="n">
        <x:f>IF('原始输入与口径'!AW102,1,0)</x:f>
        <x:v>1</x:v>
      </x:c>
      <x:c r="AB100" s="19" t="n">
        <x:f>IF('原始输入与口径'!AY102,1,0)</x:f>
        <x:v>0</x:v>
      </x:c>
      <x:c r="AC100" s="18" t="n">
        <x:f>'原始输入与口径'!E102</x:f>
        <x:v>0.25</x:v>
      </x:c>
      <x:c r="AD100" s="20" t="n">
        <x:f>'原始输入与口径'!$F$5</x:f>
        <x:v>1</x:v>
      </x:c>
      <x:c r="AE100" s="20" t="n">
        <x:f>IF(AA100=0,0,AI100/(AG100*AC100))</x:f>
        <x:v>0.30716</x:v>
      </x:c>
      <x:c r="AF100" s="20" t="n">
        <x:f>IF(AA100=0,0,AJ100/(AH100*AC100))</x:f>
        <x:v>0</x:v>
      </x:c>
      <x:c r="AG100" s="18" t="n">
        <x:f>IF(ISNUMBER('原始输入与口径'!T102),'原始输入与口径'!T102,"缺失")</x:f>
        <x:v>200</x:v>
      </x:c>
      <x:c r="AH100" s="18" t="n">
        <x:f>IF(ISNUMBER('原始输入与口径'!Y102),'原始输入与口径'!Y102,"缺失")</x:f>
        <x:v>200</x:v>
      </x:c>
      <x:c r="AI100" s="18" t="n">
        <x:f>IF(ISNUMBER('原始输入与口径'!AI102),'原始输入与口径'!AI102,"缺失")</x:f>
        <x:v>15.358</x:v>
      </x:c>
      <x:c r="AJ100" s="18" t="n">
        <x:f>IF(ISNUMBER('原始输入与口径'!AL102),'原始输入与口径'!AL102,"缺失")</x:f>
        <x:v>0</x:v>
      </x:c>
      <x:c r="AK100" s="18" t="str">
        <x:f>IF(ISNUMBER('原始输入与口径'!O102),'原始输入与口径'!O102,"缺失")</x:f>
        <x:v>缺失</x:v>
      </x:c>
      <x:c r="AL100" s="18" t="n">
        <x:f>SUMIFS('相位SOC复算'!$N$7:$N$443,'相位SOC复算'!$S$7:$S$443,94)</x:f>
        <x:v>0</x:v>
      </x:c>
      <x:c r="AM100" s="18" t="n">
        <x:f>SUMIFS('相位SOC复算'!$Q$7:$Q$443,'相位SOC复算'!$S$7:$S$443,94)</x:f>
        <x:v>0</x:v>
      </x:c>
      <x:c r="AN100" s="18" t="n">
        <x:f>SUMIFS('相位SOC复算'!$R$7:$R$443,'相位SOC复算'!$S$7:$S$443,94)</x:f>
        <x:v>0</x:v>
      </x:c>
      <x:c r="AO100" s="18" t="n">
        <x:f>'相位SOC复算'!J226</x:f>
        <x:v>10</x:v>
      </x:c>
      <x:c r="AP100" s="18" t="n">
        <x:f>AO100-J100</x:f>
        <x:v>0</x:v>
      </x:c>
      <x:c r="AQ100" s="18" t="n">
        <x:f>IF(ISBLANK('原始输入与口径'!M102),"",'原始输入与口径'!M102)</x:f>
        <x:v>4.9741</x:v>
      </x:c>
      <x:c r="AR100" s="21" t="n">
        <x:f>IF(ISBLANK('原始输入与口径'!L102),"",'原始输入与口径'!L102)</x:f>
        <x:v>45657</x:v>
      </x:c>
      <x:c r="AS100" s="17" t="n">
        <x:f>IF(ISBLANK('原始输入与口径'!A102),"",'原始输入与口径'!A102)</x:f>
        <x:v>45658.885416666664</x:v>
      </x:c>
      <x:c r="AT100" s="18" t="str">
        <x:f>IF(ISBLANK('原始输入与口径'!I102),"",'原始输入与口径'!I102)</x:f>
        <x:v>2025-01-01_23</x:v>
      </x:c>
      <x:c r="AU100" s="19" t="n">
        <x:f>IF(ISBLANK('原始输入与口径'!J102),"",'原始输入与口径'!J102)</x:f>
        <x:v>60</x:v>
      </x:c>
      <x:c r="AV100" s="18" t="str">
        <x:f>IF(ISBLANK('原始输入与口径'!BB102),"",'原始输入与口径'!BB102)</x:f>
        <x:v>OK</x:v>
      </x:c>
    </x:row>
    <x:row r="101" ht="21" customHeight="1">
      <x:c r="A101" s="17" t="n">
        <x:f>45658.979166666664</x:f>
        <x:v>45658.979166666664</x:v>
      </x:c>
      <x:c r="B101" s="23" t="n">
        <x:f>IF(ISNUMBER('原始输入与口径'!H103),'原始输入与口径'!H103,"缺失")</x:f>
        <x:v>107.6</x:v>
      </x:c>
      <x:c r="C101" s="23" t="str">
        <x:f>IF(ISNUMBER('原始输入与口径'!R103),'原始输入与口径'!R103,"缺失")</x:f>
        <x:v>缺失</x:v>
      </x:c>
      <x:c r="D101" s="23" t="n">
        <x:f>IF(ISNUMBER('原始输入与口径'!W103),'原始输入与口径'!W103,"缺失")</x:f>
        <x:v>13.831647936310086</x:v>
      </x:c>
      <x:c r="E101" s="23" t="n">
        <x:f>IF(ISNUMBER('原始输入与口径'!AB103),'原始输入与口径'!AB103,"缺失")</x:f>
        <x:v>14.710198829939085</x:v>
      </x:c>
      <x:c r="F101" s="23" t="n">
        <x:f>IF(ISNUMBER('原始输入与口径'!AG103),'原始输入与口径'!AG103,"缺失")</x:f>
        <x:v>159.8815866186848</x:v>
      </x:c>
      <x:c r="G101" s="23" t="n">
        <x:f>IF(ISNUMBER('原始输入与口径'!AJ103),'原始输入与口径'!AJ103,"缺失")</x:f>
        <x:v>0</x:v>
      </x:c>
      <x:c r="H101" s="23" t="str">
        <x:f>"未模拟"</x:f>
        <x:v>未模拟</x:v>
      </x:c>
      <x:c r="I101" s="24" t="n">
        <x:f>'原始输入与口径'!BD103</x:f>
        <x:v>10</x:v>
      </x:c>
      <x:c r="J101" s="24" t="n">
        <x:f>'原始输入与口径'!BE103</x:f>
        <x:v>10</x:v>
      </x:c>
      <x:c r="K101" s="24" t="n">
        <x:f>'原始输入与口径'!BF103</x:f>
        <x:v>0</x:v>
      </x:c>
      <x:c r="L101" s="24" t="n">
        <x:f>'原始输入与口径'!BG103</x:f>
        <x:v>0</x:v>
      </x:c>
      <x:c r="M101" s="24" t="n">
        <x:f>'原始输入与口径'!BH103</x:f>
        <x:v>0</x:v>
      </x:c>
      <x:c r="N101" s="24" t="n">
        <x:f>'原始输入与口径'!BI103</x:f>
        <x:v>0</x:v>
      </x:c>
      <x:c r="O101" s="24" t="n">
        <x:f>M101*AE101*AC101</x:f>
        <x:v>0</x:v>
      </x:c>
      <x:c r="P101" s="24" t="n">
        <x:f>N101*AF101*AC101</x:f>
        <x:v>0</x:v>
      </x:c>
      <x:c r="Q101" s="25" t="n">
        <x:f>IF(K101=0,0,IF(ISNUMBER(B101),K101*AC101*B101,NA()))</x:f>
        <x:v>0</x:v>
      </x:c>
      <x:c r="R101" s="25" t="n">
        <x:f>IF(L101=0,0,IF(ISNUMBER(C101),L101*AC101*C101*AD101,NA()))</x:f>
        <x:v>0</x:v>
      </x:c>
      <x:c r="S101" s="25" t="n">
        <x:f>IF(M101=0,0,IF(ISNUMBER(D101),M101*AC101*D101*AD101,NA()))</x:f>
        <x:v>0</x:v>
      </x:c>
      <x:c r="T101" s="25" t="n">
        <x:f>IF(N101=0,0,IF(ISNUMBER(E101),N101*AC101*E101*AD101,NA()))</x:f>
        <x:v>0</x:v>
      </x:c>
      <x:c r="U101" s="25" t="n">
        <x:f>IF(O101=0,0,IF(ISNUMBER(F101),O101*F101,NA()))</x:f>
        <x:v>0</x:v>
      </x:c>
      <x:c r="V101" s="25" t="n">
        <x:f>IF(P101=0,0,IF(ISNUMBER(G101),-P101*G101,NA()))</x:f>
        <x:v>0</x:v>
      </x:c>
      <x:c r="W101" s="25" t="n">
        <x:f>SUM(Q101:V101)</x:f>
        <x:v>0</x:v>
      </x:c>
      <x:c r="X101" s="18" t="n">
        <x:f>'原始输入与口径'!BR103</x:f>
        <x:v>0</x:v>
      </x:c>
      <x:c r="Y101" s="18" t="n">
        <x:f>W101-X101</x:f>
        <x:v>0</x:v>
      </x:c>
      <x:c r="Z101" s="18" t="str">
        <x:f>"1月1日执行｜初始化零订单"</x:f>
        <x:v>1月1日执行｜初始化零订单</x:v>
      </x:c>
      <x:c r="AA101" s="19" t="n">
        <x:f>IF('原始输入与口径'!AW103,1,0)</x:f>
        <x:v>1</x:v>
      </x:c>
      <x:c r="AB101" s="19" t="n">
        <x:f>IF('原始输入与口径'!AY103,1,0)</x:f>
        <x:v>0</x:v>
      </x:c>
      <x:c r="AC101" s="18" t="n">
        <x:f>'原始输入与口径'!E103</x:f>
        <x:v>0.25</x:v>
      </x:c>
      <x:c r="AD101" s="20" t="n">
        <x:f>'原始输入与口径'!$F$5</x:f>
        <x:v>1</x:v>
      </x:c>
      <x:c r="AE101" s="20" t="n">
        <x:f>IF(AA101=0,0,AI101/(AG101*AC101))</x:f>
        <x:v>0.0892</x:v>
      </x:c>
      <x:c r="AF101" s="20" t="n">
        <x:f>IF(AA101=0,0,AJ101/(AH101*AC101))</x:f>
        <x:v>0</x:v>
      </x:c>
      <x:c r="AG101" s="18" t="n">
        <x:f>IF(ISNUMBER('原始输入与口径'!T103),'原始输入与口径'!T103,"缺失")</x:f>
        <x:v>200</x:v>
      </x:c>
      <x:c r="AH101" s="18" t="n">
        <x:f>IF(ISNUMBER('原始输入与口径'!Y103),'原始输入与口径'!Y103,"缺失")</x:f>
        <x:v>200</x:v>
      </x:c>
      <x:c r="AI101" s="18" t="n">
        <x:f>IF(ISNUMBER('原始输入与口径'!AI103),'原始输入与口径'!AI103,"缺失")</x:f>
        <x:v>4.46</x:v>
      </x:c>
      <x:c r="AJ101" s="18" t="n">
        <x:f>IF(ISNUMBER('原始输入与口径'!AL103),'原始输入与口径'!AL103,"缺失")</x:f>
        <x:v>0</x:v>
      </x:c>
      <x:c r="AK101" s="18" t="str">
        <x:f>IF(ISNUMBER('原始输入与口径'!O103),'原始输入与口径'!O103,"缺失")</x:f>
        <x:v>缺失</x:v>
      </x:c>
      <x:c r="AL101" s="18" t="n">
        <x:f>SUMIFS('相位SOC复算'!$N$7:$N$443,'相位SOC复算'!$S$7:$S$443,95)</x:f>
        <x:v>0</x:v>
      </x:c>
      <x:c r="AM101" s="18" t="n">
        <x:f>SUMIFS('相位SOC复算'!$Q$7:$Q$443,'相位SOC复算'!$S$7:$S$443,95)</x:f>
        <x:v>0</x:v>
      </x:c>
      <x:c r="AN101" s="18" t="n">
        <x:f>SUMIFS('相位SOC复算'!$R$7:$R$443,'相位SOC复算'!$S$7:$S$443,95)</x:f>
        <x:v>0</x:v>
      </x:c>
      <x:c r="AO101" s="18" t="n">
        <x:f>'相位SOC复算'!J228</x:f>
        <x:v>10</x:v>
      </x:c>
      <x:c r="AP101" s="18" t="n">
        <x:f>AO101-J101</x:f>
        <x:v>0</x:v>
      </x:c>
      <x:c r="AQ101" s="18" t="n">
        <x:f>IF(ISBLANK('原始输入与口径'!M103),"",'原始输入与口径'!M103)</x:f>
        <x:v>4.9741</x:v>
      </x:c>
      <x:c r="AR101" s="21" t="n">
        <x:f>IF(ISBLANK('原始输入与口径'!L103),"",'原始输入与口径'!L103)</x:f>
        <x:v>45657</x:v>
      </x:c>
      <x:c r="AS101" s="17" t="n">
        <x:f>IF(ISBLANK('原始输入与口径'!A103),"",'原始输入与口径'!A103)</x:f>
        <x:v>45658.895833333336</x:v>
      </x:c>
      <x:c r="AT101" s="18" t="str">
        <x:f>IF(ISBLANK('原始输入与口径'!I103),"",'原始输入与口径'!I103)</x:f>
        <x:v>2025-01-01_23</x:v>
      </x:c>
      <x:c r="AU101" s="19" t="n">
        <x:f>IF(ISBLANK('原始输入与口径'!J103),"",'原始输入与口径'!J103)</x:f>
        <x:v>60</x:v>
      </x:c>
      <x:c r="AV101" s="18" t="str">
        <x:f>IF(ISBLANK('原始输入与口径'!BB103),"",'原始输入与口径'!BB103)</x:f>
        <x:v>OK</x:v>
      </x:c>
    </x:row>
    <x:row r="102" ht="21" customHeight="1">
      <x:c r="A102" s="17" t="n">
        <x:f>45658.989583333336</x:f>
        <x:v>45658.989583333336</x:v>
      </x:c>
      <x:c r="B102" s="23" t="n">
        <x:f>IF(ISNUMBER('原始输入与口径'!H104),'原始输入与口径'!H104,"缺失")</x:f>
        <x:v>107.6</x:v>
      </x:c>
      <x:c r="C102" s="23" t="str">
        <x:f>IF(ISNUMBER('原始输入与口径'!R104),'原始输入与口径'!R104,"缺失")</x:f>
        <x:v>缺失</x:v>
      </x:c>
      <x:c r="D102" s="23" t="n">
        <x:f>IF(ISNUMBER('原始输入与口径'!W104),'原始输入与口径'!W104,"缺失")</x:f>
        <x:v>13.831647936310086</x:v>
      </x:c>
      <x:c r="E102" s="23" t="n">
        <x:f>IF(ISNUMBER('原始输入与口径'!AB104),'原始输入与口径'!AB104,"缺失")</x:f>
        <x:v>14.710198829939085</x:v>
      </x:c>
      <x:c r="F102" s="23" t="n">
        <x:f>IF(ISNUMBER('原始输入与口径'!AG104),'原始输入与口径'!AG104,"缺失")</x:f>
        <x:v>138.90090669668885</x:v>
      </x:c>
      <x:c r="G102" s="23" t="n">
        <x:f>IF(ISNUMBER('原始输入与口径'!AJ104),'原始输入与口径'!AJ104,"缺失")</x:f>
        <x:v>48.28833356788163</x:v>
      </x:c>
      <x:c r="H102" s="23" t="str">
        <x:f>"未模拟"</x:f>
        <x:v>未模拟</x:v>
      </x:c>
      <x:c r="I102" s="24" t="n">
        <x:f>'原始输入与口径'!BD104</x:f>
        <x:v>10</x:v>
      </x:c>
      <x:c r="J102" s="24" t="n">
        <x:f>'原始输入与口径'!BE104</x:f>
        <x:v>10</x:v>
      </x:c>
      <x:c r="K102" s="24" t="n">
        <x:f>'原始输入与口径'!BF104</x:f>
        <x:v>0</x:v>
      </x:c>
      <x:c r="L102" s="24" t="n">
        <x:f>'原始输入与口径'!BG104</x:f>
        <x:v>0</x:v>
      </x:c>
      <x:c r="M102" s="24" t="n">
        <x:f>'原始输入与口径'!BH104</x:f>
        <x:v>0</x:v>
      </x:c>
      <x:c r="N102" s="24" t="n">
        <x:f>'原始输入与口径'!BI104</x:f>
        <x:v>0</x:v>
      </x:c>
      <x:c r="O102" s="24" t="n">
        <x:f>M102*AE102*AC102</x:f>
        <x:v>0</x:v>
      </x:c>
      <x:c r="P102" s="24" t="n">
        <x:f>N102*AF102*AC102</x:f>
        <x:v>0</x:v>
      </x:c>
      <x:c r="Q102" s="25" t="n">
        <x:f>IF(K102=0,0,IF(ISNUMBER(B102),K102*AC102*B102,NA()))</x:f>
        <x:v>0</x:v>
      </x:c>
      <x:c r="R102" s="25" t="n">
        <x:f>IF(L102=0,0,IF(ISNUMBER(C102),L102*AC102*C102*AD102,NA()))</x:f>
        <x:v>0</x:v>
      </x:c>
      <x:c r="S102" s="25" t="n">
        <x:f>IF(M102=0,0,IF(ISNUMBER(D102),M102*AC102*D102*AD102,NA()))</x:f>
        <x:v>0</x:v>
      </x:c>
      <x:c r="T102" s="25" t="n">
        <x:f>IF(N102=0,0,IF(ISNUMBER(E102),N102*AC102*E102*AD102,NA()))</x:f>
        <x:v>0</x:v>
      </x:c>
      <x:c r="U102" s="25" t="n">
        <x:f>IF(O102=0,0,IF(ISNUMBER(F102),O102*F102,NA()))</x:f>
        <x:v>0</x:v>
      </x:c>
      <x:c r="V102" s="25" t="n">
        <x:f>IF(P102=0,0,IF(ISNUMBER(G102),-P102*G102,NA()))</x:f>
        <x:v>0</x:v>
      </x:c>
      <x:c r="W102" s="25" t="n">
        <x:f>SUM(Q102:V102)</x:f>
        <x:v>0</x:v>
      </x:c>
      <x:c r="X102" s="18" t="n">
        <x:f>'原始输入与口径'!BR104</x:f>
        <x:v>0</x:v>
      </x:c>
      <x:c r="Y102" s="18" t="n">
        <x:f>W102-X102</x:f>
        <x:v>0</x:v>
      </x:c>
      <x:c r="Z102" s="18" t="str">
        <x:f>"1月1日执行｜初始化零订单"</x:f>
        <x:v>1月1日执行｜初始化零订单</x:v>
      </x:c>
      <x:c r="AA102" s="19" t="n">
        <x:f>IF('原始输入与口径'!AW104,1,0)</x:f>
        <x:v>1</x:v>
      </x:c>
      <x:c r="AB102" s="19" t="n">
        <x:f>IF('原始输入与口径'!AY104,1,0)</x:f>
        <x:v>0</x:v>
      </x:c>
      <x:c r="AC102" s="18" t="n">
        <x:f>'原始输入与口径'!E104</x:f>
        <x:v>0.25</x:v>
      </x:c>
      <x:c r="AD102" s="20" t="n">
        <x:f>'原始输入与口径'!$F$5</x:f>
        <x:v>1</x:v>
      </x:c>
      <x:c r="AE102" s="20" t="n">
        <x:f>IF(AA102=0,0,AI102/(AG102*AC102))</x:f>
        <x:v>0.016200000000000003</x:v>
      </x:c>
      <x:c r="AF102" s="20" t="n">
        <x:f>IF(AA102=0,0,AJ102/(AH102*AC102))</x:f>
        <x:v>0.0023</x:v>
      </x:c>
      <x:c r="AG102" s="18" t="n">
        <x:f>IF(ISNUMBER('原始输入与口径'!T104),'原始输入与口径'!T104,"缺失")</x:f>
        <x:v>200</x:v>
      </x:c>
      <x:c r="AH102" s="18" t="n">
        <x:f>IF(ISNUMBER('原始输入与口径'!Y104),'原始输入与口径'!Y104,"缺失")</x:f>
        <x:v>200</x:v>
      </x:c>
      <x:c r="AI102" s="18" t="n">
        <x:f>IF(ISNUMBER('原始输入与口径'!AI104),'原始输入与口径'!AI104,"缺失")</x:f>
        <x:v>0.81</x:v>
      </x:c>
      <x:c r="AJ102" s="18" t="n">
        <x:f>IF(ISNUMBER('原始输入与口径'!AL104),'原始输入与口径'!AL104,"缺失")</x:f>
        <x:v>0.115</x:v>
      </x:c>
      <x:c r="AK102" s="18" t="str">
        <x:f>IF(ISNUMBER('原始输入与口径'!O104),'原始输入与口径'!O104,"缺失")</x:f>
        <x:v>缺失</x:v>
      </x:c>
      <x:c r="AL102" s="18" t="n">
        <x:f>SUMIFS('相位SOC复算'!$N$7:$N$443,'相位SOC复算'!$S$7:$S$443,96)</x:f>
        <x:v>0</x:v>
      </x:c>
      <x:c r="AM102" s="18" t="n">
        <x:f>SUMIFS('相位SOC复算'!$Q$7:$Q$443,'相位SOC复算'!$S$7:$S$443,96)</x:f>
        <x:v>0</x:v>
      </x:c>
      <x:c r="AN102" s="18" t="n">
        <x:f>SUMIFS('相位SOC复算'!$R$7:$R$443,'相位SOC复算'!$S$7:$S$443,96)</x:f>
        <x:v>0</x:v>
      </x:c>
      <x:c r="AO102" s="18" t="n">
        <x:f>'相位SOC复算'!J231</x:f>
        <x:v>10</x:v>
      </x:c>
      <x:c r="AP102" s="18" t="n">
        <x:f>AO102-J102</x:f>
        <x:v>0</x:v>
      </x:c>
      <x:c r="AQ102" s="18" t="n">
        <x:f>IF(ISBLANK('原始输入与口径'!M104),"",'原始输入与口径'!M104)</x:f>
        <x:v>4.9741</x:v>
      </x:c>
      <x:c r="AR102" s="21" t="n">
        <x:f>IF(ISBLANK('原始输入与口径'!L104),"",'原始输入与口径'!L104)</x:f>
        <x:v>45657</x:v>
      </x:c>
      <x:c r="AS102" s="17" t="n">
        <x:f>IF(ISBLANK('原始输入与口径'!A104),"",'原始输入与口径'!A104)</x:f>
        <x:v>45658.90625</x:v>
      </x:c>
      <x:c r="AT102" s="18" t="str">
        <x:f>IF(ISBLANK('原始输入与口径'!I104),"",'原始输入与口径'!I104)</x:f>
        <x:v>2025-01-01_23</x:v>
      </x:c>
      <x:c r="AU102" s="19" t="n">
        <x:f>IF(ISBLANK('原始输入与口径'!J104),"",'原始输入与口径'!J104)</x:f>
        <x:v>60</x:v>
      </x:c>
      <x:c r="AV102" s="18" t="str">
        <x:f>IF(ISBLANK('原始输入与口径'!BB104),"",'原始输入与口径'!BB104)</x:f>
        <x:v>OK</x:v>
      </x:c>
    </x:row>
    <x:row r="103" ht="21" customHeight="1">
      <x:c r="A103" s="28" t="n">
        <x:f>45659</x:f>
        <x:v>45659</x:v>
      </x:c>
      <x:c r="B103" s="29" t="n">
        <x:f>IF(ISNUMBER('原始输入与口径'!H105),'原始输入与口径'!H105,"缺失")</x:f>
        <x:v>65.1</x:v>
      </x:c>
      <x:c r="C103" s="29" t="str">
        <x:f>IF(ISNUMBER('原始输入与口径'!R105),'原始输入与口径'!R105,"缺失")</x:f>
        <x:v>缺失</x:v>
      </x:c>
      <x:c r="D103" s="29" t="n">
        <x:f>IF(ISNUMBER('原始输入与口径'!W105),'原始输入与口径'!W105,"缺失")</x:f>
        <x:v>13.670814820771596</x:v>
      </x:c>
      <x:c r="E103" s="29" t="n">
        <x:f>IF(ISNUMBER('原始输入与口径'!AB105),'原始输入与口径'!AB105,"缺失")</x:f>
        <x:v>14.710198829939085</x:v>
      </x:c>
      <x:c r="F103" s="29" t="n">
        <x:f>IF(ISNUMBER('原始输入与口径'!AG105),'原始输入与口径'!AG105,"缺失")</x:f>
        <x:v>519.0613377294385</x:v>
      </x:c>
      <x:c r="G103" s="29" t="n">
        <x:f>IF(ISNUMBER('原始输入与口径'!AJ105),'原始输入与口径'!AJ105,"缺失")</x:f>
        <x:v>0</x:v>
      </x:c>
      <x:c r="H103" s="29" t="str">
        <x:f>"未模拟"</x:f>
        <x:v>未模拟</x:v>
      </x:c>
      <x:c r="I103" s="30" t="n">
        <x:f>'原始输入与口径'!BD105</x:f>
        <x:v>10</x:v>
      </x:c>
      <x:c r="J103" s="30" t="n">
        <x:f>'原始输入与口径'!BE105</x:f>
        <x:v>13.970719999999996</x:v>
      </x:c>
      <x:c r="K103" s="30" t="n">
        <x:f>'原始输入与口径'!BF105</x:f>
        <x:v>-100</x:v>
      </x:c>
      <x:c r="L103" s="30" t="n">
        <x:f>'原始输入与口径'!BG105</x:f>
        <x:v>0</x:v>
      </x:c>
      <x:c r="M103" s="30" t="n">
        <x:f>'原始输入与口径'!BH105</x:f>
        <x:v>100</x:v>
      </x:c>
      <x:c r="N103" s="30" t="n">
        <x:f>'原始输入与口径'!BI105</x:f>
        <x:v>0</x:v>
      </x:c>
      <x:c r="O103" s="30" t="n">
        <x:f>M103*AE103*AC103</x:f>
        <x:v>20.684</x:v>
      </x:c>
      <x:c r="P103" s="30" t="n">
        <x:f>N103*AF103*AC103</x:f>
        <x:v>0</x:v>
      </x:c>
      <x:c r="Q103" s="31" t="n">
        <x:f>IF(K103=0,0,IF(ISNUMBER(B103),K103*AC103*B103,NA()))</x:f>
        <x:v>-1627.4999999999998</x:v>
      </x:c>
      <x:c r="R103" s="31" t="n">
        <x:f>IF(L103=0,0,IF(ISNUMBER(C103),L103*AC103*C103*AD103,NA()))</x:f>
        <x:v>0</x:v>
      </x:c>
      <x:c r="S103" s="31" t="n">
        <x:f>IF(M103=0,0,IF(ISNUMBER(D103),M103*AC103*D103*AD103,NA()))</x:f>
        <x:v>341.77037051928994</x:v>
      </x:c>
      <x:c r="T103" s="31" t="n">
        <x:f>IF(N103=0,0,IF(ISNUMBER(E103),N103*AC103*E103*AD103,NA()))</x:f>
        <x:v>0</x:v>
      </x:c>
      <x:c r="U103" s="31" t="n">
        <x:f>IF(O103=0,0,IF(ISNUMBER(F103),O103*F103,NA()))</x:f>
        <x:v>10736.264709595705</x:v>
      </x:c>
      <x:c r="V103" s="31" t="n">
        <x:f>IF(P103=0,0,IF(ISNUMBER(G103),-P103*G103,NA()))</x:f>
        <x:v>0</x:v>
      </x:c>
      <x:c r="W103" s="31" t="n">
        <x:f>SUM(Q103:V103)</x:f>
        <x:v>9450.535080114996</x:v>
      </x:c>
      <x:c r="X103" s="32" t="n">
        <x:f>'原始输入与口径'!BR105</x:f>
        <x:v>9450.535080114996</x:v>
      </x:c>
      <x:c r="Y103" s="32" t="n">
        <x:f>W103-X103</x:f>
        <x:v>0</x:v>
      </x:c>
      <x:c r="Z103" s="32" t="str">
        <x:f>"1月2日计划｜本窗新增"</x:f>
        <x:v>1月2日计划｜本窗新增</x:v>
      </x:c>
      <x:c r="AA103" s="33" t="n">
        <x:f>IF('原始输入与口径'!AW105,1,0)</x:f>
        <x:v>1</x:v>
      </x:c>
      <x:c r="AB103" s="33" t="n">
        <x:f>IF('原始输入与口径'!AY105,1,0)</x:f>
        <x:v>0</x:v>
      </x:c>
      <x:c r="AC103" s="32" t="n">
        <x:f>'原始输入与口径'!E105</x:f>
        <x:v>0.25</x:v>
      </x:c>
      <x:c r="AD103" s="34" t="n">
        <x:f>'原始输入与口径'!$F$5</x:f>
        <x:v>1</x:v>
      </x:c>
      <x:c r="AE103" s="34" t="n">
        <x:f>IF(AA103=0,0,AI103/(AG103*AC103))</x:f>
        <x:v>0.8273600000000001</x:v>
      </x:c>
      <x:c r="AF103" s="34" t="n">
        <x:f>IF(AA103=0,0,AJ103/(AH103*AC103))</x:f>
        <x:v>0</x:v>
      </x:c>
      <x:c r="AG103" s="32" t="n">
        <x:f>IF(ISNUMBER('原始输入与口径'!T105),'原始输入与口径'!T105,"缺失")</x:f>
        <x:v>200</x:v>
      </x:c>
      <x:c r="AH103" s="32" t="n">
        <x:f>IF(ISNUMBER('原始输入与口径'!Y105),'原始输入与口径'!Y105,"缺失")</x:f>
        <x:v>200</x:v>
      </x:c>
      <x:c r="AI103" s="32" t="n">
        <x:f>IF(ISNUMBER('原始输入与口径'!AI105),'原始输入与口径'!AI105,"缺失")</x:f>
        <x:v>41.368</x:v>
      </x:c>
      <x:c r="AJ103" s="32" t="n">
        <x:f>IF(ISNUMBER('原始输入与口径'!AL105),'原始输入与口径'!AL105,"缺失")</x:f>
        <x:v>0</x:v>
      </x:c>
      <x:c r="AK103" s="32" t="str">
        <x:f>IF(ISNUMBER('原始输入与口径'!O105),'原始输入与口径'!O105,"缺失")</x:f>
        <x:v>缺失</x:v>
      </x:c>
      <x:c r="AL103" s="32" t="n">
        <x:f>SUMIFS('相位SOC复算'!$N$7:$N$443,'相位SOC复算'!$S$7:$S$443,97)</x:f>
        <x:v>0.011029777777777772</x:v>
      </x:c>
      <x:c r="AM103" s="32" t="n">
        <x:f>SUMIFS('相位SOC复算'!$Q$7:$Q$443,'相位SOC复算'!$S$7:$S$443,97)</x:f>
        <x:v>4.315999999999997</x:v>
      </x:c>
      <x:c r="AN103" s="32" t="n">
        <x:f>SUMIFS('相位SOC复算'!$R$7:$R$443,'相位SOC复算'!$S$7:$S$443,97)</x:f>
        <x:v>0</x:v>
      </x:c>
      <x:c r="AO103" s="32" t="n">
        <x:f>'相位SOC复算'!J233</x:f>
        <x:v>13.970719999999998</x:v>
      </x:c>
      <x:c r="AP103" s="32" t="n">
        <x:f>AO103-J103</x:f>
        <x:v>1.7763568394002505e-15</x:v>
      </x:c>
      <x:c r="AQ103" s="32" t="n">
        <x:f>IF(ISBLANK('原始输入与口径'!M105),"",'原始输入与口径'!M105)</x:f>
        <x:v>4.9741</x:v>
      </x:c>
      <x:c r="AR103" s="35" t="n">
        <x:f>IF(ISBLANK('原始输入与口径'!L105),"",'原始输入与口径'!L105)</x:f>
        <x:v>45657</x:v>
      </x:c>
      <x:c r="AS103" s="28" t="n">
        <x:f>IF(ISBLANK('原始输入与口径'!A105),"",'原始输入与口径'!A105)</x:f>
        <x:v>45658.916666666664</x:v>
      </x:c>
      <x:c r="AT103" s="32" t="str">
        <x:f>IF(ISBLANK('原始输入与口径'!I105),"",'原始输入与口径'!I105)</x:f>
        <x:v>2025-01-01_24</x:v>
      </x:c>
      <x:c r="AU103" s="33" t="n">
        <x:f>IF(ISBLANK('原始输入与口径'!J105),"",'原始输入与口径'!J105)</x:f>
        <x:v>60</x:v>
      </x:c>
      <x:c r="AV103" s="32" t="str">
        <x:f>IF(ISBLANK('原始输入与口径'!BB105),"",'原始输入与口径'!BB105)</x:f>
        <x:v>OK</x:v>
      </x:c>
    </x:row>
    <x:row r="104" ht="21" customHeight="1">
      <x:c r="A104" s="17" t="n">
        <x:f>45659.010416666664</x:f>
        <x:v>45659.010416666664</x:v>
      </x:c>
      <x:c r="B104" s="23" t="n">
        <x:f>IF(ISNUMBER('原始输入与口径'!H106),'原始输入与口径'!H106,"缺失")</x:f>
        <x:v>65.1</x:v>
      </x:c>
      <x:c r="C104" s="23" t="str">
        <x:f>IF(ISNUMBER('原始输入与口径'!R106),'原始输入与口径'!R106,"缺失")</x:f>
        <x:v>缺失</x:v>
      </x:c>
      <x:c r="D104" s="23" t="n">
        <x:f>IF(ISNUMBER('原始输入与口径'!W106),'原始输入与口径'!W106,"缺失")</x:f>
        <x:v>13.670814820771596</x:v>
      </x:c>
      <x:c r="E104" s="23" t="n">
        <x:f>IF(ISNUMBER('原始输入与口径'!AB106),'原始输入与口径'!AB106,"缺失")</x:f>
        <x:v>14.710198829939085</x:v>
      </x:c>
      <x:c r="F104" s="23" t="n">
        <x:f>IF(ISNUMBER('原始输入与口径'!AG106),'原始输入与口径'!AG106,"缺失")</x:f>
        <x:v>183.47761404073097</x:v>
      </x:c>
      <x:c r="G104" s="23" t="n">
        <x:f>IF(ISNUMBER('原始输入与口径'!AJ106),'原始输入与口径'!AJ106,"缺失")</x:f>
        <x:v>0</x:v>
      </x:c>
      <x:c r="H104" s="23" t="str">
        <x:f>"未模拟"</x:f>
        <x:v>未模拟</x:v>
      </x:c>
      <x:c r="I104" s="24" t="n">
        <x:f>'原始输入与口径'!BD106</x:f>
        <x:v>13.970719999999996</x:v>
      </x:c>
      <x:c r="J104" s="24" t="n">
        <x:f>'原始输入与口径'!BE106</x:f>
        <x:v>21.517019999999995</x:v>
      </x:c>
      <x:c r="K104" s="24" t="n">
        <x:f>'原始输入与口径'!BF106</x:f>
        <x:v>-100</x:v>
      </x:c>
      <x:c r="L104" s="24" t="n">
        <x:f>'原始输入与口径'!BG106</x:f>
        <x:v>0</x:v>
      </x:c>
      <x:c r="M104" s="24" t="n">
        <x:f>'原始输入与口径'!BH106</x:f>
        <x:v>100</x:v>
      </x:c>
      <x:c r="N104" s="24" t="n">
        <x:f>'原始输入与口径'!BI106</x:f>
        <x:v>0</x:v>
      </x:c>
      <x:c r="O104" s="24" t="n">
        <x:f>M104*AE104*AC104</x:f>
        <x:v>16.7975</x:v>
      </x:c>
      <x:c r="P104" s="24" t="n">
        <x:f>N104*AF104*AC104</x:f>
        <x:v>0</x:v>
      </x:c>
      <x:c r="Q104" s="25" t="n">
        <x:f>IF(K104=0,0,IF(ISNUMBER(B104),K104*AC104*B104,NA()))</x:f>
        <x:v>-1627.4999999999998</x:v>
      </x:c>
      <x:c r="R104" s="25" t="n">
        <x:f>IF(L104=0,0,IF(ISNUMBER(C104),L104*AC104*C104*AD104,NA()))</x:f>
        <x:v>0</x:v>
      </x:c>
      <x:c r="S104" s="25" t="n">
        <x:f>IF(M104=0,0,IF(ISNUMBER(D104),M104*AC104*D104*AD104,NA()))</x:f>
        <x:v>341.77037051928994</x:v>
      </x:c>
      <x:c r="T104" s="25" t="n">
        <x:f>IF(N104=0,0,IF(ISNUMBER(E104),N104*AC104*E104*AD104,NA()))</x:f>
        <x:v>0</x:v>
      </x:c>
      <x:c r="U104" s="25" t="n">
        <x:f>IF(O104=0,0,IF(ISNUMBER(F104),O104*F104,NA()))</x:f>
        <x:v>3081.9652218491783</x:v>
      </x:c>
      <x:c r="V104" s="25" t="n">
        <x:f>IF(P104=0,0,IF(ISNUMBER(G104),-P104*G104,NA()))</x:f>
        <x:v>0</x:v>
      </x:c>
      <x:c r="W104" s="25" t="n">
        <x:f>SUM(Q104:V104)</x:f>
        <x:v>1796.2355923684686</x:v>
      </x:c>
      <x:c r="X104" s="18" t="n">
        <x:f>'原始输入与口径'!BR106</x:f>
        <x:v>1796.2355923684686</x:v>
      </x:c>
      <x:c r="Y104" s="18" t="n">
        <x:f>W104-X104</x:f>
        <x:v>0</x:v>
      </x:c>
      <x:c r="Z104" s="18" t="str">
        <x:f>"1月2日计划｜本窗新增"</x:f>
        <x:v>1月2日计划｜本窗新增</x:v>
      </x:c>
      <x:c r="AA104" s="19" t="n">
        <x:f>IF('原始输入与口径'!AW106,1,0)</x:f>
        <x:v>1</x:v>
      </x:c>
      <x:c r="AB104" s="19" t="n">
        <x:f>IF('原始输入与口径'!AY106,1,0)</x:f>
        <x:v>0</x:v>
      </x:c>
      <x:c r="AC104" s="18" t="n">
        <x:f>'原始输入与口径'!E106</x:f>
        <x:v>0.25</x:v>
      </x:c>
      <x:c r="AD104" s="20" t="n">
        <x:f>'原始输入与口径'!$F$5</x:f>
        <x:v>1</x:v>
      </x:c>
      <x:c r="AE104" s="20" t="n">
        <x:f>IF(AA104=0,0,AI104/(AG104*AC104))</x:f>
        <x:v>0.6718999999999999</x:v>
      </x:c>
      <x:c r="AF104" s="20" t="n">
        <x:f>IF(AA104=0,0,AJ104/(AH104*AC104))</x:f>
        <x:v>0</x:v>
      </x:c>
      <x:c r="AG104" s="18" t="n">
        <x:f>IF(ISNUMBER('原始输入与口径'!T106),'原始输入与口径'!T106,"缺失")</x:f>
        <x:v>200</x:v>
      </x:c>
      <x:c r="AH104" s="18" t="n">
        <x:f>IF(ISNUMBER('原始输入与口径'!Y106),'原始输入与口径'!Y106,"缺失")</x:f>
        <x:v>200</x:v>
      </x:c>
      <x:c r="AI104" s="18" t="n">
        <x:f>IF(ISNUMBER('原始输入与口径'!AI106),'原始输入与口径'!AI106,"缺失")</x:f>
        <x:v>33.595</x:v>
      </x:c>
      <x:c r="AJ104" s="18" t="n">
        <x:f>IF(ISNUMBER('原始输入与口径'!AL106),'原始输入与口径'!AL106,"缺失")</x:f>
        <x:v>0</x:v>
      </x:c>
      <x:c r="AK104" s="18" t="str">
        <x:f>IF(ISNUMBER('原始输入与口径'!O106),'原始输入与口径'!O106,"缺失")</x:f>
        <x:v>缺失</x:v>
      </x:c>
      <x:c r="AL104" s="18" t="n">
        <x:f>SUMIFS('相位SOC复算'!$N$7:$N$443,'相位SOC复算'!$S$7:$S$443,98)</x:f>
        <x:v>0.02096194444444445</x:v>
      </x:c>
      <x:c r="AM104" s="18" t="n">
        <x:f>SUMIFS('相位SOC复算'!$Q$7:$Q$443,'相位SOC复算'!$S$7:$S$443,98)</x:f>
        <x:v>8.2025</x:v>
      </x:c>
      <x:c r="AN104" s="18" t="n">
        <x:f>SUMIFS('相位SOC复算'!$R$7:$R$443,'相位SOC复算'!$S$7:$S$443,98)</x:f>
        <x:v>0</x:v>
      </x:c>
      <x:c r="AO104" s="18" t="n">
        <x:f>'相位SOC复算'!J235</x:f>
        <x:v>21.51702</x:v>
      </x:c>
      <x:c r="AP104" s="18" t="n">
        <x:f>AO104-J104</x:f>
        <x:v>3.552713678800501e-15</x:v>
      </x:c>
      <x:c r="AQ104" s="18" t="n">
        <x:f>IF(ISBLANK('原始输入与口径'!M106),"",'原始输入与口径'!M106)</x:f>
        <x:v>4.9741</x:v>
      </x:c>
      <x:c r="AR104" s="21" t="n">
        <x:f>IF(ISBLANK('原始输入与口径'!L106),"",'原始输入与口径'!L106)</x:f>
        <x:v>45657</x:v>
      </x:c>
      <x:c r="AS104" s="17" t="n">
        <x:f>IF(ISBLANK('原始输入与口径'!A106),"",'原始输入与口径'!A106)</x:f>
        <x:v>45658.927083333336</x:v>
      </x:c>
      <x:c r="AT104" s="18" t="str">
        <x:f>IF(ISBLANK('原始输入与口径'!I106),"",'原始输入与口径'!I106)</x:f>
        <x:v>2025-01-01_24</x:v>
      </x:c>
      <x:c r="AU104" s="19" t="n">
        <x:f>IF(ISBLANK('原始输入与口径'!J106),"",'原始输入与口径'!J106)</x:f>
        <x:v>60</x:v>
      </x:c>
      <x:c r="AV104" s="18" t="str">
        <x:f>IF(ISBLANK('原始输入与口径'!BB106),"",'原始输入与口径'!BB106)</x:f>
        <x:v>OK</x:v>
      </x:c>
    </x:row>
    <x:row r="105" ht="21" customHeight="1">
      <x:c r="A105" s="17" t="n">
        <x:f>45659.020833333336</x:f>
        <x:v>45659.020833333336</x:v>
      </x:c>
      <x:c r="B105" s="23" t="n">
        <x:f>IF(ISNUMBER('原始输入与口径'!H107),'原始输入与口径'!H107,"缺失")</x:f>
        <x:v>65.1</x:v>
      </x:c>
      <x:c r="C105" s="23" t="str">
        <x:f>IF(ISNUMBER('原始输入与口径'!R107),'原始输入与口径'!R107,"缺失")</x:f>
        <x:v>缺失</x:v>
      </x:c>
      <x:c r="D105" s="23" t="n">
        <x:f>IF(ISNUMBER('原始输入与口径'!W107),'原始输入与口径'!W107,"缺失")</x:f>
        <x:v>13.670814820771596</x:v>
      </x:c>
      <x:c r="E105" s="23" t="n">
        <x:f>IF(ISNUMBER('原始输入与口径'!AB107),'原始输入与口径'!AB107,"缺失")</x:f>
        <x:v>14.710198829939085</x:v>
      </x:c>
      <x:c r="F105" s="23" t="n">
        <x:f>IF(ISNUMBER('原始输入与口径'!AG107),'原始输入与口径'!AG107,"缺失")</x:f>
        <x:v>155.60201845560002</x:v>
      </x:c>
      <x:c r="G105" s="23" t="n">
        <x:f>IF(ISNUMBER('原始输入与口径'!AJ107),'原始输入与口径'!AJ107,"缺失")</x:f>
        <x:v>0</x:v>
      </x:c>
      <x:c r="H105" s="23" t="str">
        <x:f>"未模拟"</x:f>
        <x:v>未模拟</x:v>
      </x:c>
      <x:c r="I105" s="24" t="n">
        <x:f>'原始输入与口径'!BD107</x:f>
        <x:v>21.517019999999995</x:v>
      </x:c>
      <x:c r="J105" s="24" t="n">
        <x:f>'原始输入与口径'!BE107</x:f>
        <x:v>35.571859999999994</x:v>
      </x:c>
      <x:c r="K105" s="24" t="n">
        <x:f>'原始输入与口径'!BF107</x:f>
        <x:v>-100</x:v>
      </x:c>
      <x:c r="L105" s="24" t="n">
        <x:f>'原始输入与口径'!BG107</x:f>
        <x:v>0</x:v>
      </x:c>
      <x:c r="M105" s="24" t="n">
        <x:f>'原始输入与口径'!BH107</x:f>
        <x:v>100</x:v>
      </x:c>
      <x:c r="N105" s="24" t="n">
        <x:f>'原始输入与口径'!BI107</x:f>
        <x:v>0</x:v>
      </x:c>
      <x:c r="O105" s="24" t="n">
        <x:f>M105*AE105*AC105</x:f>
        <x:v>9.723</x:v>
      </x:c>
      <x:c r="P105" s="24" t="n">
        <x:f>N105*AF105*AC105</x:f>
        <x:v>0</x:v>
      </x:c>
      <x:c r="Q105" s="25" t="n">
        <x:f>IF(K105=0,0,IF(ISNUMBER(B105),K105*AC105*B105,NA()))</x:f>
        <x:v>-1627.4999999999998</x:v>
      </x:c>
      <x:c r="R105" s="25" t="n">
        <x:f>IF(L105=0,0,IF(ISNUMBER(C105),L105*AC105*C105*AD105,NA()))</x:f>
        <x:v>0</x:v>
      </x:c>
      <x:c r="S105" s="25" t="n">
        <x:f>IF(M105=0,0,IF(ISNUMBER(D105),M105*AC105*D105*AD105,NA()))</x:f>
        <x:v>341.77037051928994</x:v>
      </x:c>
      <x:c r="T105" s="25" t="n">
        <x:f>IF(N105=0,0,IF(ISNUMBER(E105),N105*AC105*E105*AD105,NA()))</x:f>
        <x:v>0</x:v>
      </x:c>
      <x:c r="U105" s="25" t="n">
        <x:f>IF(O105=0,0,IF(ISNUMBER(F105),O105*F105,NA()))</x:f>
        <x:v>1512.9184254437992</x:v>
      </x:c>
      <x:c r="V105" s="25" t="n">
        <x:f>IF(P105=0,0,IF(ISNUMBER(G105),-P105*G105,NA()))</x:f>
        <x:v>0</x:v>
      </x:c>
      <x:c r="W105" s="25" t="n">
        <x:f>SUM(Q105:V105)</x:f>
        <x:v>227.18879596308943</x:v>
      </x:c>
      <x:c r="X105" s="18" t="n">
        <x:f>'原始输入与口径'!BR107</x:f>
        <x:v>227.18879596308932</x:v>
      </x:c>
      <x:c r="Y105" s="18" t="n">
        <x:f>W105-X105</x:f>
        <x:v>1.1368683772161603e-13</x:v>
      </x:c>
      <x:c r="Z105" s="18" t="str">
        <x:f>"1月2日计划｜本窗新增"</x:f>
        <x:v>1月2日计划｜本窗新增</x:v>
      </x:c>
      <x:c r="AA105" s="19" t="n">
        <x:f>IF('原始输入与口径'!AW107,1,0)</x:f>
        <x:v>1</x:v>
      </x:c>
      <x:c r="AB105" s="19" t="n">
        <x:f>IF('原始输入与口径'!AY107,1,0)</x:f>
        <x:v>0</x:v>
      </x:c>
      <x:c r="AC105" s="18" t="n">
        <x:f>'原始输入与口径'!E107</x:f>
        <x:v>0.25</x:v>
      </x:c>
      <x:c r="AD105" s="20" t="n">
        <x:f>'原始输入与口径'!$F$5</x:f>
        <x:v>1</x:v>
      </x:c>
      <x:c r="AE105" s="20" t="n">
        <x:f>IF(AA105=0,0,AI105/(AG105*AC105))</x:f>
        <x:v>0.38892000000000004</x:v>
      </x:c>
      <x:c r="AF105" s="20" t="n">
        <x:f>IF(AA105=0,0,AJ105/(AH105*AC105))</x:f>
        <x:v>0</x:v>
      </x:c>
      <x:c r="AG105" s="18" t="n">
        <x:f>IF(ISNUMBER('原始输入与口径'!T107),'原始输入与口径'!T107,"缺失")</x:f>
        <x:v>200</x:v>
      </x:c>
      <x:c r="AH105" s="18" t="n">
        <x:f>IF(ISNUMBER('原始输入与口径'!Y107),'原始输入与口径'!Y107,"缺失")</x:f>
        <x:v>200</x:v>
      </x:c>
      <x:c r="AI105" s="18" t="n">
        <x:f>IF(ISNUMBER('原始输入与口径'!AI107),'原始输入与口径'!AI107,"缺失")</x:f>
        <x:v>19.446</x:v>
      </x:c>
      <x:c r="AJ105" s="18" t="n">
        <x:f>IF(ISNUMBER('原始输入与口径'!AL107),'原始输入与口径'!AL107,"缺失")</x:f>
        <x:v>0</x:v>
      </x:c>
      <x:c r="AK105" s="18" t="str">
        <x:f>IF(ISNUMBER('原始输入与口径'!O107),'原始输入与口径'!O107,"缺失")</x:f>
        <x:v>缺失</x:v>
      </x:c>
      <x:c r="AL105" s="18" t="n">
        <x:f>SUMIFS('相位SOC复算'!$N$7:$N$443,'相位SOC复算'!$S$7:$S$443,99)</x:f>
        <x:v>0.03904122222222222</x:v>
      </x:c>
      <x:c r="AM105" s="18" t="n">
        <x:f>SUMIFS('相位SOC复算'!$Q$7:$Q$443,'相位SOC复算'!$S$7:$S$443,99)</x:f>
        <x:v>15.277</x:v>
      </x:c>
      <x:c r="AN105" s="18" t="n">
        <x:f>SUMIFS('相位SOC复算'!$R$7:$R$443,'相位SOC复算'!$S$7:$S$443,99)</x:f>
        <x:v>0</x:v>
      </x:c>
      <x:c r="AO105" s="18" t="n">
        <x:f>'相位SOC复算'!J237</x:f>
        <x:v>35.57186</x:v>
      </x:c>
      <x:c r="AP105" s="18" t="n">
        <x:f>AO105-J105</x:f>
        <x:v>7.105427357601002e-15</x:v>
      </x:c>
      <x:c r="AQ105" s="18" t="n">
        <x:f>IF(ISBLANK('原始输入与口径'!M107),"",'原始输入与口径'!M107)</x:f>
        <x:v>4.9741</x:v>
      </x:c>
      <x:c r="AR105" s="21" t="n">
        <x:f>IF(ISBLANK('原始输入与口径'!L107),"",'原始输入与口径'!L107)</x:f>
        <x:v>45657</x:v>
      </x:c>
      <x:c r="AS105" s="17" t="n">
        <x:f>IF(ISBLANK('原始输入与口径'!A107),"",'原始输入与口径'!A107)</x:f>
        <x:v>45658.9375</x:v>
      </x:c>
      <x:c r="AT105" s="18" t="str">
        <x:f>IF(ISBLANK('原始输入与口径'!I107),"",'原始输入与口径'!I107)</x:f>
        <x:v>2025-01-01_24</x:v>
      </x:c>
      <x:c r="AU105" s="19" t="n">
        <x:f>IF(ISBLANK('原始输入与口径'!J107),"",'原始输入与口径'!J107)</x:f>
        <x:v>60</x:v>
      </x:c>
      <x:c r="AV105" s="18" t="str">
        <x:f>IF(ISBLANK('原始输入与口径'!BB107),"",'原始输入与口径'!BB107)</x:f>
        <x:v>OK</x:v>
      </x:c>
    </x:row>
    <x:row r="106" ht="21" customHeight="1">
      <x:c r="A106" s="17" t="n">
        <x:f>45659.03125</x:f>
        <x:v>45659.03125</x:v>
      </x:c>
      <x:c r="B106" s="23" t="n">
        <x:f>IF(ISNUMBER('原始输入与口径'!H108),'原始输入与口径'!H108,"缺失")</x:f>
        <x:v>65.1</x:v>
      </x:c>
      <x:c r="C106" s="23" t="str">
        <x:f>IF(ISNUMBER('原始输入与口径'!R108),'原始输入与口径'!R108,"缺失")</x:f>
        <x:v>缺失</x:v>
      </x:c>
      <x:c r="D106" s="23" t="n">
        <x:f>IF(ISNUMBER('原始输入与口径'!W108),'原始输入与口径'!W108,"缺失")</x:f>
        <x:v>13.670814820771596</x:v>
      </x:c>
      <x:c r="E106" s="23" t="n">
        <x:f>IF(ISNUMBER('原始输入与口径'!AB108),'原始输入与口径'!AB108,"缺失")</x:f>
        <x:v>14.710198829939085</x:v>
      </x:c>
      <x:c r="F106" s="23" t="n">
        <x:f>IF(ISNUMBER('原始输入与口径'!AG108),'原始输入与口径'!AG108,"缺失")</x:f>
        <x:v>146.63014414667978</x:v>
      </x:c>
      <x:c r="G106" s="23" t="n">
        <x:f>IF(ISNUMBER('原始输入与口径'!AJ108),'原始输入与口径'!AJ108,"缺失")</x:f>
        <x:v>30.197221607929073</x:v>
      </x:c>
      <x:c r="H106" s="23" t="str">
        <x:f>"未模拟"</x:f>
        <x:v>未模拟</x:v>
      </x:c>
      <x:c r="I106" s="24" t="n">
        <x:f>'原始输入与口径'!BD108</x:f>
        <x:v>35.571859999999994</x:v>
      </x:c>
      <x:c r="J106" s="24" t="n">
        <x:f>'原始输入与口径'!BE108</x:f>
        <x:v>57.68451999999999</x:v>
      </x:c>
      <x:c r="K106" s="24" t="n">
        <x:f>'原始输入与口径'!BF108</x:f>
        <x:v>-100</x:v>
      </x:c>
      <x:c r="L106" s="24" t="n">
        <x:f>'原始输入与口径'!BG108</x:f>
        <x:v>0</x:v>
      </x:c>
      <x:c r="M106" s="24" t="n">
        <x:f>'原始输入与口径'!BH108</x:f>
        <x:v>100</x:v>
      </x:c>
      <x:c r="N106" s="24" t="n">
        <x:f>'原始输入与口径'!BI108</x:f>
        <x:v>0</x:v>
      </x:c>
      <x:c r="O106" s="24" t="n">
        <x:f>M106*AE106*AC106</x:f>
        <x:v>0.9645000000000001</x:v>
      </x:c>
      <x:c r="P106" s="24" t="n">
        <x:f>N106*AF106*AC106</x:f>
        <x:v>0</x:v>
      </x:c>
      <x:c r="Q106" s="25" t="n">
        <x:f>IF(K106=0,0,IF(ISNUMBER(B106),K106*AC106*B106,NA()))</x:f>
        <x:v>-1627.4999999999998</x:v>
      </x:c>
      <x:c r="R106" s="25" t="n">
        <x:f>IF(L106=0,0,IF(ISNUMBER(C106),L106*AC106*C106*AD106,NA()))</x:f>
        <x:v>0</x:v>
      </x:c>
      <x:c r="S106" s="25" t="n">
        <x:f>IF(M106=0,0,IF(ISNUMBER(D106),M106*AC106*D106*AD106,NA()))</x:f>
        <x:v>341.77037051928994</x:v>
      </x:c>
      <x:c r="T106" s="25" t="n">
        <x:f>IF(N106=0,0,IF(ISNUMBER(E106),N106*AC106*E106*AD106,NA()))</x:f>
        <x:v>0</x:v>
      </x:c>
      <x:c r="U106" s="25" t="n">
        <x:f>IF(O106=0,0,IF(ISNUMBER(F106),O106*F106,NA()))</x:f>
        <x:v>141.42477402947267</x:v>
      </x:c>
      <x:c r="V106" s="25" t="n">
        <x:f>IF(P106=0,0,IF(ISNUMBER(G106),-P106*G106,NA()))</x:f>
        <x:v>0</x:v>
      </x:c>
      <x:c r="W106" s="25" t="n">
        <x:f>SUM(Q106:V106)</x:f>
        <x:v>-1144.304855451237</x:v>
      </x:c>
      <x:c r="X106" s="18" t="n">
        <x:f>'原始输入与口径'!BR108</x:f>
        <x:v>-1144.3048554512372</x:v>
      </x:c>
      <x:c r="Y106" s="18" t="n">
        <x:f>W106-X106</x:f>
        <x:v>2.2737367544323206e-13</x:v>
      </x:c>
      <x:c r="Z106" s="18" t="str">
        <x:f>"1月2日计划｜本窗新增"</x:f>
        <x:v>1月2日计划｜本窗新增</x:v>
      </x:c>
      <x:c r="AA106" s="19" t="n">
        <x:f>IF('原始输入与口径'!AW108,1,0)</x:f>
        <x:v>1</x:v>
      </x:c>
      <x:c r="AB106" s="19" t="n">
        <x:f>IF('原始输入与口径'!AY108,1,0)</x:f>
        <x:v>0</x:v>
      </x:c>
      <x:c r="AC106" s="18" t="n">
        <x:f>'原始输入与口径'!E108</x:f>
        <x:v>0.25</x:v>
      </x:c>
      <x:c r="AD106" s="20" t="n">
        <x:f>'原始输入与口径'!$F$5</x:f>
        <x:v>1</x:v>
      </x:c>
      <x:c r="AE106" s="20" t="n">
        <x:f>IF(AA106=0,0,AI106/(AG106*AC106))</x:f>
        <x:v>0.03858</x:v>
      </x:c>
      <x:c r="AF106" s="20" t="n">
        <x:f>IF(AA106=0,0,AJ106/(AH106*AC106))</x:f>
        <x:v>0.03004</x:v>
      </x:c>
      <x:c r="AG106" s="18" t="n">
        <x:f>IF(ISNUMBER('原始输入与口径'!T108),'原始输入与口径'!T108,"缺失")</x:f>
        <x:v>200</x:v>
      </x:c>
      <x:c r="AH106" s="18" t="n">
        <x:f>IF(ISNUMBER('原始输入与口径'!Y108),'原始输入与口径'!Y108,"缺失")</x:f>
        <x:v>200</x:v>
      </x:c>
      <x:c r="AI106" s="18" t="n">
        <x:f>IF(ISNUMBER('原始输入与口径'!AI108),'原始输入与口径'!AI108,"缺失")</x:f>
        <x:v>1.929</x:v>
      </x:c>
      <x:c r="AJ106" s="18" t="n">
        <x:f>IF(ISNUMBER('原始输入与口径'!AL108),'原始输入与口径'!AL108,"缺失")</x:f>
        <x:v>1.502</x:v>
      </x:c>
      <x:c r="AK106" s="18" t="str">
        <x:f>IF(ISNUMBER('原始输入与口径'!O108),'原始输入与口径'!O108,"缺失")</x:f>
        <x:v>缺失</x:v>
      </x:c>
      <x:c r="AL106" s="18" t="n">
        <x:f>SUMIFS('相位SOC复算'!$N$7:$N$443,'相位SOC复算'!$S$7:$S$443,100)</x:f>
        <x:v>0.06142405555555556</x:v>
      </x:c>
      <x:c r="AM106" s="18" t="n">
        <x:f>SUMIFS('相位SOC复算'!$Q$7:$Q$443,'相位SOC复算'!$S$7:$S$443,100)</x:f>
        <x:v>24.035500000000003</x:v>
      </x:c>
      <x:c r="AN106" s="18" t="n">
        <x:f>SUMIFS('相位SOC复算'!$R$7:$R$443,'相位SOC复算'!$S$7:$S$443,100)</x:f>
        <x:v>0</x:v>
      </x:c>
      <x:c r="AO106" s="18" t="n">
        <x:f>'相位SOC复算'!J240</x:f>
        <x:v>57.68452</x:v>
      </x:c>
      <x:c r="AP106" s="18" t="n">
        <x:f>AO106-J106</x:f>
        <x:v>7.105427357601002e-15</x:v>
      </x:c>
      <x:c r="AQ106" s="18" t="n">
        <x:f>IF(ISBLANK('原始输入与口径'!M108),"",'原始输入与口径'!M108)</x:f>
        <x:v>4.9741</x:v>
      </x:c>
      <x:c r="AR106" s="21" t="n">
        <x:f>IF(ISBLANK('原始输入与口径'!L108),"",'原始输入与口径'!L108)</x:f>
        <x:v>45657</x:v>
      </x:c>
      <x:c r="AS106" s="17" t="n">
        <x:f>IF(ISBLANK('原始输入与口径'!A108),"",'原始输入与口径'!A108)</x:f>
        <x:v>45658.947916666664</x:v>
      </x:c>
      <x:c r="AT106" s="18" t="str">
        <x:f>IF(ISBLANK('原始输入与口径'!I108),"",'原始输入与口径'!I108)</x:f>
        <x:v>2025-01-01_24</x:v>
      </x:c>
      <x:c r="AU106" s="19" t="n">
        <x:f>IF(ISBLANK('原始输入与口径'!J108),"",'原始输入与口径'!J108)</x:f>
        <x:v>60</x:v>
      </x:c>
      <x:c r="AV106" s="18" t="str">
        <x:f>IF(ISBLANK('原始输入与口径'!BB108),"",'原始输入与口径'!BB108)</x:f>
        <x:v>OK</x:v>
      </x:c>
    </x:row>
    <x:row r="107" ht="21" customHeight="1">
      <x:c r="A107" s="17" t="n">
        <x:f>45659.041666666664</x:f>
        <x:v>45659.041666666664</x:v>
      </x:c>
      <x:c r="B107" s="23" t="n">
        <x:f>IF(ISNUMBER('原始输入与口径'!H109),'原始输入与口径'!H109,"缺失")</x:f>
        <x:v>57.07</x:v>
      </x:c>
      <x:c r="C107" s="23" t="str">
        <x:f>IF(ISNUMBER('原始输入与口径'!R109),'原始输入与口径'!R109,"缺失")</x:f>
        <x:v>缺失</x:v>
      </x:c>
      <x:c r="D107" s="23" t="n">
        <x:f>IF(ISNUMBER('原始输入与口径'!W109),'原始输入与口径'!W109,"缺失")</x:f>
        <x:v>13.670814820771596</x:v>
      </x:c>
      <x:c r="E107" s="23" t="n">
        <x:f>IF(ISNUMBER('原始输入与口径'!AB109),'原始输入与口径'!AB109,"缺失")</x:f>
        <x:v>14.710198829939085</x:v>
      </x:c>
      <x:c r="F107" s="23" t="n">
        <x:f>IF(ISNUMBER('原始输入与口径'!AG109),'原始输入与口径'!AG109,"缺失")</x:f>
        <x:v>147.153856979152</x:v>
      </x:c>
      <x:c r="G107" s="23" t="n">
        <x:f>IF(ISNUMBER('原始输入与口径'!AJ109),'原始输入与口径'!AJ109,"缺失")</x:f>
        <x:v>58.3020043827024</x:v>
      </x:c>
      <x:c r="H107" s="23" t="str">
        <x:f>"未模拟"</x:f>
        <x:v>未模拟</x:v>
      </x:c>
      <x:c r="I107" s="24" t="n">
        <x:f>'原始输入与口径'!BD109</x:f>
        <x:v>57.68451999999999</x:v>
      </x:c>
      <x:c r="J107" s="24" t="n">
        <x:f>'原始输入与口径'!BE109</x:f>
        <x:v>49.88209739130434</x:v>
      </x:c>
      <x:c r="K107" s="24" t="n">
        <x:f>'原始输入与口径'!BF109</x:f>
        <x:v>0</x:v>
      </x:c>
      <x:c r="L107" s="24" t="n">
        <x:f>'原始输入与口径'!BG109</x:f>
        <x:v>0</x:v>
      </x:c>
      <x:c r="M107" s="24" t="n">
        <x:f>'原始输入与口径'!BH109</x:f>
        <x:v>100</x:v>
      </x:c>
      <x:c r="N107" s="24" t="n">
        <x:f>'原始输入与口径'!BI109</x:f>
        <x:v>100</x:v>
      </x:c>
      <x:c r="O107" s="24" t="n">
        <x:f>M107*AE107*AC107</x:f>
        <x:v>7.185</x:v>
      </x:c>
      <x:c r="P107" s="24" t="n">
        <x:f>N107*AF107*AC107</x:f>
        <x:v>0.008</x:v>
      </x:c>
      <x:c r="Q107" s="25" t="n">
        <x:f>IF(K107=0,0,IF(ISNUMBER(B107),K107*AC107*B107,NA()))</x:f>
        <x:v>0</x:v>
      </x:c>
      <x:c r="R107" s="25" t="n">
        <x:f>IF(L107=0,0,IF(ISNUMBER(C107),L107*AC107*C107*AD107,NA()))</x:f>
        <x:v>0</x:v>
      </x:c>
      <x:c r="S107" s="25" t="n">
        <x:f>IF(M107=0,0,IF(ISNUMBER(D107),M107*AC107*D107*AD107,NA()))</x:f>
        <x:v>341.77037051928994</x:v>
      </x:c>
      <x:c r="T107" s="25" t="n">
        <x:f>IF(N107=0,0,IF(ISNUMBER(E107),N107*AC107*E107*AD107,NA()))</x:f>
        <x:v>367.7549707484771</x:v>
      </x:c>
      <x:c r="U107" s="25" t="n">
        <x:f>IF(O107=0,0,IF(ISNUMBER(F107),O107*F107,NA()))</x:f>
        <x:v>1057.3004623952072</x:v>
      </x:c>
      <x:c r="V107" s="25" t="n">
        <x:f>IF(P107=0,0,IF(ISNUMBER(G107),-P107*G107,NA()))</x:f>
        <x:v>-0.4664160350616192</x:v>
      </x:c>
      <x:c r="W107" s="25" t="n">
        <x:f>SUM(Q107:V107)</x:f>
        <x:v>1766.3593876279126</x:v>
      </x:c>
      <x:c r="X107" s="18" t="n">
        <x:f>'原始输入与口径'!BR109</x:f>
        <x:v>1766.3593876279126</x:v>
      </x:c>
      <x:c r="Y107" s="18" t="n">
        <x:f>W107-X107</x:f>
        <x:v>0</x:v>
      </x:c>
      <x:c r="Z107" s="18" t="str">
        <x:f>"1月2日计划｜本窗新增"</x:f>
        <x:v>1月2日计划｜本窗新增</x:v>
      </x:c>
      <x:c r="AA107" s="19" t="n">
        <x:f>IF('原始输入与口径'!AW109,1,0)</x:f>
        <x:v>1</x:v>
      </x:c>
      <x:c r="AB107" s="19" t="n">
        <x:f>IF('原始输入与口径'!AY109,1,0)</x:f>
        <x:v>0</x:v>
      </x:c>
      <x:c r="AC107" s="18" t="n">
        <x:f>'原始输入与口径'!E109</x:f>
        <x:v>0.25</x:v>
      </x:c>
      <x:c r="AD107" s="20" t="n">
        <x:f>'原始输入与口径'!$F$5</x:f>
        <x:v>1</x:v>
      </x:c>
      <x:c r="AE107" s="20" t="n">
        <x:f>IF(AA107=0,0,AI107/(AG107*AC107))</x:f>
        <x:v>0.2874</x:v>
      </x:c>
      <x:c r="AF107" s="20" t="n">
        <x:f>IF(AA107=0,0,AJ107/(AH107*AC107))</x:f>
        <x:v>0.00032</x:v>
      </x:c>
      <x:c r="AG107" s="18" t="n">
        <x:f>IF(ISNUMBER('原始输入与口径'!T109),'原始输入与口径'!T109,"缺失")</x:f>
        <x:v>200</x:v>
      </x:c>
      <x:c r="AH107" s="18" t="n">
        <x:f>IF(ISNUMBER('原始输入与口径'!Y109),'原始输入与口径'!Y109,"缺失")</x:f>
        <x:v>200</x:v>
      </x:c>
      <x:c r="AI107" s="18" t="n">
        <x:f>IF(ISNUMBER('原始输入与口径'!AI109),'原始输入与口径'!AI109,"缺失")</x:f>
        <x:v>14.37</x:v>
      </x:c>
      <x:c r="AJ107" s="18" t="n">
        <x:f>IF(ISNUMBER('原始输入与口径'!AL109),'原始输入与口径'!AL109,"缺失")</x:f>
        <x:v>0.016</x:v>
      </x:c>
      <x:c r="AK107" s="18" t="str">
        <x:f>IF(ISNUMBER('原始输入与口径'!O109),'原始输入与口径'!O109,"缺失")</x:f>
        <x:v>缺失</x:v>
      </x:c>
      <x:c r="AL107" s="18" t="n">
        <x:f>SUMIFS('相位SOC复算'!$N$7:$N$443,'相位SOC复算'!$S$7:$S$443,101)</x:f>
        <x:v>0.021714285024154588</x:v>
      </x:c>
      <x:c r="AM107" s="18" t="n">
        <x:f>SUMIFS('相位SOC复算'!$Q$7:$Q$443,'相位SOC复算'!$S$7:$S$443,101)</x:f>
        <x:v>0.008</x:v>
      </x:c>
      <x:c r="AN107" s="18" t="n">
        <x:f>SUMIFS('相位SOC复算'!$R$7:$R$443,'相位SOC复算'!$S$7:$S$443,101)</x:f>
        <x:v>7.185</x:v>
      </x:c>
      <x:c r="AO107" s="18" t="n">
        <x:f>'相位SOC复算'!J243</x:f>
        <x:v>49.88209739130435</x:v>
      </x:c>
      <x:c r="AP107" s="18" t="n">
        <x:f>AO107-J107</x:f>
        <x:v>7.105427357601002e-15</x:v>
      </x:c>
      <x:c r="AQ107" s="18" t="n">
        <x:f>IF(ISBLANK('原始输入与口径'!M109),"",'原始输入与口径'!M109)</x:f>
        <x:v>4.9741</x:v>
      </x:c>
      <x:c r="AR107" s="21" t="n">
        <x:f>IF(ISBLANK('原始输入与口径'!L109),"",'原始输入与口径'!L109)</x:f>
        <x:v>45657</x:v>
      </x:c>
      <x:c r="AS107" s="17" t="n">
        <x:f>IF(ISBLANK('原始输入与口径'!A109),"",'原始输入与口径'!A109)</x:f>
        <x:v>45658.958333333336</x:v>
      </x:c>
      <x:c r="AT107" s="18" t="str">
        <x:f>IF(ISBLANK('原始输入与口径'!I109),"",'原始输入与口径'!I109)</x:f>
        <x:v>2025-01-02_1</x:v>
      </x:c>
      <x:c r="AU107" s="19" t="n">
        <x:f>IF(ISBLANK('原始输入与口径'!J109),"",'原始输入与口径'!J109)</x:f>
        <x:v>60</x:v>
      </x:c>
      <x:c r="AV107" s="18" t="str">
        <x:f>IF(ISBLANK('原始输入与口径'!BB109),"",'原始输入与口径'!BB109)</x:f>
        <x:v>OK</x:v>
      </x:c>
    </x:row>
    <x:row r="108" ht="21" customHeight="1">
      <x:c r="A108" s="17" t="n">
        <x:f>45659.052083333336</x:f>
        <x:v>45659.052083333336</x:v>
      </x:c>
      <x:c r="B108" s="23" t="n">
        <x:f>IF(ISNUMBER('原始输入与口径'!H110),'原始输入与口径'!H110,"缺失")</x:f>
        <x:v>57.07</x:v>
      </x:c>
      <x:c r="C108" s="23" t="str">
        <x:f>IF(ISNUMBER('原始输入与口径'!R110),'原始输入与口径'!R110,"缺失")</x:f>
        <x:v>缺失</x:v>
      </x:c>
      <x:c r="D108" s="23" t="n">
        <x:f>IF(ISNUMBER('原始输入与口径'!W110),'原始输入与口径'!W110,"缺失")</x:f>
        <x:v>13.670814820771596</x:v>
      </x:c>
      <x:c r="E108" s="23" t="n">
        <x:f>IF(ISNUMBER('原始输入与口径'!AB110),'原始输入与口径'!AB110,"缺失")</x:f>
        <x:v>14.710198829939085</x:v>
      </x:c>
      <x:c r="F108" s="23" t="n">
        <x:f>IF(ISNUMBER('原始输入与口径'!AG110),'原始输入与口径'!AG110,"缺失")</x:f>
        <x:v>145.15289198045878</x:v>
      </x:c>
      <x:c r="G108" s="23" t="n">
        <x:f>IF(ISNUMBER('原始输入与口径'!AJ110),'原始输入与口径'!AJ110,"缺失")</x:f>
        <x:v>0</x:v>
      </x:c>
      <x:c r="H108" s="23" t="str">
        <x:f>"未模拟"</x:f>
        <x:v>未模拟</x:v>
      </x:c>
      <x:c r="I108" s="24" t="n">
        <x:f>'原始输入与口径'!BD110</x:f>
        <x:v>49.88209739130434</x:v>
      </x:c>
      <x:c r="J108" s="24" t="n">
        <x:f>'原始输入与口径'!BE110</x:f>
        <x:v>44.742966956521734</x:v>
      </x:c>
      <x:c r="K108" s="24" t="n">
        <x:f>'原始输入与口径'!BF110</x:f>
        <x:v>0</x:v>
      </x:c>
      <x:c r="L108" s="24" t="n">
        <x:f>'原始输入与口径'!BG110</x:f>
        <x:v>0</x:v>
      </x:c>
      <x:c r="M108" s="24" t="n">
        <x:f>'原始输入与口径'!BH110</x:f>
        <x:v>100</x:v>
      </x:c>
      <x:c r="N108" s="24" t="n">
        <x:f>'原始输入与口径'!BI110</x:f>
        <x:v>100</x:v>
      </x:c>
      <x:c r="O108" s="24" t="n">
        <x:f>M108*AE108*AC108</x:f>
        <x:v>4.728</x:v>
      </x:c>
      <x:c r="P108" s="24" t="n">
        <x:f>N108*AF108*AC108</x:f>
        <x:v>0</x:v>
      </x:c>
      <x:c r="Q108" s="25" t="n">
        <x:f>IF(K108=0,0,IF(ISNUMBER(B108),K108*AC108*B108,NA()))</x:f>
        <x:v>0</x:v>
      </x:c>
      <x:c r="R108" s="25" t="n">
        <x:f>IF(L108=0,0,IF(ISNUMBER(C108),L108*AC108*C108*AD108,NA()))</x:f>
        <x:v>0</x:v>
      </x:c>
      <x:c r="S108" s="25" t="n">
        <x:f>IF(M108=0,0,IF(ISNUMBER(D108),M108*AC108*D108*AD108,NA()))</x:f>
        <x:v>341.77037051928994</x:v>
      </x:c>
      <x:c r="T108" s="25" t="n">
        <x:f>IF(N108=0,0,IF(ISNUMBER(E108),N108*AC108*E108*AD108,NA()))</x:f>
        <x:v>367.7549707484771</x:v>
      </x:c>
      <x:c r="U108" s="25" t="n">
        <x:f>IF(O108=0,0,IF(ISNUMBER(F108),O108*F108,NA()))</x:f>
        <x:v>686.2828732836091</x:v>
      </x:c>
      <x:c r="V108" s="25" t="n">
        <x:f>IF(P108=0,0,IF(ISNUMBER(G108),-P108*G108,NA()))</x:f>
        <x:v>0</x:v>
      </x:c>
      <x:c r="W108" s="25" t="n">
        <x:f>SUM(Q108:V108)</x:f>
        <x:v>1395.8082145513763</x:v>
      </x:c>
      <x:c r="X108" s="18" t="n">
        <x:f>'原始输入与口径'!BR110</x:f>
        <x:v>1395.808214551376</x:v>
      </x:c>
      <x:c r="Y108" s="18" t="n">
        <x:f>W108-X108</x:f>
        <x:v>2.2737367544323206e-13</x:v>
      </x:c>
      <x:c r="Z108" s="18" t="str">
        <x:f>"1月2日计划｜本窗新增"</x:f>
        <x:v>1月2日计划｜本窗新增</x:v>
      </x:c>
      <x:c r="AA108" s="19" t="n">
        <x:f>IF('原始输入与口径'!AW110,1,0)</x:f>
        <x:v>1</x:v>
      </x:c>
      <x:c r="AB108" s="19" t="n">
        <x:f>IF('原始输入与口径'!AY110,1,0)</x:f>
        <x:v>0</x:v>
      </x:c>
      <x:c r="AC108" s="18" t="n">
        <x:f>'原始输入与口径'!E110</x:f>
        <x:v>0.25</x:v>
      </x:c>
      <x:c r="AD108" s="20" t="n">
        <x:f>'原始输入与口径'!$F$5</x:f>
        <x:v>1</x:v>
      </x:c>
      <x:c r="AE108" s="20" t="n">
        <x:f>IF(AA108=0,0,AI108/(AG108*AC108))</x:f>
        <x:v>0.18911999999999998</x:v>
      </x:c>
      <x:c r="AF108" s="20" t="n">
        <x:f>IF(AA108=0,0,AJ108/(AH108*AC108))</x:f>
        <x:v>0</x:v>
      </x:c>
      <x:c r="AG108" s="18" t="n">
        <x:f>IF(ISNUMBER('原始输入与口径'!T110),'原始输入与口径'!T110,"缺失")</x:f>
        <x:v>200</x:v>
      </x:c>
      <x:c r="AH108" s="18" t="n">
        <x:f>IF(ISNUMBER('原始输入与口径'!Y110),'原始输入与口径'!Y110,"缺失")</x:f>
        <x:v>200</x:v>
      </x:c>
      <x:c r="AI108" s="18" t="n">
        <x:f>IF(ISNUMBER('原始输入与口径'!AI110),'原始输入与口径'!AI110,"缺失")</x:f>
        <x:v>9.456</x:v>
      </x:c>
      <x:c r="AJ108" s="18" t="n">
        <x:f>IF(ISNUMBER('原始输入与口径'!AL110),'原始输入与口径'!AL110,"缺失")</x:f>
        <x:v>0</x:v>
      </x:c>
      <x:c r="AK108" s="18" t="str">
        <x:f>IF(ISNUMBER('原始输入与口径'!O110),'原始输入与口径'!O110,"缺失")</x:f>
        <x:v>缺失</x:v>
      </x:c>
      <x:c r="AL108" s="18" t="n">
        <x:f>SUMIFS('相位SOC复算'!$N$7:$N$443,'相位SOC复算'!$S$7:$S$443,102)</x:f>
        <x:v>0.014275362318840577</x:v>
      </x:c>
      <x:c r="AM108" s="18" t="n">
        <x:f>SUMIFS('相位SOC复算'!$Q$7:$Q$443,'相位SOC复算'!$S$7:$S$443,102)</x:f>
        <x:v>0</x:v>
      </x:c>
      <x:c r="AN108" s="18" t="n">
        <x:f>SUMIFS('相位SOC复算'!$R$7:$R$443,'相位SOC复算'!$S$7:$S$443,102)</x:f>
        <x:v>4.728</x:v>
      </x:c>
      <x:c r="AO108" s="18" t="n">
        <x:f>'相位SOC复算'!J245</x:f>
        <x:v>44.74296695652174</x:v>
      </x:c>
      <x:c r="AP108" s="18" t="n">
        <x:f>AO108-J108</x:f>
        <x:v>7.105427357601002e-15</x:v>
      </x:c>
      <x:c r="AQ108" s="18" t="n">
        <x:f>IF(ISBLANK('原始输入与口径'!M110),"",'原始输入与口径'!M110)</x:f>
        <x:v>4.9741</x:v>
      </x:c>
      <x:c r="AR108" s="21" t="n">
        <x:f>IF(ISBLANK('原始输入与口径'!L110),"",'原始输入与口径'!L110)</x:f>
        <x:v>45657</x:v>
      </x:c>
      <x:c r="AS108" s="17" t="n">
        <x:f>IF(ISBLANK('原始输入与口径'!A110),"",'原始输入与口径'!A110)</x:f>
        <x:v>45658.96875</x:v>
      </x:c>
      <x:c r="AT108" s="18" t="str">
        <x:f>IF(ISBLANK('原始输入与口径'!I110),"",'原始输入与口径'!I110)</x:f>
        <x:v>2025-01-02_1</x:v>
      </x:c>
      <x:c r="AU108" s="19" t="n">
        <x:f>IF(ISBLANK('原始输入与口径'!J110),"",'原始输入与口径'!J110)</x:f>
        <x:v>60</x:v>
      </x:c>
      <x:c r="AV108" s="18" t="str">
        <x:f>IF(ISBLANK('原始输入与口径'!BB110),"",'原始输入与口径'!BB110)</x:f>
        <x:v>OK</x:v>
      </x:c>
    </x:row>
    <x:row r="109" ht="21" customHeight="1">
      <x:c r="A109" s="17" t="n">
        <x:f>45659.0625</x:f>
        <x:v>45659.0625</x:v>
      </x:c>
      <x:c r="B109" s="23" t="n">
        <x:f>IF(ISNUMBER('原始输入与口径'!H111),'原始输入与口径'!H111,"缺失")</x:f>
        <x:v>57.07</x:v>
      </x:c>
      <x:c r="C109" s="23" t="str">
        <x:f>IF(ISNUMBER('原始输入与口径'!R111),'原始输入与口径'!R111,"缺失")</x:f>
        <x:v>缺失</x:v>
      </x:c>
      <x:c r="D109" s="23" t="n">
        <x:f>IF(ISNUMBER('原始输入与口径'!W111),'原始输入与口径'!W111,"缺失")</x:f>
        <x:v>13.670814820771596</x:v>
      </x:c>
      <x:c r="E109" s="23" t="n">
        <x:f>IF(ISNUMBER('原始输入与口径'!AB111),'原始输入与口径'!AB111,"缺失")</x:f>
        <x:v>14.710198829939085</x:v>
      </x:c>
      <x:c r="F109" s="23" t="n">
        <x:f>IF(ISNUMBER('原始输入与口径'!AG111),'原始输入与口径'!AG111,"缺失")</x:f>
        <x:v>136.70814820771596</x:v>
      </x:c>
      <x:c r="G109" s="23" t="n">
        <x:f>IF(ISNUMBER('原始输入与口径'!AJ111),'原始输入与口径'!AJ111,"缺失")</x:f>
        <x:v>43.580949317464466</x:v>
      </x:c>
      <x:c r="H109" s="23" t="str">
        <x:f>"未模拟"</x:f>
        <x:v>未模拟</x:v>
      </x:c>
      <x:c r="I109" s="24" t="n">
        <x:f>'原始输入与口径'!BD111</x:f>
        <x:v>44.742966956521734</x:v>
      </x:c>
      <x:c r="J109" s="24" t="n">
        <x:f>'原始输入与口径'!BE111</x:f>
        <x:v>45.20886608695652</x:v>
      </x:c>
      <x:c r="K109" s="24" t="n">
        <x:f>'原始输入与口径'!BF111</x:f>
        <x:v>0</x:v>
      </x:c>
      <x:c r="L109" s="24" t="n">
        <x:f>'原始输入与口径'!BG111</x:f>
        <x:v>0</x:v>
      </x:c>
      <x:c r="M109" s="24" t="n">
        <x:f>'原始输入与口径'!BH111</x:f>
        <x:v>100</x:v>
      </x:c>
      <x:c r="N109" s="24" t="n">
        <x:f>'原始输入与口径'!BI111</x:f>
        <x:v>100</x:v>
      </x:c>
      <x:c r="O109" s="24" t="n">
        <x:f>M109*AE109*AC109</x:f>
        <x:v>0.141</x:v>
      </x:c>
      <x:c r="P109" s="24" t="n">
        <x:f>N109*AF109*AC109</x:f>
        <x:v>0.673</x:v>
      </x:c>
      <x:c r="Q109" s="25" t="n">
        <x:f>IF(K109=0,0,IF(ISNUMBER(B109),K109*AC109*B109,NA()))</x:f>
        <x:v>0</x:v>
      </x:c>
      <x:c r="R109" s="25" t="n">
        <x:f>IF(L109=0,0,IF(ISNUMBER(C109),L109*AC109*C109*AD109,NA()))</x:f>
        <x:v>0</x:v>
      </x:c>
      <x:c r="S109" s="25" t="n">
        <x:f>IF(M109=0,0,IF(ISNUMBER(D109),M109*AC109*D109*AD109,NA()))</x:f>
        <x:v>341.77037051928994</x:v>
      </x:c>
      <x:c r="T109" s="25" t="n">
        <x:f>IF(N109=0,0,IF(ISNUMBER(E109),N109*AC109*E109*AD109,NA()))</x:f>
        <x:v>367.7549707484771</x:v>
      </x:c>
      <x:c r="U109" s="25" t="n">
        <x:f>IF(O109=0,0,IF(ISNUMBER(F109),O109*F109,NA()))</x:f>
        <x:v>19.27584889728795</x:v>
      </x:c>
      <x:c r="V109" s="25" t="n">
        <x:f>IF(P109=0,0,IF(ISNUMBER(G109),-P109*G109,NA()))</x:f>
        <x:v>-29.32997889065359</x:v>
      </x:c>
      <x:c r="W109" s="25" t="n">
        <x:f>SUM(Q109:V109)</x:f>
        <x:v>699.4712112744014</x:v>
      </x:c>
      <x:c r="X109" s="18" t="n">
        <x:f>'原始输入与口径'!BR111</x:f>
        <x:v>699.4712112744014</x:v>
      </x:c>
      <x:c r="Y109" s="18" t="n">
        <x:f>W109-X109</x:f>
        <x:v>0</x:v>
      </x:c>
      <x:c r="Z109" s="18" t="str">
        <x:f>"1月2日计划｜本窗新增"</x:f>
        <x:v>1月2日计划｜本窗新增</x:v>
      </x:c>
      <x:c r="AA109" s="19" t="n">
        <x:f>IF('原始输入与口径'!AW111,1,0)</x:f>
        <x:v>1</x:v>
      </x:c>
      <x:c r="AB109" s="19" t="n">
        <x:f>IF('原始输入与口径'!AY111,1,0)</x:f>
        <x:v>0</x:v>
      </x:c>
      <x:c r="AC109" s="18" t="n">
        <x:f>'原始输入与口径'!E111</x:f>
        <x:v>0.25</x:v>
      </x:c>
      <x:c r="AD109" s="20" t="n">
        <x:f>'原始输入与口径'!$F$5</x:f>
        <x:v>1</x:v>
      </x:c>
      <x:c r="AE109" s="20" t="n">
        <x:f>IF(AA109=0,0,AI109/(AG109*AC109))</x:f>
        <x:v>0.005639999999999999</x:v>
      </x:c>
      <x:c r="AF109" s="20" t="n">
        <x:f>IF(AA109=0,0,AJ109/(AH109*AC109))</x:f>
        <x:v>0.026920000000000003</x:v>
      </x:c>
      <x:c r="AG109" s="18" t="n">
        <x:f>IF(ISNUMBER('原始输入与口径'!T111),'原始输入与口径'!T111,"缺失")</x:f>
        <x:v>200</x:v>
      </x:c>
      <x:c r="AH109" s="18" t="n">
        <x:f>IF(ISNUMBER('原始输入与口径'!Y111),'原始输入与口径'!Y111,"缺失")</x:f>
        <x:v>200</x:v>
      </x:c>
      <x:c r="AI109" s="18" t="n">
        <x:f>IF(ISNUMBER('原始输入与口径'!AI111),'原始输入与口径'!AI111,"缺失")</x:f>
        <x:v>0.282</x:v>
      </x:c>
      <x:c r="AJ109" s="18" t="n">
        <x:f>IF(ISNUMBER('原始输入与口径'!AL111),'原始输入与口径'!AL111,"缺失")</x:f>
        <x:v>1.346</x:v>
      </x:c>
      <x:c r="AK109" s="18" t="str">
        <x:f>IF(ISNUMBER('原始输入与口径'!O111),'原始输入与口径'!O111,"缺失")</x:f>
        <x:v>缺失</x:v>
      </x:c>
      <x:c r="AL109" s="18" t="n">
        <x:f>SUMIFS('相位SOC复算'!$N$7:$N$443,'相位SOC复算'!$S$7:$S$443,103)</x:f>
        <x:v>0.002145613526570048</x:v>
      </x:c>
      <x:c r="AM109" s="18" t="n">
        <x:f>SUMIFS('相位SOC复算'!$Q$7:$Q$443,'相位SOC复算'!$S$7:$S$443,103)</x:f>
        <x:v>0.673</x:v>
      </x:c>
      <x:c r="AN109" s="18" t="n">
        <x:f>SUMIFS('相位SOC复算'!$R$7:$R$443,'相位SOC复算'!$S$7:$S$443,103)</x:f>
        <x:v>0.141</x:v>
      </x:c>
      <x:c r="AO109" s="18" t="n">
        <x:f>'相位SOC复算'!J248</x:f>
        <x:v>45.208866086956526</x:v>
      </x:c>
      <x:c r="AP109" s="18" t="n">
        <x:f>AO109-J109</x:f>
        <x:v>7.105427357601002e-15</x:v>
      </x:c>
      <x:c r="AQ109" s="18" t="n">
        <x:f>IF(ISBLANK('原始输入与口径'!M111),"",'原始输入与口径'!M111)</x:f>
        <x:v>4.9741</x:v>
      </x:c>
      <x:c r="AR109" s="21" t="n">
        <x:f>IF(ISBLANK('原始输入与口径'!L111),"",'原始输入与口径'!L111)</x:f>
        <x:v>45657</x:v>
      </x:c>
      <x:c r="AS109" s="17" t="n">
        <x:f>IF(ISBLANK('原始输入与口径'!A111),"",'原始输入与口径'!A111)</x:f>
        <x:v>45658.979166666664</x:v>
      </x:c>
      <x:c r="AT109" s="18" t="str">
        <x:f>IF(ISBLANK('原始输入与口径'!I111),"",'原始输入与口径'!I111)</x:f>
        <x:v>2025-01-02_1</x:v>
      </x:c>
      <x:c r="AU109" s="19" t="n">
        <x:f>IF(ISBLANK('原始输入与口径'!J111),"",'原始输入与口径'!J111)</x:f>
        <x:v>60</x:v>
      </x:c>
      <x:c r="AV109" s="18" t="str">
        <x:f>IF(ISBLANK('原始输入与口径'!BB111),"",'原始输入与口径'!BB111)</x:f>
        <x:v>OK</x:v>
      </x:c>
    </x:row>
    <x:row r="110" ht="21" customHeight="1">
      <x:c r="A110" s="17" t="n">
        <x:f>45659.072916666664</x:f>
        <x:v>45659.072916666664</x:v>
      </x:c>
      <x:c r="B110" s="23" t="n">
        <x:f>IF(ISNUMBER('原始输入与口径'!H112),'原始输入与口径'!H112,"缺失")</x:f>
        <x:v>57.07</x:v>
      </x:c>
      <x:c r="C110" s="23" t="str">
        <x:f>IF(ISNUMBER('原始输入与口径'!R112),'原始输入与口径'!R112,"缺失")</x:f>
        <x:v>缺失</x:v>
      </x:c>
      <x:c r="D110" s="23" t="n">
        <x:f>IF(ISNUMBER('原始输入与口径'!W112),'原始输入与口径'!W112,"缺失")</x:f>
        <x:v>13.670814820771596</x:v>
      </x:c>
      <x:c r="E110" s="23" t="n">
        <x:f>IF(ISNUMBER('原始输入与口径'!AB112),'原始输入与口径'!AB112,"缺失")</x:f>
        <x:v>14.710198829939085</x:v>
      </x:c>
      <x:c r="F110" s="23" t="n">
        <x:f>IF(ISNUMBER('原始输入与口径'!AG112),'原始输入与口径'!AG112,"缺失")</x:f>
        <x:v>0</x:v>
      </x:c>
      <x:c r="G110" s="23" t="n">
        <x:f>IF(ISNUMBER('原始输入与口径'!AJ112),'原始输入与口径'!AJ112,"缺失")</x:f>
        <x:v>20.918558131119198</x:v>
      </x:c>
      <x:c r="H110" s="23" t="str">
        <x:f>"未模拟"</x:f>
        <x:v>未模拟</x:v>
      </x:c>
      <x:c r="I110" s="24" t="n">
        <x:f>'原始输入与口径'!BD112</x:f>
        <x:v>45.20886608695652</x:v>
      </x:c>
      <x:c r="J110" s="24" t="n">
        <x:f>'原始输入与口径'!BE112</x:f>
        <x:v>48.927966086956516</x:v>
      </x:c>
      <x:c r="K110" s="24" t="n">
        <x:f>'原始输入与口径'!BF112</x:f>
        <x:v>0</x:v>
      </x:c>
      <x:c r="L110" s="24" t="n">
        <x:f>'原始输入与口径'!BG112</x:f>
        <x:v>0</x:v>
      </x:c>
      <x:c r="M110" s="24" t="n">
        <x:f>'原始输入与口径'!BH112</x:f>
        <x:v>100</x:v>
      </x:c>
      <x:c r="N110" s="24" t="n">
        <x:f>'原始输入与口径'!BI112</x:f>
        <x:v>100</x:v>
      </x:c>
      <x:c r="O110" s="24" t="n">
        <x:f>M110*AE110*AC110</x:f>
        <x:v>0</x:v>
      </x:c>
      <x:c r="P110" s="24" t="n">
        <x:f>N110*AF110*AC110</x:f>
        <x:v>4.0425</x:v>
      </x:c>
      <x:c r="Q110" s="25" t="n">
        <x:f>IF(K110=0,0,IF(ISNUMBER(B110),K110*AC110*B110,NA()))</x:f>
        <x:v>0</x:v>
      </x:c>
      <x:c r="R110" s="25" t="n">
        <x:f>IF(L110=0,0,IF(ISNUMBER(C110),L110*AC110*C110*AD110,NA()))</x:f>
        <x:v>0</x:v>
      </x:c>
      <x:c r="S110" s="25" t="n">
        <x:f>IF(M110=0,0,IF(ISNUMBER(D110),M110*AC110*D110*AD110,NA()))</x:f>
        <x:v>341.77037051928994</x:v>
      </x:c>
      <x:c r="T110" s="25" t="n">
        <x:f>IF(N110=0,0,IF(ISNUMBER(E110),N110*AC110*E110*AD110,NA()))</x:f>
        <x:v>367.7549707484771</x:v>
      </x:c>
      <x:c r="U110" s="25" t="n">
        <x:f>IF(O110=0,0,IF(ISNUMBER(F110),O110*F110,NA()))</x:f>
        <x:v>0</x:v>
      </x:c>
      <x:c r="V110" s="25" t="n">
        <x:f>IF(P110=0,0,IF(ISNUMBER(G110),-P110*G110,NA()))</x:f>
        <x:v>-84.56327124504936</x:v>
      </x:c>
      <x:c r="W110" s="25" t="n">
        <x:f>SUM(Q110:V110)</x:f>
        <x:v>624.9620700227177</x:v>
      </x:c>
      <x:c r="X110" s="18" t="n">
        <x:f>'原始输入与口径'!BR112</x:f>
        <x:v>624.9620700227176</x:v>
      </x:c>
      <x:c r="Y110" s="18" t="n">
        <x:f>W110-X110</x:f>
        <x:v>1.1368683772161603e-13</x:v>
      </x:c>
      <x:c r="Z110" s="18" t="str">
        <x:f>"1月2日计划｜本窗新增"</x:f>
        <x:v>1月2日计划｜本窗新增</x:v>
      </x:c>
      <x:c r="AA110" s="19" t="n">
        <x:f>IF('原始输入与口径'!AW112,1,0)</x:f>
        <x:v>1</x:v>
      </x:c>
      <x:c r="AB110" s="19" t="n">
        <x:f>IF('原始输入与口径'!AY112,1,0)</x:f>
        <x:v>0</x:v>
      </x:c>
      <x:c r="AC110" s="18" t="n">
        <x:f>'原始输入与口径'!E112</x:f>
        <x:v>0.25</x:v>
      </x:c>
      <x:c r="AD110" s="20" t="n">
        <x:f>'原始输入与口径'!$F$5</x:f>
        <x:v>1</x:v>
      </x:c>
      <x:c r="AE110" s="20" t="n">
        <x:f>IF(AA110=0,0,AI110/(AG110*AC110))</x:f>
        <x:v>0</x:v>
      </x:c>
      <x:c r="AF110" s="20" t="n">
        <x:f>IF(AA110=0,0,AJ110/(AH110*AC110))</x:f>
        <x:v>0.1617</x:v>
      </x:c>
      <x:c r="AG110" s="18" t="n">
        <x:f>IF(ISNUMBER('原始输入与口径'!T112),'原始输入与口径'!T112,"缺失")</x:f>
        <x:v>200</x:v>
      </x:c>
      <x:c r="AH110" s="18" t="n">
        <x:f>IF(ISNUMBER('原始输入与口径'!Y112),'原始输入与口径'!Y112,"缺失")</x:f>
        <x:v>200</x:v>
      </x:c>
      <x:c r="AI110" s="18" t="n">
        <x:f>IF(ISNUMBER('原始输入与口径'!AI112),'原始输入与口径'!AI112,"缺失")</x:f>
        <x:v>0</x:v>
      </x:c>
      <x:c r="AJ110" s="18" t="n">
        <x:f>IF(ISNUMBER('原始输入与口径'!AL112),'原始输入与口径'!AL112,"缺失")</x:f>
        <x:v>8.085</x:v>
      </x:c>
      <x:c r="AK110" s="18" t="str">
        <x:f>IF(ISNUMBER('原始输入与口径'!O112),'原始输入与口径'!O112,"缺失")</x:f>
        <x:v>缺失</x:v>
      </x:c>
      <x:c r="AL110" s="18" t="n">
        <x:f>SUMIFS('相位SOC复算'!$N$7:$N$443,'相位SOC复算'!$S$7:$S$443,104)</x:f>
        <x:v>0.010330833333333334</x:v>
      </x:c>
      <x:c r="AM110" s="18" t="n">
        <x:f>SUMIFS('相位SOC复算'!$Q$7:$Q$443,'相位SOC复算'!$S$7:$S$443,104)</x:f>
        <x:v>4.0425</x:v>
      </x:c>
      <x:c r="AN110" s="18" t="n">
        <x:f>SUMIFS('相位SOC复算'!$R$7:$R$443,'相位SOC复算'!$S$7:$S$443,104)</x:f>
        <x:v>0</x:v>
      </x:c>
      <x:c r="AO110" s="18" t="n">
        <x:f>'相位SOC复算'!J250</x:f>
        <x:v>48.92796608695652</x:v>
      </x:c>
      <x:c r="AP110" s="18" t="n">
        <x:f>AO110-J110</x:f>
        <x:v>7.105427357601002e-15</x:v>
      </x:c>
      <x:c r="AQ110" s="18" t="n">
        <x:f>IF(ISBLANK('原始输入与口径'!M112),"",'原始输入与口径'!M112)</x:f>
        <x:v>4.9741</x:v>
      </x:c>
      <x:c r="AR110" s="21" t="n">
        <x:f>IF(ISBLANK('原始输入与口径'!L112),"",'原始输入与口径'!L112)</x:f>
        <x:v>45657</x:v>
      </x:c>
      <x:c r="AS110" s="17" t="n">
        <x:f>IF(ISBLANK('原始输入与口径'!A112),"",'原始输入与口径'!A112)</x:f>
        <x:v>45658.989583333336</x:v>
      </x:c>
      <x:c r="AT110" s="18" t="str">
        <x:f>IF(ISBLANK('原始输入与口径'!I112),"",'原始输入与口径'!I112)</x:f>
        <x:v>2025-01-02_1</x:v>
      </x:c>
      <x:c r="AU110" s="19" t="n">
        <x:f>IF(ISBLANK('原始输入与口径'!J112),"",'原始输入与口径'!J112)</x:f>
        <x:v>60</x:v>
      </x:c>
      <x:c r="AV110" s="18" t="str">
        <x:f>IF(ISBLANK('原始输入与口径'!BB112),"",'原始输入与口径'!BB112)</x:f>
        <x:v>OK</x:v>
      </x:c>
    </x:row>
    <x:row r="111" ht="21" customHeight="1">
      <x:c r="A111" s="17" t="n">
        <x:f>45659.083333333336</x:f>
        <x:v>45659.083333333336</x:v>
      </x:c>
      <x:c r="B111" s="23" t="n">
        <x:f>IF(ISNUMBER('原始输入与口径'!H113),'原始输入与口径'!H113,"缺失")</x:f>
        <x:v>67.8</x:v>
      </x:c>
      <x:c r="C111" s="23" t="str">
        <x:f>IF(ISNUMBER('原始输入与口径'!R113),'原始输入与口径'!R113,"缺失")</x:f>
        <x:v>缺失</x:v>
      </x:c>
      <x:c r="D111" s="23" t="n">
        <x:f>IF(ISNUMBER('原始输入与口径'!W113),'原始输入与口径'!W113,"缺失")</x:f>
        <x:v>13.71102309965622</x:v>
      </x:c>
      <x:c r="E111" s="23" t="n">
        <x:f>IF(ISNUMBER('原始输入与口径'!AB113),'原始输入与口径'!AB113,"缺失")</x:f>
        <x:v>14.710198829939085</x:v>
      </x:c>
      <x:c r="F111" s="23" t="n">
        <x:f>IF(ISNUMBER('原始输入与口径'!AG113),'原始输入与口径'!AG113,"缺失")</x:f>
        <x:v>136.70814820771596</x:v>
      </x:c>
      <x:c r="G111" s="23" t="n">
        <x:f>IF(ISNUMBER('原始输入与口径'!AJ113),'原始输入与口径'!AJ113,"缺失")</x:f>
        <x:v>38.37196678796165</x:v>
      </x:c>
      <x:c r="H111" s="23" t="str">
        <x:f>"未模拟"</x:f>
        <x:v>未模拟</x:v>
      </x:c>
      <x:c r="I111" s="24" t="n">
        <x:f>'原始输入与口径'!BD113</x:f>
        <x:v>48.927966086956516</x:v>
      </x:c>
      <x:c r="J111" s="24" t="n">
        <x:f>'原始输入与口径'!BE113</x:f>
        <x:v>47.28952608695651</x:v>
      </x:c>
      <x:c r="K111" s="24" t="n">
        <x:f>'原始输入与口径'!BF113</x:f>
        <x:v>-4.8921549033860856e-15</x:v>
      </x:c>
      <x:c r="L111" s="24" t="n">
        <x:f>'原始输入与口径'!BG113</x:f>
        <x:v>0</x:v>
      </x:c>
      <x:c r="M111" s="24" t="n">
        <x:f>'原始输入与口径'!BH113</x:f>
        <x:v>100</x:v>
      </x:c>
      <x:c r="N111" s="24" t="n">
        <x:f>'原始输入与口径'!BI113</x:f>
        <x:v>100</x:v>
      </x:c>
      <x:c r="O111" s="24" t="n">
        <x:f>M111*AE111*AC111</x:f>
        <x:v>1.8399999999999999</x:v>
      </x:c>
      <x:c r="P111" s="24" t="n">
        <x:f>N111*AF111*AC111</x:f>
        <x:v>0.393</x:v>
      </x:c>
      <x:c r="Q111" s="25" t="n">
        <x:f>IF(K111=0,0,IF(ISNUMBER(B111),K111*AC111*B111,NA()))</x:f>
        <x:v>0</x:v>
      </x:c>
      <x:c r="R111" s="25" t="n">
        <x:f>IF(L111=0,0,IF(ISNUMBER(C111),L111*AC111*C111*AD111,NA()))</x:f>
        <x:v>0</x:v>
      </x:c>
      <x:c r="S111" s="25" t="n">
        <x:f>IF(M111=0,0,IF(ISNUMBER(D111),M111*AC111*D111*AD111,NA()))</x:f>
        <x:v>342.7755774914055</x:v>
      </x:c>
      <x:c r="T111" s="25" t="n">
        <x:f>IF(N111=0,0,IF(ISNUMBER(E111),N111*AC111*E111*AD111,NA()))</x:f>
        <x:v>367.7549707484771</x:v>
      </x:c>
      <x:c r="U111" s="25" t="n">
        <x:f>IF(O111=0,0,IF(ISNUMBER(F111),O111*F111,NA()))</x:f>
        <x:v>251.54299270219735</x:v>
      </x:c>
      <x:c r="V111" s="25" t="n">
        <x:f>IF(P111=0,0,IF(ISNUMBER(G111),-P111*G111,NA()))</x:f>
        <x:v>-15.080182947668927</x:v>
      </x:c>
      <x:c r="W111" s="25" t="n">
        <x:f>SUM(Q111:V111)</x:f>
        <x:v>946.993357994411</x:v>
      </x:c>
      <x:c r="X111" s="18" t="n">
        <x:f>'原始输入与口径'!BR113</x:f>
        <x:v>946.993357994411</x:v>
      </x:c>
      <x:c r="Y111" s="18" t="n">
        <x:f>W111-X111</x:f>
        <x:v>0</x:v>
      </x:c>
      <x:c r="Z111" s="18" t="str">
        <x:f>"1月2日计划｜本窗新增"</x:f>
        <x:v>1月2日计划｜本窗新增</x:v>
      </x:c>
      <x:c r="AA111" s="19" t="n">
        <x:f>IF('原始输入与口径'!AW113,1,0)</x:f>
        <x:v>1</x:v>
      </x:c>
      <x:c r="AB111" s="19" t="n">
        <x:f>IF('原始输入与口径'!AY113,1,0)</x:f>
        <x:v>0</x:v>
      </x:c>
      <x:c r="AC111" s="18" t="n">
        <x:f>'原始输入与口径'!E113</x:f>
        <x:v>0.25</x:v>
      </x:c>
      <x:c r="AD111" s="20" t="n">
        <x:f>'原始输入与口径'!$F$5</x:f>
        <x:v>1</x:v>
      </x:c>
      <x:c r="AE111" s="20" t="n">
        <x:f>IF(AA111=0,0,AI111/(AG111*AC111))</x:f>
        <x:v>0.0736</x:v>
      </x:c>
      <x:c r="AF111" s="20" t="n">
        <x:f>IF(AA111=0,0,AJ111/(AH111*AC111))</x:f>
        <x:v>0.01572</x:v>
      </x:c>
      <x:c r="AG111" s="18" t="n">
        <x:f>IF(ISNUMBER('原始输入与口径'!T113),'原始输入与口径'!T113,"缺失")</x:f>
        <x:v>200</x:v>
      </x:c>
      <x:c r="AH111" s="18" t="n">
        <x:f>IF(ISNUMBER('原始输入与口径'!Y113),'原始输入与口径'!Y113,"缺失")</x:f>
        <x:v>200</x:v>
      </x:c>
      <x:c r="AI111" s="18" t="n">
        <x:f>IF(ISNUMBER('原始输入与口径'!AI113),'原始输入与口径'!AI113,"缺失")</x:f>
        <x:v>3.68</x:v>
      </x:c>
      <x:c r="AJ111" s="18" t="n">
        <x:f>IF(ISNUMBER('原始输入与口径'!AL113),'原始输入与口径'!AL113,"缺失")</x:f>
        <x:v>0.786</x:v>
      </x:c>
      <x:c r="AK111" s="18" t="str">
        <x:f>IF(ISNUMBER('原始输入与口径'!O113),'原始输入与口径'!O113,"缺失")</x:f>
        <x:v>缺失</x:v>
      </x:c>
      <x:c r="AL111" s="18" t="n">
        <x:f>SUMIFS('相位SOC复算'!$N$7:$N$443,'相位SOC复算'!$S$7:$S$443,105)</x:f>
        <x:v>0.006559888888888891</x:v>
      </x:c>
      <x:c r="AM111" s="18" t="n">
        <x:f>SUMIFS('相位SOC复算'!$Q$7:$Q$443,'相位SOC复算'!$S$7:$S$443,105)</x:f>
        <x:v>0.3930000000000011</x:v>
      </x:c>
      <x:c r="AN111" s="18" t="n">
        <x:f>SUMIFS('相位SOC复算'!$R$7:$R$443,'相位SOC复算'!$S$7:$S$443,105)</x:f>
        <x:v>1.8399999999999999</x:v>
      </x:c>
      <x:c r="AO111" s="18" t="n">
        <x:f>'相位SOC复算'!J253</x:f>
        <x:v>47.28952608695652</x:v>
      </x:c>
      <x:c r="AP111" s="18" t="n">
        <x:f>AO111-J111</x:f>
        <x:v>7.105427357601002e-15</x:v>
      </x:c>
      <x:c r="AQ111" s="18" t="n">
        <x:f>IF(ISBLANK('原始输入与口径'!M113),"",'原始输入与口径'!M113)</x:f>
        <x:v>4.9741</x:v>
      </x:c>
      <x:c r="AR111" s="21" t="n">
        <x:f>IF(ISBLANK('原始输入与口径'!L113),"",'原始输入与口径'!L113)</x:f>
        <x:v>45657</x:v>
      </x:c>
      <x:c r="AS111" s="17" t="n">
        <x:f>IF(ISBLANK('原始输入与口径'!A113),"",'原始输入与口径'!A113)</x:f>
        <x:v>45659</x:v>
      </x:c>
      <x:c r="AT111" s="18" t="str">
        <x:f>IF(ISBLANK('原始输入与口径'!I113),"",'原始输入与口径'!I113)</x:f>
        <x:v>2025-01-02_2</x:v>
      </x:c>
      <x:c r="AU111" s="19" t="n">
        <x:f>IF(ISBLANK('原始输入与口径'!J113),"",'原始输入与口径'!J113)</x:f>
        <x:v>60</x:v>
      </x:c>
      <x:c r="AV111" s="18" t="str">
        <x:f>IF(ISBLANK('原始输入与口径'!BB113),"",'原始输入与口径'!BB113)</x:f>
        <x:v>OK</x:v>
      </x:c>
    </x:row>
    <x:row r="112" ht="21" customHeight="1">
      <x:c r="A112" s="17" t="n">
        <x:f>45659.09375</x:f>
        <x:v>45659.09375</x:v>
      </x:c>
      <x:c r="B112" s="23" t="n">
        <x:f>IF(ISNUMBER('原始输入与口径'!H114),'原始输入与口径'!H114,"缺失")</x:f>
        <x:v>67.8</x:v>
      </x:c>
      <x:c r="C112" s="23" t="str">
        <x:f>IF(ISNUMBER('原始输入与口径'!R114),'原始输入与口径'!R114,"缺失")</x:f>
        <x:v>缺失</x:v>
      </x:c>
      <x:c r="D112" s="23" t="n">
        <x:f>IF(ISNUMBER('原始输入与口径'!W114),'原始输入与口径'!W114,"缺失")</x:f>
        <x:v>13.71102309965622</x:v>
      </x:c>
      <x:c r="E112" s="23" t="n">
        <x:f>IF(ISNUMBER('原始输入与口径'!AB114),'原始输入与口径'!AB114,"缺失")</x:f>
        <x:v>14.710198829939085</x:v>
      </x:c>
      <x:c r="F112" s="23" t="n">
        <x:f>IF(ISNUMBER('原始输入与口径'!AG114),'原始输入与口径'!AG114,"缺失")</x:f>
        <x:v>137.3154942602682</x:v>
      </x:c>
      <x:c r="G112" s="23" t="n">
        <x:f>IF(ISNUMBER('原始输入与口径'!AJ114),'原始输入与口径'!AJ114,"缺失")</x:f>
        <x:v>0</x:v>
      </x:c>
      <x:c r="H112" s="23" t="str">
        <x:f>"未模拟"</x:f>
        <x:v>未模拟</x:v>
      </x:c>
      <x:c r="I112" s="24" t="n">
        <x:f>'原始输入与口径'!BD114</x:f>
        <x:v>47.28952608695651</x:v>
      </x:c>
      <x:c r="J112" s="24" t="n">
        <x:f>'原始输入与口径'!BE114</x:f>
        <x:v>44.10637391304347</x:v>
      </x:c>
      <x:c r="K112" s="24" t="n">
        <x:f>'原始输入与口径'!BF114</x:f>
        <x:v>-4.8921549033860856e-15</x:v>
      </x:c>
      <x:c r="L112" s="24" t="n">
        <x:f>'原始输入与口径'!BG114</x:f>
        <x:v>0</x:v>
      </x:c>
      <x:c r="M112" s="24" t="n">
        <x:f>'原始输入与口径'!BH114</x:f>
        <x:v>100</x:v>
      </x:c>
      <x:c r="N112" s="24" t="n">
        <x:f>'原始输入与口径'!BI114</x:f>
        <x:v>100</x:v>
      </x:c>
      <x:c r="O112" s="24" t="n">
        <x:f>M112*AE112*AC112</x:f>
        <x:v>2.9285</x:v>
      </x:c>
      <x:c r="P112" s="24" t="n">
        <x:f>N112*AF112*AC112</x:f>
        <x:v>0</x:v>
      </x:c>
      <x:c r="Q112" s="25" t="n">
        <x:f>IF(K112=0,0,IF(ISNUMBER(B112),K112*AC112*B112,NA()))</x:f>
        <x:v>0</x:v>
      </x:c>
      <x:c r="R112" s="25" t="n">
        <x:f>IF(L112=0,0,IF(ISNUMBER(C112),L112*AC112*C112*AD112,NA()))</x:f>
        <x:v>0</x:v>
      </x:c>
      <x:c r="S112" s="25" t="n">
        <x:f>IF(M112=0,0,IF(ISNUMBER(D112),M112*AC112*D112*AD112,NA()))</x:f>
        <x:v>342.7755774914055</x:v>
      </x:c>
      <x:c r="T112" s="25" t="n">
        <x:f>IF(N112=0,0,IF(ISNUMBER(E112),N112*AC112*E112*AD112,NA()))</x:f>
        <x:v>367.7549707484771</x:v>
      </x:c>
      <x:c r="U112" s="25" t="n">
        <x:f>IF(O112=0,0,IF(ISNUMBER(F112),O112*F112,NA()))</x:f>
        <x:v>402.1284249411954</x:v>
      </x:c>
      <x:c r="V112" s="25" t="n">
        <x:f>IF(P112=0,0,IF(ISNUMBER(G112),-P112*G112,NA()))</x:f>
        <x:v>0</x:v>
      </x:c>
      <x:c r="W112" s="25" t="n">
        <x:f>SUM(Q112:V112)</x:f>
        <x:v>1112.658973181078</x:v>
      </x:c>
      <x:c r="X112" s="18" t="n">
        <x:f>'原始输入与口径'!BR114</x:f>
        <x:v>1112.658973181078</x:v>
      </x:c>
      <x:c r="Y112" s="18" t="n">
        <x:f>W112-X112</x:f>
        <x:v>0</x:v>
      </x:c>
      <x:c r="Z112" s="18" t="str">
        <x:f>"1月2日计划｜本窗新增"</x:f>
        <x:v>1月2日计划｜本窗新增</x:v>
      </x:c>
      <x:c r="AA112" s="19" t="n">
        <x:f>IF('原始输入与口径'!AW114,1,0)</x:f>
        <x:v>1</x:v>
      </x:c>
      <x:c r="AB112" s="19" t="n">
        <x:f>IF('原始输入与口径'!AY114,1,0)</x:f>
        <x:v>0</x:v>
      </x:c>
      <x:c r="AC112" s="18" t="n">
        <x:f>'原始输入与口径'!E114</x:f>
        <x:v>0.25</x:v>
      </x:c>
      <x:c r="AD112" s="20" t="n">
        <x:f>'原始输入与口径'!$F$5</x:f>
        <x:v>1</x:v>
      </x:c>
      <x:c r="AE112" s="20" t="n">
        <x:f>IF(AA112=0,0,AI112/(AG112*AC112))</x:f>
        <x:v>0.11714000000000001</x:v>
      </x:c>
      <x:c r="AF112" s="20" t="n">
        <x:f>IF(AA112=0,0,AJ112/(AH112*AC112))</x:f>
        <x:v>0</x:v>
      </x:c>
      <x:c r="AG112" s="18" t="n">
        <x:f>IF(ISNUMBER('原始输入与口径'!T114),'原始输入与口径'!T114,"缺失")</x:f>
        <x:v>200</x:v>
      </x:c>
      <x:c r="AH112" s="18" t="n">
        <x:f>IF(ISNUMBER('原始输入与口径'!Y114),'原始输入与口径'!Y114,"缺失")</x:f>
        <x:v>200</x:v>
      </x:c>
      <x:c r="AI112" s="18" t="n">
        <x:f>IF(ISNUMBER('原始输入与口径'!AI114),'原始输入与口径'!AI114,"缺失")</x:f>
        <x:v>5.857</x:v>
      </x:c>
      <x:c r="AJ112" s="18" t="n">
        <x:f>IF(ISNUMBER('原始输入与口径'!AL114),'原始输入与口径'!AL114,"缺失")</x:f>
        <x:v>0</x:v>
      </x:c>
      <x:c r="AK112" s="18" t="str">
        <x:f>IF(ISNUMBER('原始输入与口径'!O114),'原始输入与口径'!O114,"缺失")</x:f>
        <x:v>缺失</x:v>
      </x:c>
      <x:c r="AL112" s="18" t="n">
        <x:f>SUMIFS('相位SOC复算'!$N$7:$N$443,'相位SOC复算'!$S$7:$S$443,106)</x:f>
        <x:v>0.00884208937198068</x:v>
      </x:c>
      <x:c r="AM112" s="18" t="n">
        <x:f>SUMIFS('相位SOC复算'!$Q$7:$Q$443,'相位SOC复算'!$S$7:$S$443,106)</x:f>
        <x:v>1.07977196950086e-15</x:v>
      </x:c>
      <x:c r="AN112" s="18" t="n">
        <x:f>SUMIFS('相位SOC复算'!$R$7:$R$443,'相位SOC复算'!$S$7:$S$443,106)</x:f>
        <x:v>2.9285</x:v>
      </x:c>
      <x:c r="AO112" s="18" t="n">
        <x:f>'相位SOC复算'!J255</x:f>
        <x:v>44.10637391304348</x:v>
      </x:c>
      <x:c r="AP112" s="18" t="n">
        <x:f>AO112-J112</x:f>
        <x:v>7.105427357601002e-15</x:v>
      </x:c>
      <x:c r="AQ112" s="18" t="n">
        <x:f>IF(ISBLANK('原始输入与口径'!M114),"",'原始输入与口径'!M114)</x:f>
        <x:v>4.9741</x:v>
      </x:c>
      <x:c r="AR112" s="21" t="n">
        <x:f>IF(ISBLANK('原始输入与口径'!L114),"",'原始输入与口径'!L114)</x:f>
        <x:v>45657</x:v>
      </x:c>
      <x:c r="AS112" s="17" t="n">
        <x:f>IF(ISBLANK('原始输入与口径'!A114),"",'原始输入与口径'!A114)</x:f>
        <x:v>45659.010416666664</x:v>
      </x:c>
      <x:c r="AT112" s="18" t="str">
        <x:f>IF(ISBLANK('原始输入与口径'!I114),"",'原始输入与口径'!I114)</x:f>
        <x:v>2025-01-02_2</x:v>
      </x:c>
      <x:c r="AU112" s="19" t="n">
        <x:f>IF(ISBLANK('原始输入与口径'!J114),"",'原始输入与口径'!J114)</x:f>
        <x:v>60</x:v>
      </x:c>
      <x:c r="AV112" s="18" t="str">
        <x:f>IF(ISBLANK('原始输入与口径'!BB114),"",'原始输入与口径'!BB114)</x:f>
        <x:v>OK</x:v>
      </x:c>
    </x:row>
    <x:row r="113" ht="21" customHeight="1">
      <x:c r="A113" s="17" t="n">
        <x:f>45659.104166666664</x:f>
        <x:v>45659.104166666664</x:v>
      </x:c>
      <x:c r="B113" s="23" t="n">
        <x:f>IF(ISNUMBER('原始输入与口径'!H115),'原始输入与口径'!H115,"缺失")</x:f>
        <x:v>67.8</x:v>
      </x:c>
      <x:c r="C113" s="23" t="str">
        <x:f>IF(ISNUMBER('原始输入与口径'!R115),'原始输入与口径'!R115,"缺失")</x:f>
        <x:v>缺失</x:v>
      </x:c>
      <x:c r="D113" s="23" t="n">
        <x:f>IF(ISNUMBER('原始输入与口径'!W115),'原始输入与口径'!W115,"缺失")</x:f>
        <x:v>13.71102309965622</x:v>
      </x:c>
      <x:c r="E113" s="23" t="n">
        <x:f>IF(ISNUMBER('原始输入与口径'!AB115),'原始输入与口径'!AB115,"缺失")</x:f>
        <x:v>14.710198829939085</x:v>
      </x:c>
      <x:c r="F113" s="23" t="n">
        <x:f>IF(ISNUMBER('原始输入与口径'!AG115),'原始输入与口径'!AG115,"缺失")</x:f>
        <x:v>156.28696648639954</x:v>
      </x:c>
      <x:c r="G113" s="23" t="n">
        <x:f>IF(ISNUMBER('原始输入与口径'!AJ115),'原始输入与口径'!AJ115,"缺失")</x:f>
        <x:v>0</x:v>
      </x:c>
      <x:c r="H113" s="23" t="str">
        <x:f>"未模拟"</x:f>
        <x:v>未模拟</x:v>
      </x:c>
      <x:c r="I113" s="24" t="n">
        <x:f>'原始输入与口径'!BD115</x:f>
        <x:v>44.10637391304347</x:v>
      </x:c>
      <x:c r="J113" s="24" t="n">
        <x:f>'原始输入与口径'!BE115</x:f>
        <x:v>38.16180869565216</x:v>
      </x:c>
      <x:c r="K113" s="24" t="n">
        <x:f>'原始输入与口径'!BF115</x:f>
        <x:v>-4.8921549033860856e-15</x:v>
      </x:c>
      <x:c r="L113" s="24" t="n">
        <x:f>'原始输入与口径'!BG115</x:f>
        <x:v>0</x:v>
      </x:c>
      <x:c r="M113" s="24" t="n">
        <x:f>'原始输入与口径'!BH115</x:f>
        <x:v>100</x:v>
      </x:c>
      <x:c r="N113" s="24" t="n">
        <x:f>'原始输入与口径'!BI115</x:f>
        <x:v>100</x:v>
      </x:c>
      <x:c r="O113" s="24" t="n">
        <x:f>M113*AE113*AC113</x:f>
        <x:v>5.469</x:v>
      </x:c>
      <x:c r="P113" s="24" t="n">
        <x:f>N113*AF113*AC113</x:f>
        <x:v>0</x:v>
      </x:c>
      <x:c r="Q113" s="25" t="n">
        <x:f>IF(K113=0,0,IF(ISNUMBER(B113),K113*AC113*B113,NA()))</x:f>
        <x:v>0</x:v>
      </x:c>
      <x:c r="R113" s="25" t="n">
        <x:f>IF(L113=0,0,IF(ISNUMBER(C113),L113*AC113*C113*AD113,NA()))</x:f>
        <x:v>0</x:v>
      </x:c>
      <x:c r="S113" s="25" t="n">
        <x:f>IF(M113=0,0,IF(ISNUMBER(D113),M113*AC113*D113*AD113,NA()))</x:f>
        <x:v>342.7755774914055</x:v>
      </x:c>
      <x:c r="T113" s="25" t="n">
        <x:f>IF(N113=0,0,IF(ISNUMBER(E113),N113*AC113*E113*AD113,NA()))</x:f>
        <x:v>367.7549707484771</x:v>
      </x:c>
      <x:c r="U113" s="25" t="n">
        <x:f>IF(O113=0,0,IF(ISNUMBER(F113),O113*F113,NA()))</x:f>
        <x:v>854.7334197141191</x:v>
      </x:c>
      <x:c r="V113" s="25" t="n">
        <x:f>IF(P113=0,0,IF(ISNUMBER(G113),-P113*G113,NA()))</x:f>
        <x:v>0</x:v>
      </x:c>
      <x:c r="W113" s="25" t="n">
        <x:f>SUM(Q113:V113)</x:f>
        <x:v>1565.2639679540016</x:v>
      </x:c>
      <x:c r="X113" s="18" t="n">
        <x:f>'原始输入与口径'!BR115</x:f>
        <x:v>1565.2639679540016</x:v>
      </x:c>
      <x:c r="Y113" s="18" t="n">
        <x:f>W113-X113</x:f>
        <x:v>0</x:v>
      </x:c>
      <x:c r="Z113" s="18" t="str">
        <x:f>"1月2日计划｜本窗新增"</x:f>
        <x:v>1月2日计划｜本窗新增</x:v>
      </x:c>
      <x:c r="AA113" s="19" t="n">
        <x:f>IF('原始输入与口径'!AW115,1,0)</x:f>
        <x:v>1</x:v>
      </x:c>
      <x:c r="AB113" s="19" t="n">
        <x:f>IF('原始输入与口径'!AY115,1,0)</x:f>
        <x:v>0</x:v>
      </x:c>
      <x:c r="AC113" s="18" t="n">
        <x:f>'原始输入与口径'!E115</x:f>
        <x:v>0.25</x:v>
      </x:c>
      <x:c r="AD113" s="20" t="n">
        <x:f>'原始输入与口径'!$F$5</x:f>
        <x:v>1</x:v>
      </x:c>
      <x:c r="AE113" s="20" t="n">
        <x:f>IF(AA113=0,0,AI113/(AG113*AC113))</x:f>
        <x:v>0.21876</x:v>
      </x:c>
      <x:c r="AF113" s="20" t="n">
        <x:f>IF(AA113=0,0,AJ113/(AH113*AC113))</x:f>
        <x:v>0</x:v>
      </x:c>
      <x:c r="AG113" s="18" t="n">
        <x:f>IF(ISNUMBER('原始输入与口径'!T115),'原始输入与口径'!T115,"缺失")</x:f>
        <x:v>200</x:v>
      </x:c>
      <x:c r="AH113" s="18" t="n">
        <x:f>IF(ISNUMBER('原始输入与口径'!Y115),'原始输入与口径'!Y115,"缺失")</x:f>
        <x:v>200</x:v>
      </x:c>
      <x:c r="AI113" s="18" t="n">
        <x:f>IF(ISNUMBER('原始输入与口径'!AI115),'原始输入与口径'!AI115,"缺失")</x:f>
        <x:v>10.938</x:v>
      </x:c>
      <x:c r="AJ113" s="18" t="n">
        <x:f>IF(ISNUMBER('原始输入与口径'!AL115),'原始输入与口径'!AL115,"缺失")</x:f>
        <x:v>0</x:v>
      </x:c>
      <x:c r="AK113" s="18" t="str">
        <x:f>IF(ISNUMBER('原始输入与口径'!O115),'原始输入与口径'!O115,"缺失")</x:f>
        <x:v>缺失</x:v>
      </x:c>
      <x:c r="AL113" s="18" t="n">
        <x:f>SUMIFS('相位SOC复算'!$N$7:$N$443,'相位SOC复算'!$S$7:$S$443,107)</x:f>
        <x:v>0.01651268115942029</x:v>
      </x:c>
      <x:c r="AM113" s="18" t="n">
        <x:f>SUMIFS('相位SOC复算'!$Q$7:$Q$443,'相位SOC复算'!$S$7:$S$443,107)</x:f>
        <x:v>9.554867741803363e-16</x:v>
      </x:c>
      <x:c r="AN113" s="18" t="n">
        <x:f>SUMIFS('相位SOC复算'!$R$7:$R$443,'相位SOC复算'!$S$7:$S$443,107)</x:f>
        <x:v>5.469</x:v>
      </x:c>
      <x:c r="AO113" s="18" t="n">
        <x:f>'相位SOC复算'!J257</x:f>
        <x:v>38.16180869565217</x:v>
      </x:c>
      <x:c r="AP113" s="18" t="n">
        <x:f>AO113-J113</x:f>
        <x:v>7.105427357601002e-15</x:v>
      </x:c>
      <x:c r="AQ113" s="18" t="n">
        <x:f>IF(ISBLANK('原始输入与口径'!M115),"",'原始输入与口径'!M115)</x:f>
        <x:v>4.9741</x:v>
      </x:c>
      <x:c r="AR113" s="21" t="n">
        <x:f>IF(ISBLANK('原始输入与口径'!L115),"",'原始输入与口径'!L115)</x:f>
        <x:v>45657</x:v>
      </x:c>
      <x:c r="AS113" s="17" t="n">
        <x:f>IF(ISBLANK('原始输入与口径'!A115),"",'原始输入与口径'!A115)</x:f>
        <x:v>45659.020833333336</x:v>
      </x:c>
      <x:c r="AT113" s="18" t="str">
        <x:f>IF(ISBLANK('原始输入与口径'!I115),"",'原始输入与口径'!I115)</x:f>
        <x:v>2025-01-02_2</x:v>
      </x:c>
      <x:c r="AU113" s="19" t="n">
        <x:f>IF(ISBLANK('原始输入与口径'!J115),"",'原始输入与口径'!J115)</x:f>
        <x:v>60</x:v>
      </x:c>
      <x:c r="AV113" s="18" t="str">
        <x:f>IF(ISBLANK('原始输入与口径'!BB115),"",'原始输入与口径'!BB115)</x:f>
        <x:v>OK</x:v>
      </x:c>
    </x:row>
    <x:row r="114" ht="21" customHeight="1">
      <x:c r="A114" s="17" t="n">
        <x:f>45659.114583333336</x:f>
        <x:v>45659.114583333336</x:v>
      </x:c>
      <x:c r="B114" s="23" t="n">
        <x:f>IF(ISNUMBER('原始输入与口径'!H116),'原始输入与口径'!H116,"缺失")</x:f>
        <x:v>67.8</x:v>
      </x:c>
      <x:c r="C114" s="23" t="str">
        <x:f>IF(ISNUMBER('原始输入与口径'!R116),'原始输入与口径'!R116,"缺失")</x:f>
        <x:v>缺失</x:v>
      </x:c>
      <x:c r="D114" s="23" t="n">
        <x:f>IF(ISNUMBER('原始输入与口径'!W116),'原始输入与口径'!W116,"缺失")</x:f>
        <x:v>13.71102309965622</x:v>
      </x:c>
      <x:c r="E114" s="23" t="n">
        <x:f>IF(ISNUMBER('原始输入与口径'!AB116),'原始输入与口径'!AB116,"缺失")</x:f>
        <x:v>14.710198829939085</x:v>
      </x:c>
      <x:c r="F114" s="23" t="n">
        <x:f>IF(ISNUMBER('原始输入与口径'!AG116),'原始输入与口径'!AG116,"缺失")</x:f>
        <x:v>134.97617659476086</x:v>
      </x:c>
      <x:c r="G114" s="23" t="n">
        <x:f>IF(ISNUMBER('原始输入与口径'!AJ116),'原始输入与口径'!AJ116,"缺失")</x:f>
        <x:v>0</x:v>
      </x:c>
      <x:c r="H114" s="23" t="str">
        <x:f>"未模拟"</x:f>
        <x:v>未模拟</x:v>
      </x:c>
      <x:c r="I114" s="24" t="n">
        <x:f>'原始输入与口径'!BD116</x:f>
        <x:v>38.16180869565216</x:v>
      </x:c>
      <x:c r="J114" s="24" t="n">
        <x:f>'原始输入与口径'!BE116</x:f>
        <x:v>36.819417391304334</x:v>
      </x:c>
      <x:c r="K114" s="24" t="n">
        <x:f>'原始输入与口径'!BF116</x:f>
        <x:v>-4.8921549033860856e-15</x:v>
      </x:c>
      <x:c r="L114" s="24" t="n">
        <x:f>'原始输入与口径'!BG116</x:f>
        <x:v>0</x:v>
      </x:c>
      <x:c r="M114" s="24" t="n">
        <x:f>'原始输入与口径'!BH116</x:f>
        <x:v>100</x:v>
      </x:c>
      <x:c r="N114" s="24" t="n">
        <x:f>'原始输入与口径'!BI116</x:f>
        <x:v>100</x:v>
      </x:c>
      <x:c r="O114" s="24" t="n">
        <x:f>M114*AE114*AC114</x:f>
        <x:v>1.235</x:v>
      </x:c>
      <x:c r="P114" s="24" t="n">
        <x:f>N114*AF114*AC114</x:f>
        <x:v>0</x:v>
      </x:c>
      <x:c r="Q114" s="25" t="n">
        <x:f>IF(K114=0,0,IF(ISNUMBER(B114),K114*AC114*B114,NA()))</x:f>
        <x:v>0</x:v>
      </x:c>
      <x:c r="R114" s="25" t="n">
        <x:f>IF(L114=0,0,IF(ISNUMBER(C114),L114*AC114*C114*AD114,NA()))</x:f>
        <x:v>0</x:v>
      </x:c>
      <x:c r="S114" s="25" t="n">
        <x:f>IF(M114=0,0,IF(ISNUMBER(D114),M114*AC114*D114*AD114,NA()))</x:f>
        <x:v>342.7755774914055</x:v>
      </x:c>
      <x:c r="T114" s="25" t="n">
        <x:f>IF(N114=0,0,IF(ISNUMBER(E114),N114*AC114*E114*AD114,NA()))</x:f>
        <x:v>367.7549707484771</x:v>
      </x:c>
      <x:c r="U114" s="25" t="n">
        <x:f>IF(O114=0,0,IF(ISNUMBER(F114),O114*F114,NA()))</x:f>
        <x:v>166.69557809452968</x:v>
      </x:c>
      <x:c r="V114" s="25" t="n">
        <x:f>IF(P114=0,0,IF(ISNUMBER(G114),-P114*G114,NA()))</x:f>
        <x:v>0</x:v>
      </x:c>
      <x:c r="W114" s="25" t="n">
        <x:f>SUM(Q114:V114)</x:f>
        <x:v>877.2261263344122</x:v>
      </x:c>
      <x:c r="X114" s="18" t="n">
        <x:f>'原始输入与口径'!BR116</x:f>
        <x:v>877.2261263344122</x:v>
      </x:c>
      <x:c r="Y114" s="18" t="n">
        <x:f>W114-X114</x:f>
        <x:v>0</x:v>
      </x:c>
      <x:c r="Z114" s="18" t="str">
        <x:f>"1月2日计划｜本窗新增"</x:f>
        <x:v>1月2日计划｜本窗新增</x:v>
      </x:c>
      <x:c r="AA114" s="19" t="n">
        <x:f>IF('原始输入与口径'!AW116,1,0)</x:f>
        <x:v>1</x:v>
      </x:c>
      <x:c r="AB114" s="19" t="n">
        <x:f>IF('原始输入与口径'!AY116,1,0)</x:f>
        <x:v>0</x:v>
      </x:c>
      <x:c r="AC114" s="18" t="n">
        <x:f>'原始输入与口径'!E116</x:f>
        <x:v>0.25</x:v>
      </x:c>
      <x:c r="AD114" s="20" t="n">
        <x:f>'原始输入与口径'!$F$5</x:f>
        <x:v>1</x:v>
      </x:c>
      <x:c r="AE114" s="20" t="n">
        <x:f>IF(AA114=0,0,AI114/(AG114*AC114))</x:f>
        <x:v>0.049400000000000006</x:v>
      </x:c>
      <x:c r="AF114" s="20" t="n">
        <x:f>IF(AA114=0,0,AJ114/(AH114*AC114))</x:f>
        <x:v>0</x:v>
      </x:c>
      <x:c r="AG114" s="18" t="n">
        <x:f>IF(ISNUMBER('原始输入与口径'!T116),'原始输入与口径'!T116,"缺失")</x:f>
        <x:v>200</x:v>
      </x:c>
      <x:c r="AH114" s="18" t="n">
        <x:f>IF(ISNUMBER('原始输入与口径'!Y116),'原始输入与口径'!Y116,"缺失")</x:f>
        <x:v>200</x:v>
      </x:c>
      <x:c r="AI114" s="18" t="n">
        <x:f>IF(ISNUMBER('原始输入与口径'!AI116),'原始输入与口径'!AI116,"缺失")</x:f>
        <x:v>2.47</x:v>
      </x:c>
      <x:c r="AJ114" s="18" t="n">
        <x:f>IF(ISNUMBER('原始输入与口径'!AL116),'原始输入与口径'!AL116,"缺失")</x:f>
        <x:v>0</x:v>
      </x:c>
      <x:c r="AK114" s="18" t="str">
        <x:f>IF(ISNUMBER('原始输入与口径'!O116),'原始输入与口径'!O116,"缺失")</x:f>
        <x:v>缺失</x:v>
      </x:c>
      <x:c r="AL114" s="18" t="n">
        <x:f>SUMIFS('相位SOC复算'!$N$7:$N$443,'相位SOC复算'!$S$7:$S$443,108)</x:f>
        <x:v>0.00372886473429952</x:v>
      </x:c>
      <x:c r="AM114" s="18" t="n">
        <x:f>SUMIFS('相位SOC复算'!$Q$7:$Q$443,'相位SOC复算'!$S$7:$S$443,108)</x:f>
        <x:v>1.1626206127897033e-15</x:v>
      </x:c>
      <x:c r="AN114" s="18" t="n">
        <x:f>SUMIFS('相位SOC复算'!$R$7:$R$443,'相位SOC复算'!$S$7:$S$443,108)</x:f>
        <x:v>1.235</x:v>
      </x:c>
      <x:c r="AO114" s="18" t="n">
        <x:f>'相位SOC复算'!J259</x:f>
        <x:v>36.81941739130434</x:v>
      </x:c>
      <x:c r="AP114" s="18" t="n">
        <x:f>AO114-J114</x:f>
        <x:v>7.105427357601002e-15</x:v>
      </x:c>
      <x:c r="AQ114" s="18" t="n">
        <x:f>IF(ISBLANK('原始输入与口径'!M116),"",'原始输入与口径'!M116)</x:f>
        <x:v>4.9741</x:v>
      </x:c>
      <x:c r="AR114" s="21" t="n">
        <x:f>IF(ISBLANK('原始输入与口径'!L116),"",'原始输入与口径'!L116)</x:f>
        <x:v>45657</x:v>
      </x:c>
      <x:c r="AS114" s="17" t="n">
        <x:f>IF(ISBLANK('原始输入与口径'!A116),"",'原始输入与口径'!A116)</x:f>
        <x:v>45659.03125</x:v>
      </x:c>
      <x:c r="AT114" s="18" t="str">
        <x:f>IF(ISBLANK('原始输入与口径'!I116),"",'原始输入与口径'!I116)</x:f>
        <x:v>2025-01-02_2</x:v>
      </x:c>
      <x:c r="AU114" s="19" t="n">
        <x:f>IF(ISBLANK('原始输入与口径'!J116),"",'原始输入与口径'!J116)</x:f>
        <x:v>60</x:v>
      </x:c>
      <x:c r="AV114" s="18" t="str">
        <x:f>IF(ISBLANK('原始输入与口径'!BB116),"",'原始输入与口径'!BB116)</x:f>
        <x:v>OK</x:v>
      </x:c>
    </x:row>
    <x:row r="115" ht="21" customHeight="1">
      <x:c r="A115" s="17" t="n">
        <x:f>45659.125</x:f>
        <x:v>45659.125</x:v>
      </x:c>
      <x:c r="B115" s="23" t="n">
        <x:f>IF(ISNUMBER('原始输入与口径'!H117),'原始输入与口径'!H117,"缺失")</x:f>
        <x:v>70.66</x:v>
      </x:c>
      <x:c r="C115" s="23" t="str">
        <x:f>IF(ISNUMBER('原始输入与口径'!R117),'原始输入与口径'!R117,"缺失")</x:f>
        <x:v>缺失</x:v>
      </x:c>
      <x:c r="D115" s="23" t="n">
        <x:f>IF(ISNUMBER('原始输入与口径'!W117),'原始输入与口径'!W117,"缺失")</x:f>
        <x:v>13.71102309965622</x:v>
      </x:c>
      <x:c r="E115" s="23" t="n">
        <x:f>IF(ISNUMBER('原始输入与口径'!AB117),'原始输入与口径'!AB117,"缺失")</x:f>
        <x:v>14.710198829939085</x:v>
      </x:c>
      <x:c r="F115" s="23" t="n">
        <x:f>IF(ISNUMBER('原始输入与口径'!AG117),'原始输入与口径'!AG117,"缺失")</x:f>
        <x:v>150.79612392191552</x:v>
      </x:c>
      <x:c r="G115" s="23" t="n">
        <x:f>IF(ISNUMBER('原始输入与口径'!AJ117),'原始输入与口径'!AJ117,"缺失")</x:f>
        <x:v>0</x:v>
      </x:c>
      <x:c r="H115" s="23" t="str">
        <x:f>"未模拟"</x:f>
        <x:v>未模拟</x:v>
      </x:c>
      <x:c r="I115" s="24" t="n">
        <x:f>'原始输入与口径'!BD117</x:f>
        <x:v>36.819417391304334</x:v>
      </x:c>
      <x:c r="J115" s="24" t="n">
        <x:f>'原始输入与口径'!BE117</x:f>
        <x:v>32.453113043478254</x:v>
      </x:c>
      <x:c r="K115" s="24" t="n">
        <x:f>'原始输入与口径'!BF117</x:f>
        <x:v>-3.282176960642576e-14</x:v>
      </x:c>
      <x:c r="L115" s="24" t="n">
        <x:f>'原始输入与口径'!BG117</x:f>
        <x:v>0</x:v>
      </x:c>
      <x:c r="M115" s="24" t="n">
        <x:f>'原始输入与口径'!BH117</x:f>
        <x:v>100</x:v>
      </x:c>
      <x:c r="N115" s="24" t="n">
        <x:f>'原始输入与口径'!BI117</x:f>
        <x:v>100</x:v>
      </x:c>
      <x:c r="O115" s="24" t="n">
        <x:f>M115*AE115*AC115</x:f>
        <x:v>4.017</x:v>
      </x:c>
      <x:c r="P115" s="24" t="n">
        <x:f>N115*AF115*AC115</x:f>
        <x:v>0</x:v>
      </x:c>
      <x:c r="Q115" s="25" t="n">
        <x:f>IF(K115=0,0,IF(ISNUMBER(B115),K115*AC115*B115,NA()))</x:f>
        <x:v>0</x:v>
      </x:c>
      <x:c r="R115" s="25" t="n">
        <x:f>IF(L115=0,0,IF(ISNUMBER(C115),L115*AC115*C115*AD115,NA()))</x:f>
        <x:v>0</x:v>
      </x:c>
      <x:c r="S115" s="25" t="n">
        <x:f>IF(M115=0,0,IF(ISNUMBER(D115),M115*AC115*D115*AD115,NA()))</x:f>
        <x:v>342.7755774914055</x:v>
      </x:c>
      <x:c r="T115" s="25" t="n">
        <x:f>IF(N115=0,0,IF(ISNUMBER(E115),N115*AC115*E115*AD115,NA()))</x:f>
        <x:v>367.7549707484771</x:v>
      </x:c>
      <x:c r="U115" s="25" t="n">
        <x:f>IF(O115=0,0,IF(ISNUMBER(F115),O115*F115,NA()))</x:f>
        <x:v>605.7480297943347</x:v>
      </x:c>
      <x:c r="V115" s="25" t="n">
        <x:f>IF(P115=0,0,IF(ISNUMBER(G115),-P115*G115,NA()))</x:f>
        <x:v>0</x:v>
      </x:c>
      <x:c r="W115" s="25" t="n">
        <x:f>SUM(Q115:V115)</x:f>
        <x:v>1316.2785780342174</x:v>
      </x:c>
      <x:c r="X115" s="18" t="n">
        <x:f>'原始输入与口径'!BR117</x:f>
        <x:v>1316.2785780342167</x:v>
      </x:c>
      <x:c r="Y115" s="18" t="n">
        <x:f>W115-X115</x:f>
        <x:v>6.821210263296962e-13</x:v>
      </x:c>
      <x:c r="Z115" s="18" t="str">
        <x:f>"1月2日计划｜本窗新增"</x:f>
        <x:v>1月2日计划｜本窗新增</x:v>
      </x:c>
      <x:c r="AA115" s="19" t="n">
        <x:f>IF('原始输入与口径'!AW117,1,0)</x:f>
        <x:v>1</x:v>
      </x:c>
      <x:c r="AB115" s="19" t="n">
        <x:f>IF('原始输入与口径'!AY117,1,0)</x:f>
        <x:v>0</x:v>
      </x:c>
      <x:c r="AC115" s="18" t="n">
        <x:f>'原始输入与口径'!E117</x:f>
        <x:v>0.25</x:v>
      </x:c>
      <x:c r="AD115" s="20" t="n">
        <x:f>'原始输入与口径'!$F$5</x:f>
        <x:v>1</x:v>
      </x:c>
      <x:c r="AE115" s="20" t="n">
        <x:f>IF(AA115=0,0,AI115/(AG115*AC115))</x:f>
        <x:v>0.16068000000000002</x:v>
      </x:c>
      <x:c r="AF115" s="20" t="n">
        <x:f>IF(AA115=0,0,AJ115/(AH115*AC115))</x:f>
        <x:v>0</x:v>
      </x:c>
      <x:c r="AG115" s="18" t="n">
        <x:f>IF(ISNUMBER('原始输入与口径'!T117),'原始输入与口径'!T117,"缺失")</x:f>
        <x:v>200</x:v>
      </x:c>
      <x:c r="AH115" s="18" t="n">
        <x:f>IF(ISNUMBER('原始输入与口径'!Y117),'原始输入与口径'!Y117,"缺失")</x:f>
        <x:v>200</x:v>
      </x:c>
      <x:c r="AI115" s="18" t="n">
        <x:f>IF(ISNUMBER('原始输入与口径'!AI117),'原始输入与口径'!AI117,"缺失")</x:f>
        <x:v>8.034</x:v>
      </x:c>
      <x:c r="AJ115" s="18" t="n">
        <x:f>IF(ISNUMBER('原始输入与口径'!AL117),'原始输入与口径'!AL117,"缺失")</x:f>
        <x:v>0</x:v>
      </x:c>
      <x:c r="AK115" s="18" t="str">
        <x:f>IF(ISNUMBER('原始输入与口径'!O117),'原始输入与口径'!O117,"缺失")</x:f>
        <x:v>缺失</x:v>
      </x:c>
      <x:c r="AL115" s="18" t="n">
        <x:f>SUMIFS('相位SOC复算'!$N$7:$N$443,'相位SOC复算'!$S$7:$S$443,109)</x:f>
        <x:v>0.012128623188405812</x:v>
      </x:c>
      <x:c r="AM115" s="18" t="n">
        <x:f>SUMIFS('相位SOC复算'!$Q$7:$Q$443,'相位SOC复算'!$S$7:$S$443,109)</x:f>
        <x:v>6.886991916516317e-15</x:v>
      </x:c>
      <x:c r="AN115" s="18" t="n">
        <x:f>SUMIFS('相位SOC复算'!$R$7:$R$443,'相位SOC复算'!$S$7:$S$443,109)</x:f>
        <x:v>4.0169999999999995</x:v>
      </x:c>
      <x:c r="AO115" s="18" t="n">
        <x:f>'相位SOC复算'!J261</x:f>
        <x:v>32.45311304347826</x:v>
      </x:c>
      <x:c r="AP115" s="18" t="n">
        <x:f>AO115-J115</x:f>
        <x:v>7.105427357601002e-15</x:v>
      </x:c>
      <x:c r="AQ115" s="18" t="n">
        <x:f>IF(ISBLANK('原始输入与口径'!M117),"",'原始输入与口径'!M117)</x:f>
        <x:v>4.9741</x:v>
      </x:c>
      <x:c r="AR115" s="21" t="n">
        <x:f>IF(ISBLANK('原始输入与口径'!L117),"",'原始输入与口径'!L117)</x:f>
        <x:v>45657</x:v>
      </x:c>
      <x:c r="AS115" s="17" t="n">
        <x:f>IF(ISBLANK('原始输入与口径'!A117),"",'原始输入与口径'!A117)</x:f>
        <x:v>45659.041666666664</x:v>
      </x:c>
      <x:c r="AT115" s="18" t="str">
        <x:f>IF(ISBLANK('原始输入与口径'!I117),"",'原始输入与口径'!I117)</x:f>
        <x:v>2025-01-02_3</x:v>
      </x:c>
      <x:c r="AU115" s="19" t="n">
        <x:f>IF(ISBLANK('原始输入与口径'!J117),"",'原始输入与口径'!J117)</x:f>
        <x:v>60</x:v>
      </x:c>
      <x:c r="AV115" s="18" t="str">
        <x:f>IF(ISBLANK('原始输入与口径'!BB117),"",'原始输入与口径'!BB117)</x:f>
        <x:v>OK</x:v>
      </x:c>
    </x:row>
    <x:row r="116" ht="21" customHeight="1">
      <x:c r="A116" s="17" t="n">
        <x:f>45659.135416666664</x:f>
        <x:v>45659.135416666664</x:v>
      </x:c>
      <x:c r="B116" s="23" t="n">
        <x:f>IF(ISNUMBER('原始输入与口径'!H118),'原始输入与口径'!H118,"缺失")</x:f>
        <x:v>70.66</x:v>
      </x:c>
      <x:c r="C116" s="23" t="str">
        <x:f>IF(ISNUMBER('原始输入与口径'!R118),'原始输入与口径'!R118,"缺失")</x:f>
        <x:v>缺失</x:v>
      </x:c>
      <x:c r="D116" s="23" t="n">
        <x:f>IF(ISNUMBER('原始输入与口径'!W118),'原始输入与口径'!W118,"缺失")</x:f>
        <x:v>13.71102309965622</x:v>
      </x:c>
      <x:c r="E116" s="23" t="n">
        <x:f>IF(ISNUMBER('原始输入与口径'!AB118),'原始输入与口径'!AB118,"缺失")</x:f>
        <x:v>14.710198829939085</x:v>
      </x:c>
      <x:c r="F116" s="23" t="n">
        <x:f>IF(ISNUMBER('原始输入与口径'!AG118),'原始输入与口径'!AG118,"缺失")</x:f>
        <x:v>161.1326672161798</x:v>
      </x:c>
      <x:c r="G116" s="23" t="n">
        <x:f>IF(ISNUMBER('原始输入与口径'!AJ118),'原始输入与口径'!AJ118,"缺失")</x:f>
        <x:v>0</x:v>
      </x:c>
      <x:c r="H116" s="23" t="str">
        <x:f>"未模拟"</x:f>
        <x:v>未模拟</x:v>
      </x:c>
      <x:c r="I116" s="24" t="n">
        <x:f>'原始输入与口径'!BD118</x:f>
        <x:v>32.453113043478254</x:v>
      </x:c>
      <x:c r="J116" s="24" t="n">
        <x:f>'原始输入与口径'!BE118</x:f>
        <x:v>24.475395652173916</x:v>
      </x:c>
      <x:c r="K116" s="24" t="n">
        <x:f>'原始输入与口径'!BF118</x:f>
        <x:v>-3.282176960642576e-14</x:v>
      </x:c>
      <x:c r="L116" s="24" t="n">
        <x:f>'原始输入与口径'!BG118</x:f>
        <x:v>0</x:v>
      </x:c>
      <x:c r="M116" s="24" t="n">
        <x:f>'原始输入与口径'!BH118</x:f>
        <x:v>100</x:v>
      </x:c>
      <x:c r="N116" s="24" t="n">
        <x:f>'原始输入与口径'!BI118</x:f>
        <x:v>100</x:v>
      </x:c>
      <x:c r="O116" s="24" t="n">
        <x:f>M116*AE116*AC116</x:f>
        <x:v>7.3395</x:v>
      </x:c>
      <x:c r="P116" s="24" t="n">
        <x:f>N116*AF116*AC116</x:f>
        <x:v>0</x:v>
      </x:c>
      <x:c r="Q116" s="25" t="n">
        <x:f>IF(K116=0,0,IF(ISNUMBER(B116),K116*AC116*B116,NA()))</x:f>
        <x:v>0</x:v>
      </x:c>
      <x:c r="R116" s="25" t="n">
        <x:f>IF(L116=0,0,IF(ISNUMBER(C116),L116*AC116*C116*AD116,NA()))</x:f>
        <x:v>0</x:v>
      </x:c>
      <x:c r="S116" s="25" t="n">
        <x:f>IF(M116=0,0,IF(ISNUMBER(D116),M116*AC116*D116*AD116,NA()))</x:f>
        <x:v>342.7755774914055</x:v>
      </x:c>
      <x:c r="T116" s="25" t="n">
        <x:f>IF(N116=0,0,IF(ISNUMBER(E116),N116*AC116*E116*AD116,NA()))</x:f>
        <x:v>367.7549707484771</x:v>
      </x:c>
      <x:c r="U116" s="25" t="n">
        <x:f>IF(O116=0,0,IF(ISNUMBER(F116),O116*F116,NA()))</x:f>
        <x:v>1182.6332110331518</x:v>
      </x:c>
      <x:c r="V116" s="25" t="n">
        <x:f>IF(P116=0,0,IF(ISNUMBER(G116),-P116*G116,NA()))</x:f>
        <x:v>0</x:v>
      </x:c>
      <x:c r="W116" s="25" t="n">
        <x:f>SUM(Q116:V116)</x:f>
        <x:v>1893.1637592730344</x:v>
      </x:c>
      <x:c r="X116" s="18" t="n">
        <x:f>'原始输入与口径'!BR118</x:f>
        <x:v>1893.1637592730337</x:v>
      </x:c>
      <x:c r="Y116" s="18" t="n">
        <x:f>W116-X116</x:f>
        <x:v>6.821210263296962e-13</x:v>
      </x:c>
      <x:c r="Z116" s="18" t="str">
        <x:f>"1月2日计划｜本窗新增"</x:f>
        <x:v>1月2日计划｜本窗新增</x:v>
      </x:c>
      <x:c r="AA116" s="19" t="n">
        <x:f>IF('原始输入与口径'!AW118,1,0)</x:f>
        <x:v>1</x:v>
      </x:c>
      <x:c r="AB116" s="19" t="n">
        <x:f>IF('原始输入与口径'!AY118,1,0)</x:f>
        <x:v>0</x:v>
      </x:c>
      <x:c r="AC116" s="18" t="n">
        <x:f>'原始输入与口径'!E118</x:f>
        <x:v>0.25</x:v>
      </x:c>
      <x:c r="AD116" s="20" t="n">
        <x:f>'原始输入与口径'!$F$5</x:f>
        <x:v>1</x:v>
      </x:c>
      <x:c r="AE116" s="20" t="n">
        <x:f>IF(AA116=0,0,AI116/(AG116*AC116))</x:f>
        <x:v>0.29358</x:v>
      </x:c>
      <x:c r="AF116" s="20" t="n">
        <x:f>IF(AA116=0,0,AJ116/(AH116*AC116))</x:f>
        <x:v>0</x:v>
      </x:c>
      <x:c r="AG116" s="18" t="n">
        <x:f>IF(ISNUMBER('原始输入与口径'!T118),'原始输入与口径'!T118,"缺失")</x:f>
        <x:v>200</x:v>
      </x:c>
      <x:c r="AH116" s="18" t="n">
        <x:f>IF(ISNUMBER('原始输入与口径'!Y118),'原始输入与口径'!Y118,"缺失")</x:f>
        <x:v>200</x:v>
      </x:c>
      <x:c r="AI116" s="18" t="n">
        <x:f>IF(ISNUMBER('原始输入与口径'!AI118),'原始输入与口径'!AI118,"缺失")</x:f>
        <x:v>14.679</x:v>
      </x:c>
      <x:c r="AJ116" s="18" t="n">
        <x:f>IF(ISNUMBER('原始输入与口径'!AL118),'原始输入与口径'!AL118,"缺失")</x:f>
        <x:v>0</x:v>
      </x:c>
      <x:c r="AK116" s="18" t="str">
        <x:f>IF(ISNUMBER('原始输入与口径'!O118),'原始输入与口径'!O118,"缺失")</x:f>
        <x:v>缺失</x:v>
      </x:c>
      <x:c r="AL116" s="18" t="n">
        <x:f>SUMIFS('相位SOC复算'!$N$7:$N$443,'相位SOC复算'!$S$7:$S$443,110)</x:f>
        <x:v>0.02216032608695653</x:v>
      </x:c>
      <x:c r="AM116" s="18" t="n">
        <x:f>SUMIFS('相位SOC复算'!$Q$7:$Q$443,'相位SOC复算'!$S$7:$S$443,110)</x:f>
        <x:v>5.796488621342822e-15</x:v>
      </x:c>
      <x:c r="AN116" s="18" t="n">
        <x:f>SUMIFS('相位SOC复算'!$R$7:$R$443,'相位SOC复算'!$S$7:$S$443,110)</x:f>
        <x:v>7.339499999999998</x:v>
      </x:c>
      <x:c r="AO116" s="18" t="n">
        <x:f>'相位SOC复算'!J263</x:f>
        <x:v>24.475395652173923</x:v>
      </x:c>
      <x:c r="AP116" s="18" t="n">
        <x:f>AO116-J116</x:f>
        <x:v>7.105427357601002e-15</x:v>
      </x:c>
      <x:c r="AQ116" s="18" t="n">
        <x:f>IF(ISBLANK('原始输入与口径'!M118),"",'原始输入与口径'!M118)</x:f>
        <x:v>4.9741</x:v>
      </x:c>
      <x:c r="AR116" s="21" t="n">
        <x:f>IF(ISBLANK('原始输入与口径'!L118),"",'原始输入与口径'!L118)</x:f>
        <x:v>45657</x:v>
      </x:c>
      <x:c r="AS116" s="17" t="n">
        <x:f>IF(ISBLANK('原始输入与口径'!A118),"",'原始输入与口径'!A118)</x:f>
        <x:v>45659.052083333336</x:v>
      </x:c>
      <x:c r="AT116" s="18" t="str">
        <x:f>IF(ISBLANK('原始输入与口径'!I118),"",'原始输入与口径'!I118)</x:f>
        <x:v>2025-01-02_3</x:v>
      </x:c>
      <x:c r="AU116" s="19" t="n">
        <x:f>IF(ISBLANK('原始输入与口径'!J118),"",'原始输入与口径'!J118)</x:f>
        <x:v>60</x:v>
      </x:c>
      <x:c r="AV116" s="18" t="str">
        <x:f>IF(ISBLANK('原始输入与口径'!BB118),"",'原始输入与口径'!BB118)</x:f>
        <x:v>OK</x:v>
      </x:c>
    </x:row>
    <x:row r="117" ht="21" customHeight="1">
      <x:c r="A117" s="17" t="n">
        <x:f>45659.145833333336</x:f>
        <x:v>45659.145833333336</x:v>
      </x:c>
      <x:c r="B117" s="23" t="n">
        <x:f>IF(ISNUMBER('原始输入与口径'!H119),'原始输入与口径'!H119,"缺失")</x:f>
        <x:v>70.66</x:v>
      </x:c>
      <x:c r="C117" s="23" t="str">
        <x:f>IF(ISNUMBER('原始输入与口径'!R119),'原始输入与口径'!R119,"缺失")</x:f>
        <x:v>缺失</x:v>
      </x:c>
      <x:c r="D117" s="23" t="n">
        <x:f>IF(ISNUMBER('原始输入与口径'!W119),'原始输入与口径'!W119,"缺失")</x:f>
        <x:v>13.71102309965622</x:v>
      </x:c>
      <x:c r="E117" s="23" t="n">
        <x:f>IF(ISNUMBER('原始输入与口径'!AB119),'原始输入与口径'!AB119,"缺失")</x:f>
        <x:v>14.710198829939085</x:v>
      </x:c>
      <x:c r="F117" s="23" t="n">
        <x:f>IF(ISNUMBER('原始输入与口径'!AG119),'原始输入与口径'!AG119,"缺失")</x:f>
        <x:v>144.93596831587624</x:v>
      </x:c>
      <x:c r="G117" s="23" t="n">
        <x:f>IF(ISNUMBER('原始输入与口径'!AJ119),'原始输入与口径'!AJ119,"缺失")</x:f>
        <x:v>0</x:v>
      </x:c>
      <x:c r="H117" s="23" t="str">
        <x:f>"未模拟"</x:f>
        <x:v>未模拟</x:v>
      </x:c>
      <x:c r="I117" s="24" t="n">
        <x:f>'原始输入与口径'!BD119</x:f>
        <x:v>24.475395652173916</x:v>
      </x:c>
      <x:c r="J117" s="24" t="n">
        <x:f>'原始输入与口径'!BE119</x:f>
        <x:v>22.878656521739142</x:v>
      </x:c>
      <x:c r="K117" s="24" t="n">
        <x:f>'原始输入与口径'!BF119</x:f>
        <x:v>-3.282176960642576e-14</x:v>
      </x:c>
      <x:c r="L117" s="24" t="n">
        <x:f>'原始输入与口径'!BG119</x:f>
        <x:v>0</x:v>
      </x:c>
      <x:c r="M117" s="24" t="n">
        <x:f>'原始输入与口径'!BH119</x:f>
        <x:v>100</x:v>
      </x:c>
      <x:c r="N117" s="24" t="n">
        <x:f>'原始输入与口径'!BI119</x:f>
        <x:v>100</x:v>
      </x:c>
      <x:c r="O117" s="24" t="n">
        <x:f>M117*AE117*AC117</x:f>
        <x:v>1.469</x:v>
      </x:c>
      <x:c r="P117" s="24" t="n">
        <x:f>N117*AF117*AC117</x:f>
        <x:v>0</x:v>
      </x:c>
      <x:c r="Q117" s="25" t="n">
        <x:f>IF(K117=0,0,IF(ISNUMBER(B117),K117*AC117*B117,NA()))</x:f>
        <x:v>0</x:v>
      </x:c>
      <x:c r="R117" s="25" t="n">
        <x:f>IF(L117=0,0,IF(ISNUMBER(C117),L117*AC117*C117*AD117,NA()))</x:f>
        <x:v>0</x:v>
      </x:c>
      <x:c r="S117" s="25" t="n">
        <x:f>IF(M117=0,0,IF(ISNUMBER(D117),M117*AC117*D117*AD117,NA()))</x:f>
        <x:v>342.7755774914055</x:v>
      </x:c>
      <x:c r="T117" s="25" t="n">
        <x:f>IF(N117=0,0,IF(ISNUMBER(E117),N117*AC117*E117*AD117,NA()))</x:f>
        <x:v>367.7549707484771</x:v>
      </x:c>
      <x:c r="U117" s="25" t="n">
        <x:f>IF(O117=0,0,IF(ISNUMBER(F117),O117*F117,NA()))</x:f>
        <x:v>212.9109374560222</x:v>
      </x:c>
      <x:c r="V117" s="25" t="n">
        <x:f>IF(P117=0,0,IF(ISNUMBER(G117),-P117*G117,NA()))</x:f>
        <x:v>0</x:v>
      </x:c>
      <x:c r="W117" s="25" t="n">
        <x:f>SUM(Q117:V117)</x:f>
        <x:v>923.4414856959048</x:v>
      </x:c>
      <x:c r="X117" s="18" t="n">
        <x:f>'原始输入与口径'!BR119</x:f>
        <x:v>923.4414856959042</x:v>
      </x:c>
      <x:c r="Y117" s="18" t="n">
        <x:f>W117-X117</x:f>
        <x:v>5.684341886080801e-13</x:v>
      </x:c>
      <x:c r="Z117" s="18" t="str">
        <x:f>"1月2日计划｜本窗新增"</x:f>
        <x:v>1月2日计划｜本窗新增</x:v>
      </x:c>
      <x:c r="AA117" s="19" t="n">
        <x:f>IF('原始输入与口径'!AW119,1,0)</x:f>
        <x:v>1</x:v>
      </x:c>
      <x:c r="AB117" s="19" t="n">
        <x:f>IF('原始输入与口径'!AY119,1,0)</x:f>
        <x:v>0</x:v>
      </x:c>
      <x:c r="AC117" s="18" t="n">
        <x:f>'原始输入与口径'!E119</x:f>
        <x:v>0.25</x:v>
      </x:c>
      <x:c r="AD117" s="20" t="n">
        <x:f>'原始输入与口径'!$F$5</x:f>
        <x:v>1</x:v>
      </x:c>
      <x:c r="AE117" s="20" t="n">
        <x:f>IF(AA117=0,0,AI117/(AG117*AC117))</x:f>
        <x:v>0.05876000000000001</x:v>
      </x:c>
      <x:c r="AF117" s="20" t="n">
        <x:f>IF(AA117=0,0,AJ117/(AH117*AC117))</x:f>
        <x:v>0</x:v>
      </x:c>
      <x:c r="AG117" s="18" t="n">
        <x:f>IF(ISNUMBER('原始输入与口径'!T119),'原始输入与口径'!T119,"缺失")</x:f>
        <x:v>200</x:v>
      </x:c>
      <x:c r="AH117" s="18" t="n">
        <x:f>IF(ISNUMBER('原始输入与口径'!Y119),'原始输入与口径'!Y119,"缺失")</x:f>
        <x:v>200</x:v>
      </x:c>
      <x:c r="AI117" s="18" t="n">
        <x:f>IF(ISNUMBER('原始输入与口径'!AI119),'原始输入与口径'!AI119,"缺失")</x:f>
        <x:v>2.938</x:v>
      </x:c>
      <x:c r="AJ117" s="18" t="n">
        <x:f>IF(ISNUMBER('原始输入与口径'!AL119),'原始输入与口径'!AL119,"缺失")</x:f>
        <x:v>0</x:v>
      </x:c>
      <x:c r="AK117" s="18" t="str">
        <x:f>IF(ISNUMBER('原始输入与口径'!O119),'原始输入与口径'!O119,"缺失")</x:f>
        <x:v>缺失</x:v>
      </x:c>
      <x:c r="AL117" s="18" t="n">
        <x:f>SUMIFS('相位SOC复算'!$N$7:$N$443,'相位SOC复算'!$S$7:$S$443,111)</x:f>
        <x:v>0.004435386473429971</x:v>
      </x:c>
      <x:c r="AM117" s="18" t="n">
        <x:f>SUMIFS('相位SOC复算'!$Q$7:$Q$443,'相位SOC复算'!$S$7:$S$443,111)</x:f>
        <x:v>7.723290606088045e-15</x:v>
      </x:c>
      <x:c r="AN117" s="18" t="n">
        <x:f>SUMIFS('相位SOC复算'!$R$7:$R$443,'相位SOC复算'!$S$7:$S$443,111)</x:f>
        <x:v>1.4689999999999996</x:v>
      </x:c>
      <x:c r="AO117" s="18" t="n">
        <x:f>'相位SOC复算'!J265</x:f>
        <x:v>22.87865652173915</x:v>
      </x:c>
      <x:c r="AP117" s="18" t="n">
        <x:f>AO117-J117</x:f>
        <x:v>7.105427357601002e-15</x:v>
      </x:c>
      <x:c r="AQ117" s="18" t="n">
        <x:f>IF(ISBLANK('原始输入与口径'!M119),"",'原始输入与口径'!M119)</x:f>
        <x:v>4.9741</x:v>
      </x:c>
      <x:c r="AR117" s="21" t="n">
        <x:f>IF(ISBLANK('原始输入与口径'!L119),"",'原始输入与口径'!L119)</x:f>
        <x:v>45657</x:v>
      </x:c>
      <x:c r="AS117" s="17" t="n">
        <x:f>IF(ISBLANK('原始输入与口径'!A119),"",'原始输入与口径'!A119)</x:f>
        <x:v>45659.0625</x:v>
      </x:c>
      <x:c r="AT117" s="18" t="str">
        <x:f>IF(ISBLANK('原始输入与口径'!I119),"",'原始输入与口径'!I119)</x:f>
        <x:v>2025-01-02_3</x:v>
      </x:c>
      <x:c r="AU117" s="19" t="n">
        <x:f>IF(ISBLANK('原始输入与口径'!J119),"",'原始输入与口径'!J119)</x:f>
        <x:v>60</x:v>
      </x:c>
      <x:c r="AV117" s="18" t="str">
        <x:f>IF(ISBLANK('原始输入与口径'!BB119),"",'原始输入与口径'!BB119)</x:f>
        <x:v>OK</x:v>
      </x:c>
    </x:row>
    <x:row r="118" ht="21" customHeight="1">
      <x:c r="A118" s="17" t="n">
        <x:f>45659.15625</x:f>
        <x:v>45659.15625</x:v>
      </x:c>
      <x:c r="B118" s="23" t="n">
        <x:f>IF(ISNUMBER('原始输入与口径'!H120),'原始输入与口径'!H120,"缺失")</x:f>
        <x:v>70.66</x:v>
      </x:c>
      <x:c r="C118" s="23" t="str">
        <x:f>IF(ISNUMBER('原始输入与口径'!R120),'原始输入与口径'!R120,"缺失")</x:f>
        <x:v>缺失</x:v>
      </x:c>
      <x:c r="D118" s="23" t="n">
        <x:f>IF(ISNUMBER('原始输入与口径'!W120),'原始输入与口径'!W120,"缺失")</x:f>
        <x:v>13.71102309965622</x:v>
      </x:c>
      <x:c r="E118" s="23" t="n">
        <x:f>IF(ISNUMBER('原始输入与口径'!AB120),'原始输入与口径'!AB120,"缺失")</x:f>
        <x:v>14.710198829939085</x:v>
      </x:c>
      <x:c r="F118" s="23" t="n">
        <x:f>IF(ISNUMBER('原始输入与口径'!AG120),'原始输入与口径'!AG120,"缺失")</x:f>
        <x:v>136.70814820771596</x:v>
      </x:c>
      <x:c r="G118" s="23" t="n">
        <x:f>IF(ISNUMBER('原始输入与口径'!AJ120),'原始输入与口径'!AJ120,"缺失")</x:f>
        <x:v>29.291731167447374</x:v>
      </x:c>
      <x:c r="H118" s="23" t="str">
        <x:f>"未模拟"</x:f>
        <x:v>未模拟</x:v>
      </x:c>
      <x:c r="I118" s="24" t="n">
        <x:f>'原始输入与口径'!BD120</x:f>
        <x:v>22.878656521739142</x:v>
      </x:c>
      <x:c r="J118" s="24" t="n">
        <x:f>'原始输入与口径'!BE120</x:f>
        <x:v>22.87185043478263</x:v>
      </x:c>
      <x:c r="K118" s="24" t="n">
        <x:f>'原始输入与口径'!BF120</x:f>
        <x:v>-3.282176960642576e-14</x:v>
      </x:c>
      <x:c r="L118" s="24" t="n">
        <x:f>'原始输入与口径'!BG120</x:f>
        <x:v>0</x:v>
      </x:c>
      <x:c r="M118" s="24" t="n">
        <x:f>'原始输入与口径'!BH120</x:f>
        <x:v>100</x:v>
      </x:c>
      <x:c r="N118" s="24" t="n">
        <x:f>'原始输入与口径'!BI120</x:f>
        <x:v>100</x:v>
      </x:c>
      <x:c r="O118" s="24" t="n">
        <x:f>M118*AE118*AC118</x:f>
        <x:v>0.297</x:v>
      </x:c>
      <x:c r="P118" s="24" t="n">
        <x:f>N118*AF118*AC118</x:f>
        <x:v>0.3435</x:v>
      </x:c>
      <x:c r="Q118" s="25" t="n">
        <x:f>IF(K118=0,0,IF(ISNUMBER(B118),K118*AC118*B118,NA()))</x:f>
        <x:v>0</x:v>
      </x:c>
      <x:c r="R118" s="25" t="n">
        <x:f>IF(L118=0,0,IF(ISNUMBER(C118),L118*AC118*C118*AD118,NA()))</x:f>
        <x:v>0</x:v>
      </x:c>
      <x:c r="S118" s="25" t="n">
        <x:f>IF(M118=0,0,IF(ISNUMBER(D118),M118*AC118*D118*AD118,NA()))</x:f>
        <x:v>342.7755774914055</x:v>
      </x:c>
      <x:c r="T118" s="25" t="n">
        <x:f>IF(N118=0,0,IF(ISNUMBER(E118),N118*AC118*E118*AD118,NA()))</x:f>
        <x:v>367.7549707484771</x:v>
      </x:c>
      <x:c r="U118" s="25" t="n">
        <x:f>IF(O118=0,0,IF(ISNUMBER(F118),O118*F118,NA()))</x:f>
        <x:v>40.60232001769164</x:v>
      </x:c>
      <x:c r="V118" s="25" t="n">
        <x:f>IF(P118=0,0,IF(ISNUMBER(G118),-P118*G118,NA()))</x:f>
        <x:v>-10.061709656018174</x:v>
      </x:c>
      <x:c r="W118" s="25" t="n">
        <x:f>SUM(Q118:V118)</x:f>
        <x:v>741.0711586015561</x:v>
      </x:c>
      <x:c r="X118" s="18" t="n">
        <x:f>'原始输入与口径'!BR120</x:f>
        <x:v>741.0711586015555</x:v>
      </x:c>
      <x:c r="Y118" s="18" t="n">
        <x:f>W118-X118</x:f>
        <x:v>6.821210263296962e-13</x:v>
      </x:c>
      <x:c r="Z118" s="18" t="str">
        <x:f>"1月2日计划｜本窗新增"</x:f>
        <x:v>1月2日计划｜本窗新增</x:v>
      </x:c>
      <x:c r="AA118" s="19" t="n">
        <x:f>IF('原始输入与口径'!AW120,1,0)</x:f>
        <x:v>1</x:v>
      </x:c>
      <x:c r="AB118" s="19" t="n">
        <x:f>IF('原始输入与口径'!AY120,1,0)</x:f>
        <x:v>0</x:v>
      </x:c>
      <x:c r="AC118" s="18" t="n">
        <x:f>'原始输入与口径'!E120</x:f>
        <x:v>0.25</x:v>
      </x:c>
      <x:c r="AD118" s="20" t="n">
        <x:f>'原始输入与口径'!$F$5</x:f>
        <x:v>1</x:v>
      </x:c>
      <x:c r="AE118" s="20" t="n">
        <x:f>IF(AA118=0,0,AI118/(AG118*AC118))</x:f>
        <x:v>0.01188</x:v>
      </x:c>
      <x:c r="AF118" s="20" t="n">
        <x:f>IF(AA118=0,0,AJ118/(AH118*AC118))</x:f>
        <x:v>0.01374</x:v>
      </x:c>
      <x:c r="AG118" s="18" t="n">
        <x:f>IF(ISNUMBER('原始输入与口径'!T120),'原始输入与口径'!T120,"缺失")</x:f>
        <x:v>200</x:v>
      </x:c>
      <x:c r="AH118" s="18" t="n">
        <x:f>IF(ISNUMBER('原始输入与口径'!Y120),'原始输入与口径'!Y120,"缺失")</x:f>
        <x:v>200</x:v>
      </x:c>
      <x:c r="AI118" s="18" t="n">
        <x:f>IF(ISNUMBER('原始输入与口径'!AI120),'原始输入与口径'!AI120,"缺失")</x:f>
        <x:v>0.594</x:v>
      </x:c>
      <x:c r="AJ118" s="18" t="n">
        <x:f>IF(ISNUMBER('原始输入与口径'!AL120),'原始输入与口径'!AL120,"缺失")</x:f>
        <x:v>0.687</x:v>
      </x:c>
      <x:c r="AK118" s="18" t="str">
        <x:f>IF(ISNUMBER('原始输入与口径'!O120),'原始输入与口径'!O120,"缺失")</x:f>
        <x:v>缺失</x:v>
      </x:c>
      <x:c r="AL118" s="18" t="n">
        <x:f>SUMIFS('相位SOC复算'!$N$7:$N$443,'相位SOC复算'!$S$7:$S$443,112)</x:f>
        <x:v>0.0017745724637681362</x:v>
      </x:c>
      <x:c r="AM118" s="18" t="n">
        <x:f>SUMIFS('相位SOC复算'!$Q$7:$Q$443,'相位SOC复算'!$S$7:$S$443,112)</x:f>
        <x:v>0.3435000000000081</x:v>
      </x:c>
      <x:c r="AN118" s="18" t="n">
        <x:f>SUMIFS('相位SOC复算'!$R$7:$R$443,'相位SOC复算'!$S$7:$S$443,112)</x:f>
        <x:v>0.29699999999999993</x:v>
      </x:c>
      <x:c r="AO118" s="18" t="n">
        <x:f>'相位SOC复算'!J268</x:f>
        <x:v>22.871850434782637</x:v>
      </x:c>
      <x:c r="AP118" s="18" t="n">
        <x:f>AO118-J118</x:f>
        <x:v>7.105427357601002e-15</x:v>
      </x:c>
      <x:c r="AQ118" s="18" t="n">
        <x:f>IF(ISBLANK('原始输入与口径'!M120),"",'原始输入与口径'!M120)</x:f>
        <x:v>4.9741</x:v>
      </x:c>
      <x:c r="AR118" s="21" t="n">
        <x:f>IF(ISBLANK('原始输入与口径'!L120),"",'原始输入与口径'!L120)</x:f>
        <x:v>45657</x:v>
      </x:c>
      <x:c r="AS118" s="17" t="n">
        <x:f>IF(ISBLANK('原始输入与口径'!A120),"",'原始输入与口径'!A120)</x:f>
        <x:v>45659.072916666664</x:v>
      </x:c>
      <x:c r="AT118" s="18" t="str">
        <x:f>IF(ISBLANK('原始输入与口径'!I120),"",'原始输入与口径'!I120)</x:f>
        <x:v>2025-01-02_3</x:v>
      </x:c>
      <x:c r="AU118" s="19" t="n">
        <x:f>IF(ISBLANK('原始输入与口径'!J120),"",'原始输入与口径'!J120)</x:f>
        <x:v>60</x:v>
      </x:c>
      <x:c r="AV118" s="18" t="str">
        <x:f>IF(ISBLANK('原始输入与口径'!BB120),"",'原始输入与口径'!BB120)</x:f>
        <x:v>OK</x:v>
      </x:c>
    </x:row>
    <x:row r="119" ht="21" customHeight="1">
      <x:c r="A119" s="17" t="n">
        <x:f>45659.166666666664</x:f>
        <x:v>45659.166666666664</x:v>
      </x:c>
      <x:c r="B119" s="23" t="n">
        <x:f>IF(ISNUMBER('原始输入与口径'!H121),'原始输入与口径'!H121,"缺失")</x:f>
        <x:v>45.61</x:v>
      </x:c>
      <x:c r="C119" s="23" t="str">
        <x:f>IF(ISNUMBER('原始输入与口径'!R121),'原始输入与口径'!R121,"缺失")</x:f>
        <x:v>缺失</x:v>
      </x:c>
      <x:c r="D119" s="23" t="n">
        <x:f>IF(ISNUMBER('原始输入与口径'!W121),'原始输入与口径'!W121,"缺失")</x:f>
        <x:v>13.71102309965622</x:v>
      </x:c>
      <x:c r="E119" s="23" t="n">
        <x:f>IF(ISNUMBER('原始输入与口径'!AB121),'原始输入与口径'!AB121,"缺失")</x:f>
        <x:v>14.710198829939085</x:v>
      </x:c>
      <x:c r="F119" s="23" t="n">
        <x:f>IF(ISNUMBER('原始输入与口径'!AG121),'原始输入与口径'!AG121,"缺失")</x:f>
        <x:v>0</x:v>
      </x:c>
      <x:c r="G119" s="23" t="n">
        <x:f>IF(ISNUMBER('原始输入与口径'!AJ121),'原始输入与口径'!AJ121,"缺失")</x:f>
        <x:v>26.050742847952396</x:v>
      </x:c>
      <x:c r="H119" s="23" t="str">
        <x:f>"未模拟"</x:f>
        <x:v>未模拟</x:v>
      </x:c>
      <x:c r="I119" s="24" t="n">
        <x:f>'原始输入与口径'!BD121</x:f>
        <x:v>22.87185043478263</x:v>
      </x:c>
      <x:c r="J119" s="24" t="n">
        <x:f>'原始输入与口径'!BE121</x:f>
        <x:v>45.87185043478263</x:v>
      </x:c>
      <x:c r="K119" s="24" t="n">
        <x:f>'原始输入与口径'!BF121</x:f>
        <x:v>-99.99999999999999</x:v>
      </x:c>
      <x:c r="L119" s="24" t="n">
        <x:f>'原始输入与口径'!BG121</x:f>
        <x:v>0</x:v>
      </x:c>
      <x:c r="M119" s="24" t="n">
        <x:f>'原始输入与口径'!BH121</x:f>
        <x:v>100</x:v>
      </x:c>
      <x:c r="N119" s="24" t="n">
        <x:f>'原始输入与口径'!BI121</x:f>
        <x:v>0</x:v>
      </x:c>
      <x:c r="O119" s="24" t="n">
        <x:f>M119*AE119*AC119</x:f>
        <x:v>0</x:v>
      </x:c>
      <x:c r="P119" s="24" t="n">
        <x:f>N119*AF119*AC119</x:f>
        <x:v>0</x:v>
      </x:c>
      <x:c r="Q119" s="25" t="n">
        <x:f>IF(K119=0,0,IF(ISNUMBER(B119),K119*AC119*B119,NA()))</x:f>
        <x:v>-1140.2499999999998</x:v>
      </x:c>
      <x:c r="R119" s="25" t="n">
        <x:f>IF(L119=0,0,IF(ISNUMBER(C119),L119*AC119*C119*AD119,NA()))</x:f>
        <x:v>0</x:v>
      </x:c>
      <x:c r="S119" s="25" t="n">
        <x:f>IF(M119=0,0,IF(ISNUMBER(D119),M119*AC119*D119*AD119,NA()))</x:f>
        <x:v>342.7755774914055</x:v>
      </x:c>
      <x:c r="T119" s="25" t="n">
        <x:f>IF(N119=0,0,IF(ISNUMBER(E119),N119*AC119*E119*AD119,NA()))</x:f>
        <x:v>0</x:v>
      </x:c>
      <x:c r="U119" s="25" t="n">
        <x:f>IF(O119=0,0,IF(ISNUMBER(F119),O119*F119,NA()))</x:f>
        <x:v>0</x:v>
      </x:c>
      <x:c r="V119" s="25" t="n">
        <x:f>IF(P119=0,0,IF(ISNUMBER(G119),-P119*G119,NA()))</x:f>
        <x:v>0</x:v>
      </x:c>
      <x:c r="W119" s="25" t="n">
        <x:f>SUM(Q119:V119)</x:f>
        <x:v>-797.4744225085942</x:v>
      </x:c>
      <x:c r="X119" s="18" t="n">
        <x:f>'原始输入与口径'!BR121</x:f>
        <x:v>-797.4744225085942</x:v>
      </x:c>
      <x:c r="Y119" s="18" t="n">
        <x:f>W119-X119</x:f>
        <x:v>0</x:v>
      </x:c>
      <x:c r="Z119" s="18" t="str">
        <x:f>"1月2日计划｜本窗新增"</x:f>
        <x:v>1月2日计划｜本窗新增</x:v>
      </x:c>
      <x:c r="AA119" s="19" t="n">
        <x:f>IF('原始输入与口径'!AW121,1,0)</x:f>
        <x:v>1</x:v>
      </x:c>
      <x:c r="AB119" s="19" t="n">
        <x:f>IF('原始输入与口径'!AY121,1,0)</x:f>
        <x:v>0</x:v>
      </x:c>
      <x:c r="AC119" s="18" t="n">
        <x:f>'原始输入与口径'!E121</x:f>
        <x:v>0.25</x:v>
      </x:c>
      <x:c r="AD119" s="20" t="n">
        <x:f>'原始输入与口径'!$F$5</x:f>
        <x:v>1</x:v>
      </x:c>
      <x:c r="AE119" s="20" t="n">
        <x:f>IF(AA119=0,0,AI119/(AG119*AC119))</x:f>
        <x:v>0</x:v>
      </x:c>
      <x:c r="AF119" s="20" t="n">
        <x:f>IF(AA119=0,0,AJ119/(AH119*AC119))</x:f>
        <x:v>0.06904</x:v>
      </x:c>
      <x:c r="AG119" s="18" t="n">
        <x:f>IF(ISNUMBER('原始输入与口径'!T121),'原始输入与口径'!T121,"缺失")</x:f>
        <x:v>200</x:v>
      </x:c>
      <x:c r="AH119" s="18" t="n">
        <x:f>IF(ISNUMBER('原始输入与口径'!Y121),'原始输入与口径'!Y121,"缺失")</x:f>
        <x:v>200</x:v>
      </x:c>
      <x:c r="AI119" s="18" t="n">
        <x:f>IF(ISNUMBER('原始输入与口径'!AI121),'原始输入与口径'!AI121,"缺失")</x:f>
        <x:v>0</x:v>
      </x:c>
      <x:c r="AJ119" s="18" t="n">
        <x:f>IF(ISNUMBER('原始输入与口径'!AL121),'原始输入与口径'!AL121,"缺失")</x:f>
        <x:v>3.452</x:v>
      </x:c>
      <x:c r="AK119" s="18" t="str">
        <x:f>IF(ISNUMBER('原始输入与口径'!O121),'原始输入与口径'!O121,"缺失")</x:f>
        <x:v>缺失</x:v>
      </x:c>
      <x:c r="AL119" s="18" t="n">
        <x:f>SUMIFS('相位SOC复算'!$N$7:$N$443,'相位SOC复算'!$S$7:$S$443,113)</x:f>
        <x:v>0.06388888888888888</x:v>
      </x:c>
      <x:c r="AM119" s="18" t="n">
        <x:f>SUMIFS('相位SOC复算'!$Q$7:$Q$443,'相位SOC复算'!$S$7:$S$443,113)</x:f>
        <x:v>24.999999999999996</x:v>
      </x:c>
      <x:c r="AN119" s="18" t="n">
        <x:f>SUMIFS('相位SOC复算'!$R$7:$R$443,'相位SOC复算'!$S$7:$S$443,113)</x:f>
        <x:v>0</x:v>
      </x:c>
      <x:c r="AO119" s="18" t="n">
        <x:f>'相位SOC复算'!J270</x:f>
        <x:v>45.87185043478263</x:v>
      </x:c>
      <x:c r="AP119" s="18" t="n">
        <x:f>AO119-J119</x:f>
        <x:v>0</x:v>
      </x:c>
      <x:c r="AQ119" s="18" t="n">
        <x:f>IF(ISBLANK('原始输入与口径'!M121),"",'原始输入与口径'!M121)</x:f>
        <x:v>4.9741</x:v>
      </x:c>
      <x:c r="AR119" s="21" t="n">
        <x:f>IF(ISBLANK('原始输入与口径'!L121),"",'原始输入与口径'!L121)</x:f>
        <x:v>45657</x:v>
      </x:c>
      <x:c r="AS119" s="17" t="n">
        <x:f>IF(ISBLANK('原始输入与口径'!A121),"",'原始输入与口径'!A121)</x:f>
        <x:v>45659.083333333336</x:v>
      </x:c>
      <x:c r="AT119" s="18" t="str">
        <x:f>IF(ISBLANK('原始输入与口径'!I121),"",'原始输入与口径'!I121)</x:f>
        <x:v>2025-01-02_4</x:v>
      </x:c>
      <x:c r="AU119" s="19" t="n">
        <x:f>IF(ISBLANK('原始输入与口径'!J121),"",'原始输入与口径'!J121)</x:f>
        <x:v>60</x:v>
      </x:c>
      <x:c r="AV119" s="18" t="str">
        <x:f>IF(ISBLANK('原始输入与口径'!BB121),"",'原始输入与口径'!BB121)</x:f>
        <x:v>OK</x:v>
      </x:c>
    </x:row>
    <x:row r="120" ht="21" customHeight="1">
      <x:c r="A120" s="17" t="n">
        <x:f>45659.177083333336</x:f>
        <x:v>45659.177083333336</x:v>
      </x:c>
      <x:c r="B120" s="23" t="n">
        <x:f>IF(ISNUMBER('原始输入与口径'!H122),'原始输入与口径'!H122,"缺失")</x:f>
        <x:v>45.61</x:v>
      </x:c>
      <x:c r="C120" s="23" t="str">
        <x:f>IF(ISNUMBER('原始输入与口径'!R122),'原始输入与口径'!R122,"缺失")</x:f>
        <x:v>缺失</x:v>
      </x:c>
      <x:c r="D120" s="23" t="n">
        <x:f>IF(ISNUMBER('原始输入与口径'!W122),'原始输入与口径'!W122,"缺失")</x:f>
        <x:v>13.71102309965622</x:v>
      </x:c>
      <x:c r="E120" s="23" t="n">
        <x:f>IF(ISNUMBER('原始输入与口径'!AB122),'原始输入与口径'!AB122,"缺失")</x:f>
        <x:v>14.710198829939085</x:v>
      </x:c>
      <x:c r="F120" s="23" t="n">
        <x:f>IF(ISNUMBER('原始输入与口径'!AG122),'原始输入与口径'!AG122,"缺失")</x:f>
        <x:v>136.08290947106008</x:v>
      </x:c>
      <x:c r="G120" s="23" t="n">
        <x:f>IF(ISNUMBER('原始输入与口径'!AJ122),'原始输入与口径'!AJ122,"缺失")</x:f>
        <x:v>43.924328019139146</x:v>
      </x:c>
      <x:c r="H120" s="23" t="str">
        <x:f>"未模拟"</x:f>
        <x:v>未模拟</x:v>
      </x:c>
      <x:c r="I120" s="24" t="n">
        <x:f>'原始输入与口径'!BD122</x:f>
        <x:v>45.87185043478263</x:v>
      </x:c>
      <x:c r="J120" s="24" t="n">
        <x:f>'原始输入与口径'!BE122</x:f>
        <x:v>68.86495043478263</x:v>
      </x:c>
      <x:c r="K120" s="24" t="n">
        <x:f>'原始输入与口径'!BF122</x:f>
        <x:v>-99.99999999999999</x:v>
      </x:c>
      <x:c r="L120" s="24" t="n">
        <x:f>'原始输入与口径'!BG122</x:f>
        <x:v>0</x:v>
      </x:c>
      <x:c r="M120" s="24" t="n">
        <x:f>'原始输入与口径'!BH122</x:f>
        <x:v>100</x:v>
      </x:c>
      <x:c r="N120" s="24" t="n">
        <x:f>'原始输入与口径'!BI122</x:f>
        <x:v>0</x:v>
      </x:c>
      <x:c r="O120" s="24" t="n">
        <x:f>M120*AE120*AC120</x:f>
        <x:v>0.0075</x:v>
      </x:c>
      <x:c r="P120" s="24" t="n">
        <x:f>N120*AF120*AC120</x:f>
        <x:v>0</x:v>
      </x:c>
      <x:c r="Q120" s="25" t="n">
        <x:f>IF(K120=0,0,IF(ISNUMBER(B120),K120*AC120*B120,NA()))</x:f>
        <x:v>-1140.2499999999998</x:v>
      </x:c>
      <x:c r="R120" s="25" t="n">
        <x:f>IF(L120=0,0,IF(ISNUMBER(C120),L120*AC120*C120*AD120,NA()))</x:f>
        <x:v>0</x:v>
      </x:c>
      <x:c r="S120" s="25" t="n">
        <x:f>IF(M120=0,0,IF(ISNUMBER(D120),M120*AC120*D120*AD120,NA()))</x:f>
        <x:v>342.7755774914055</x:v>
      </x:c>
      <x:c r="T120" s="25" t="n">
        <x:f>IF(N120=0,0,IF(ISNUMBER(E120),N120*AC120*E120*AD120,NA()))</x:f>
        <x:v>0</x:v>
      </x:c>
      <x:c r="U120" s="25" t="n">
        <x:f>IF(O120=0,0,IF(ISNUMBER(F120),O120*F120,NA()))</x:f>
        <x:v>1.0206218210329505</x:v>
      </x:c>
      <x:c r="V120" s="25" t="n">
        <x:f>IF(P120=0,0,IF(ISNUMBER(G120),-P120*G120,NA()))</x:f>
        <x:v>0</x:v>
      </x:c>
      <x:c r="W120" s="25" t="n">
        <x:f>SUM(Q120:V120)</x:f>
        <x:v>-796.4538006875613</x:v>
      </x:c>
      <x:c r="X120" s="18" t="n">
        <x:f>'原始输入与口径'!BR122</x:f>
        <x:v>-796.4538006875613</x:v>
      </x:c>
      <x:c r="Y120" s="18" t="n">
        <x:f>W120-X120</x:f>
        <x:v>0</x:v>
      </x:c>
      <x:c r="Z120" s="18" t="str">
        <x:f>"1月2日计划｜本窗新增"</x:f>
        <x:v>1月2日计划｜本窗新增</x:v>
      </x:c>
      <x:c r="AA120" s="19" t="n">
        <x:f>IF('原始输入与口径'!AW122,1,0)</x:f>
        <x:v>1</x:v>
      </x:c>
      <x:c r="AB120" s="19" t="n">
        <x:f>IF('原始输入与口径'!AY122,1,0)</x:f>
        <x:v>0</x:v>
      </x:c>
      <x:c r="AC120" s="18" t="n">
        <x:f>'原始输入与口径'!E122</x:f>
        <x:v>0.25</x:v>
      </x:c>
      <x:c r="AD120" s="20" t="n">
        <x:f>'原始输入与口径'!$F$5</x:f>
        <x:v>1</x:v>
      </x:c>
      <x:c r="AE120" s="20" t="n">
        <x:f>IF(AA120=0,0,AI120/(AG120*AC120))</x:f>
        <x:v>0.0003</x:v>
      </x:c>
      <x:c r="AF120" s="20" t="n">
        <x:f>IF(AA120=0,0,AJ120/(AH120*AC120))</x:f>
        <x:v>0.00942</x:v>
      </x:c>
      <x:c r="AG120" s="18" t="n">
        <x:f>IF(ISNUMBER('原始输入与口径'!T122),'原始输入与口径'!T122,"缺失")</x:f>
        <x:v>200</x:v>
      </x:c>
      <x:c r="AH120" s="18" t="n">
        <x:f>IF(ISNUMBER('原始输入与口径'!Y122),'原始输入与口径'!Y122,"缺失")</x:f>
        <x:v>200</x:v>
      </x:c>
      <x:c r="AI120" s="18" t="n">
        <x:f>IF(ISNUMBER('原始输入与口径'!AI122),'原始输入与口径'!AI122,"缺失")</x:f>
        <x:v>0.015</x:v>
      </x:c>
      <x:c r="AJ120" s="18" t="n">
        <x:f>IF(ISNUMBER('原始输入与口径'!AL122),'原始输入与口径'!AL122,"缺失")</x:f>
        <x:v>0.471</x:v>
      </x:c>
      <x:c r="AK120" s="18" t="str">
        <x:f>IF(ISNUMBER('原始输入与口径'!O122),'原始输入与口径'!O122,"缺失")</x:f>
        <x:v>缺失</x:v>
      </x:c>
      <x:c r="AL120" s="18" t="n">
        <x:f>SUMIFS('相位SOC复算'!$N$7:$N$443,'相位SOC复算'!$S$7:$S$443,114)</x:f>
        <x:v>0.06386972222222222</x:v>
      </x:c>
      <x:c r="AM120" s="18" t="n">
        <x:f>SUMIFS('相位SOC复算'!$Q$7:$Q$443,'相位SOC复算'!$S$7:$S$443,114)</x:f>
        <x:v>24.992499999999996</x:v>
      </x:c>
      <x:c r="AN120" s="18" t="n">
        <x:f>SUMIFS('相位SOC复算'!$R$7:$R$443,'相位SOC复算'!$S$7:$S$443,114)</x:f>
        <x:v>1.0658141036401502e-18</x:v>
      </x:c>
      <x:c r="AO120" s="18" t="n">
        <x:f>'相位SOC复算'!J273</x:f>
        <x:v>68.86495043478263</x:v>
      </x:c>
      <x:c r="AP120" s="18" t="n">
        <x:f>AO120-J120</x:f>
        <x:v>0</x:v>
      </x:c>
      <x:c r="AQ120" s="18" t="n">
        <x:f>IF(ISBLANK('原始输入与口径'!M122),"",'原始输入与口径'!M122)</x:f>
        <x:v>4.9741</x:v>
      </x:c>
      <x:c r="AR120" s="21" t="n">
        <x:f>IF(ISBLANK('原始输入与口径'!L122),"",'原始输入与口径'!L122)</x:f>
        <x:v>45657</x:v>
      </x:c>
      <x:c r="AS120" s="17" t="n">
        <x:f>IF(ISBLANK('原始输入与口径'!A122),"",'原始输入与口径'!A122)</x:f>
        <x:v>45659.09375</x:v>
      </x:c>
      <x:c r="AT120" s="18" t="str">
        <x:f>IF(ISBLANK('原始输入与口径'!I122),"",'原始输入与口径'!I122)</x:f>
        <x:v>2025-01-02_4</x:v>
      </x:c>
      <x:c r="AU120" s="19" t="n">
        <x:f>IF(ISBLANK('原始输入与口径'!J122),"",'原始输入与口径'!J122)</x:f>
        <x:v>60</x:v>
      </x:c>
      <x:c r="AV120" s="18" t="str">
        <x:f>IF(ISBLANK('原始输入与口径'!BB122),"",'原始输入与口径'!BB122)</x:f>
        <x:v>OK</x:v>
      </x:c>
    </x:row>
    <x:row r="121" ht="21" customHeight="1">
      <x:c r="A121" s="17" t="n">
        <x:f>45659.1875</x:f>
        <x:v>45659.1875</x:v>
      </x:c>
      <x:c r="B121" s="23" t="n">
        <x:f>IF(ISNUMBER('原始输入与口径'!H123),'原始输入与口径'!H123,"缺失")</x:f>
        <x:v>45.61</x:v>
      </x:c>
      <x:c r="C121" s="23" t="str">
        <x:f>IF(ISNUMBER('原始输入与口径'!R123),'原始输入与口径'!R123,"缺失")</x:f>
        <x:v>缺失</x:v>
      </x:c>
      <x:c r="D121" s="23" t="n">
        <x:f>IF(ISNUMBER('原始输入与口径'!W123),'原始输入与口径'!W123,"缺失")</x:f>
        <x:v>13.71102309965622</x:v>
      </x:c>
      <x:c r="E121" s="23" t="n">
        <x:f>IF(ISNUMBER('原始输入与口径'!AB123),'原始输入与口径'!AB123,"缺失")</x:f>
        <x:v>14.710198829939085</x:v>
      </x:c>
      <x:c r="F121" s="23" t="n">
        <x:f>IF(ISNUMBER('原始输入与口径'!AG123),'原始输入与口径'!AG123,"缺失")</x:f>
        <x:v>134.56906777105405</x:v>
      </x:c>
      <x:c r="G121" s="23" t="n">
        <x:f>IF(ISNUMBER('原始输入与口径'!AJ123),'原始输入与口径'!AJ123,"缺失")</x:f>
        <x:v>58.3020043827024</x:v>
      </x:c>
      <x:c r="H121" s="23" t="str">
        <x:f>"未模拟"</x:f>
        <x:v>未模拟</x:v>
      </x:c>
      <x:c r="I121" s="24" t="n">
        <x:f>'原始输入与口径'!BD123</x:f>
        <x:v>68.86495043478263</x:v>
      </x:c>
      <x:c r="J121" s="24" t="n">
        <x:f>'原始输入与口径'!BE123</x:f>
        <x:v>91.18001043478262</x:v>
      </x:c>
      <x:c r="K121" s="24" t="n">
        <x:f>'原始输入与口径'!BF123</x:f>
        <x:v>-99.99999999999999</x:v>
      </x:c>
      <x:c r="L121" s="24" t="n">
        <x:f>'原始输入与口径'!BG123</x:f>
        <x:v>0</x:v>
      </x:c>
      <x:c r="M121" s="24" t="n">
        <x:f>'原始输入与口径'!BH123</x:f>
        <x:v>100</x:v>
      </x:c>
      <x:c r="N121" s="24" t="n">
        <x:f>'原始输入与口径'!BI123</x:f>
        <x:v>0</x:v>
      </x:c>
      <x:c r="O121" s="24" t="n">
        <x:f>M121*AE121*AC121</x:f>
        <x:v>0.7445</x:v>
      </x:c>
      <x:c r="P121" s="24" t="n">
        <x:f>N121*AF121*AC121</x:f>
        <x:v>0</x:v>
      </x:c>
      <x:c r="Q121" s="25" t="n">
        <x:f>IF(K121=0,0,IF(ISNUMBER(B121),K121*AC121*B121,NA()))</x:f>
        <x:v>-1140.2499999999998</x:v>
      </x:c>
      <x:c r="R121" s="25" t="n">
        <x:f>IF(L121=0,0,IF(ISNUMBER(C121),L121*AC121*C121*AD121,NA()))</x:f>
        <x:v>0</x:v>
      </x:c>
      <x:c r="S121" s="25" t="n">
        <x:f>IF(M121=0,0,IF(ISNUMBER(D121),M121*AC121*D121*AD121,NA()))</x:f>
        <x:v>342.7755774914055</x:v>
      </x:c>
      <x:c r="T121" s="25" t="n">
        <x:f>IF(N121=0,0,IF(ISNUMBER(E121),N121*AC121*E121*AD121,NA()))</x:f>
        <x:v>0</x:v>
      </x:c>
      <x:c r="U121" s="25" t="n">
        <x:f>IF(O121=0,0,IF(ISNUMBER(F121),O121*F121,NA()))</x:f>
        <x:v>100.18667095554974</x:v>
      </x:c>
      <x:c r="V121" s="25" t="n">
        <x:f>IF(P121=0,0,IF(ISNUMBER(G121),-P121*G121,NA()))</x:f>
        <x:v>0</x:v>
      </x:c>
      <x:c r="W121" s="25" t="n">
        <x:f>SUM(Q121:V121)</x:f>
        <x:v>-697.2877515530445</x:v>
      </x:c>
      <x:c r="X121" s="18" t="n">
        <x:f>'原始输入与口径'!BR123</x:f>
        <x:v>-697.2877515530445</x:v>
      </x:c>
      <x:c r="Y121" s="18" t="n">
        <x:f>W121-X121</x:f>
        <x:v>0</x:v>
      </x:c>
      <x:c r="Z121" s="18" t="str">
        <x:f>"1月2日计划｜本窗新增"</x:f>
        <x:v>1月2日计划｜本窗新增</x:v>
      </x:c>
      <x:c r="AA121" s="19" t="n">
        <x:f>IF('原始输入与口径'!AW123,1,0)</x:f>
        <x:v>1</x:v>
      </x:c>
      <x:c r="AB121" s="19" t="n">
        <x:f>IF('原始输入与口径'!AY123,1,0)</x:f>
        <x:v>0</x:v>
      </x:c>
      <x:c r="AC121" s="18" t="n">
        <x:f>'原始输入与口径'!E123</x:f>
        <x:v>0.25</x:v>
      </x:c>
      <x:c r="AD121" s="20" t="n">
        <x:f>'原始输入与口径'!$F$5</x:f>
        <x:v>1</x:v>
      </x:c>
      <x:c r="AE121" s="20" t="n">
        <x:f>IF(AA121=0,0,AI121/(AG121*AC121))</x:f>
        <x:v>0.02978</x:v>
      </x:c>
      <x:c r="AF121" s="20" t="n">
        <x:f>IF(AA121=0,0,AJ121/(AH121*AC121))</x:f>
        <x:v>0.00014000000000000001</x:v>
      </x:c>
      <x:c r="AG121" s="18" t="n">
        <x:f>IF(ISNUMBER('原始输入与口径'!T123),'原始输入与口径'!T123,"缺失")</x:f>
        <x:v>200</x:v>
      </x:c>
      <x:c r="AH121" s="18" t="n">
        <x:f>IF(ISNUMBER('原始输入与口径'!Y123),'原始输入与口径'!Y123,"缺失")</x:f>
        <x:v>200</x:v>
      </x:c>
      <x:c r="AI121" s="18" t="n">
        <x:f>IF(ISNUMBER('原始输入与口径'!AI123),'原始输入与口径'!AI123,"缺失")</x:f>
        <x:v>1.489</x:v>
      </x:c>
      <x:c r="AJ121" s="18" t="n">
        <x:f>IF(ISNUMBER('原始输入与口径'!AL123),'原始输入与口径'!AL123,"缺失")</x:f>
        <x:v>0.007</x:v>
      </x:c>
      <x:c r="AK121" s="18" t="str">
        <x:f>IF(ISNUMBER('原始输入与口径'!O123),'原始输入与口径'!O123,"缺失")</x:f>
        <x:v>缺失</x:v>
      </x:c>
      <x:c r="AL121" s="18" t="n">
        <x:f>SUMIFS('相位SOC复算'!$N$7:$N$443,'相位SOC复算'!$S$7:$S$443,115)</x:f>
        <x:v>0.061986277777777765</x:v>
      </x:c>
      <x:c r="AM121" s="18" t="n">
        <x:f>SUMIFS('相位SOC复算'!$Q$7:$Q$443,'相位SOC复算'!$S$7:$S$443,115)</x:f>
        <x:v>24.255499999999994</x:v>
      </x:c>
      <x:c r="AN121" s="18" t="n">
        <x:f>SUMIFS('相位SOC复算'!$R$7:$R$443,'相位SOC复算'!$S$7:$S$443,115)</x:f>
        <x:v>1.0579981335467892e-16</x:v>
      </x:c>
      <x:c r="AO121" s="18" t="n">
        <x:f>'相位SOC复算'!J276</x:f>
        <x:v>91.18001043478262</x:v>
      </x:c>
      <x:c r="AP121" s="18" t="n">
        <x:f>AO121-J121</x:f>
        <x:v>0</x:v>
      </x:c>
      <x:c r="AQ121" s="18" t="n">
        <x:f>IF(ISBLANK('原始输入与口径'!M123),"",'原始输入与口径'!M123)</x:f>
        <x:v>4.9741</x:v>
      </x:c>
      <x:c r="AR121" s="21" t="n">
        <x:f>IF(ISBLANK('原始输入与口径'!L123),"",'原始输入与口径'!L123)</x:f>
        <x:v>45657</x:v>
      </x:c>
      <x:c r="AS121" s="17" t="n">
        <x:f>IF(ISBLANK('原始输入与口径'!A123),"",'原始输入与口径'!A123)</x:f>
        <x:v>45659.104166666664</x:v>
      </x:c>
      <x:c r="AT121" s="18" t="str">
        <x:f>IF(ISBLANK('原始输入与口径'!I123),"",'原始输入与口径'!I123)</x:f>
        <x:v>2025-01-02_4</x:v>
      </x:c>
      <x:c r="AU121" s="19" t="n">
        <x:f>IF(ISBLANK('原始输入与口径'!J123),"",'原始输入与口径'!J123)</x:f>
        <x:v>60</x:v>
      </x:c>
      <x:c r="AV121" s="18" t="str">
        <x:f>IF(ISBLANK('原始输入与口径'!BB123),"",'原始输入与口径'!BB123)</x:f>
        <x:v>OK</x:v>
      </x:c>
    </x:row>
    <x:row r="122" ht="21" customHeight="1">
      <x:c r="A122" s="17" t="n">
        <x:f>45659.197916666664</x:f>
        <x:v>45659.197916666664</x:v>
      </x:c>
      <x:c r="B122" s="23" t="n">
        <x:f>IF(ISNUMBER('原始输入与口径'!H124),'原始输入与口径'!H124,"缺失")</x:f>
        <x:v>45.61</x:v>
      </x:c>
      <x:c r="C122" s="23" t="str">
        <x:f>IF(ISNUMBER('原始输入与口径'!R124),'原始输入与口径'!R124,"缺失")</x:f>
        <x:v>缺失</x:v>
      </x:c>
      <x:c r="D122" s="23" t="n">
        <x:f>IF(ISNUMBER('原始输入与口径'!W124),'原始输入与口径'!W124,"缺失")</x:f>
        <x:v>13.71102309965622</x:v>
      </x:c>
      <x:c r="E122" s="23" t="n">
        <x:f>IF(ISNUMBER('原始输入与口径'!AB124),'原始输入与口径'!AB124,"缺失")</x:f>
        <x:v>14.710198829939085</x:v>
      </x:c>
      <x:c r="F122" s="23" t="n">
        <x:f>IF(ISNUMBER('原始输入与口径'!AG124),'原始输入与口径'!AG124,"缺失")</x:f>
        <x:v>136.08290947106008</x:v>
      </x:c>
      <x:c r="G122" s="23" t="n">
        <x:f>IF(ISNUMBER('原始输入与口径'!AJ124),'原始输入与口径'!AJ124,"缺失")</x:f>
        <x:v>0</x:v>
      </x:c>
      <x:c r="H122" s="23" t="str">
        <x:f>"未模拟"</x:f>
        <x:v>未模拟</x:v>
      </x:c>
      <x:c r="I122" s="24" t="n">
        <x:f>'原始输入与口径'!BD124</x:f>
        <x:v>91.18001043478262</x:v>
      </x:c>
      <x:c r="J122" s="24" t="n">
        <x:f>'原始输入与口径'!BE124</x:f>
        <x:v>108.89507043478261</x:v>
      </x:c>
      <x:c r="K122" s="24" t="n">
        <x:f>'原始输入与口径'!BF124</x:f>
        <x:v>-99.99999999999999</x:v>
      </x:c>
      <x:c r="L122" s="24" t="n">
        <x:f>'原始输入与口径'!BG124</x:f>
        <x:v>0</x:v>
      </x:c>
      <x:c r="M122" s="24" t="n">
        <x:f>'原始输入与口径'!BH124</x:f>
        <x:v>100</x:v>
      </x:c>
      <x:c r="N122" s="24" t="n">
        <x:f>'原始输入与口径'!BI124</x:f>
        <x:v>0</x:v>
      </x:c>
      <x:c r="O122" s="24" t="n">
        <x:f>M122*AE122*AC122</x:f>
        <x:v>5.7445</x:v>
      </x:c>
      <x:c r="P122" s="24" t="n">
        <x:f>N122*AF122*AC122</x:f>
        <x:v>0</x:v>
      </x:c>
      <x:c r="Q122" s="25" t="n">
        <x:f>IF(K122=0,0,IF(ISNUMBER(B122),K122*AC122*B122,NA()))</x:f>
        <x:v>-1140.2499999999998</x:v>
      </x:c>
      <x:c r="R122" s="25" t="n">
        <x:f>IF(L122=0,0,IF(ISNUMBER(C122),L122*AC122*C122*AD122,NA()))</x:f>
        <x:v>0</x:v>
      </x:c>
      <x:c r="S122" s="25" t="n">
        <x:f>IF(M122=0,0,IF(ISNUMBER(D122),M122*AC122*D122*AD122,NA()))</x:f>
        <x:v>342.7755774914055</x:v>
      </x:c>
      <x:c r="T122" s="25" t="n">
        <x:f>IF(N122=0,0,IF(ISNUMBER(E122),N122*AC122*E122*AD122,NA()))</x:f>
        <x:v>0</x:v>
      </x:c>
      <x:c r="U122" s="25" t="n">
        <x:f>IF(O122=0,0,IF(ISNUMBER(F122),O122*F122,NA()))</x:f>
        <x:v>781.7282734565047</x:v>
      </x:c>
      <x:c r="V122" s="25" t="n">
        <x:f>IF(P122=0,0,IF(ISNUMBER(G122),-P122*G122,NA()))</x:f>
        <x:v>0</x:v>
      </x:c>
      <x:c r="W122" s="25" t="n">
        <x:f>SUM(Q122:V122)</x:f>
        <x:v>-15.74614905208955</x:v>
      </x:c>
      <x:c r="X122" s="18" t="n">
        <x:f>'原始输入与口径'!BR124</x:f>
        <x:v>-15.746149052089606</x:v>
      </x:c>
      <x:c r="Y122" s="18" t="n">
        <x:f>W122-X122</x:f>
        <x:v>5.684341886080802e-14</x:v>
      </x:c>
      <x:c r="Z122" s="18" t="str">
        <x:f>"1月2日计划｜本窗新增"</x:f>
        <x:v>1月2日计划｜本窗新增</x:v>
      </x:c>
      <x:c r="AA122" s="19" t="n">
        <x:f>IF('原始输入与口径'!AW124,1,0)</x:f>
        <x:v>1</x:v>
      </x:c>
      <x:c r="AB122" s="19" t="n">
        <x:f>IF('原始输入与口径'!AY124,1,0)</x:f>
        <x:v>0</x:v>
      </x:c>
      <x:c r="AC122" s="18" t="n">
        <x:f>'原始输入与口径'!E124</x:f>
        <x:v>0.25</x:v>
      </x:c>
      <x:c r="AD122" s="20" t="n">
        <x:f>'原始输入与口径'!$F$5</x:f>
        <x:v>1</x:v>
      </x:c>
      <x:c r="AE122" s="20" t="n">
        <x:f>IF(AA122=0,0,AI122/(AG122*AC122))</x:f>
        <x:v>0.22978</x:v>
      </x:c>
      <x:c r="AF122" s="20" t="n">
        <x:f>IF(AA122=0,0,AJ122/(AH122*AC122))</x:f>
        <x:v>0</x:v>
      </x:c>
      <x:c r="AG122" s="18" t="n">
        <x:f>IF(ISNUMBER('原始输入与口径'!T124),'原始输入与口径'!T124,"缺失")</x:f>
        <x:v>200</x:v>
      </x:c>
      <x:c r="AH122" s="18" t="n">
        <x:f>IF(ISNUMBER('原始输入与口径'!Y124),'原始输入与口径'!Y124,"缺失")</x:f>
        <x:v>200</x:v>
      </x:c>
      <x:c r="AI122" s="18" t="n">
        <x:f>IF(ISNUMBER('原始输入与口径'!AI124),'原始输入与口径'!AI124,"缺失")</x:f>
        <x:v>11.489</x:v>
      </x:c>
      <x:c r="AJ122" s="18" t="n">
        <x:f>IF(ISNUMBER('原始输入与口径'!AL124),'原始输入与口径'!AL124,"缺失")</x:f>
        <x:v>0</x:v>
      </x:c>
      <x:c r="AK122" s="18" t="str">
        <x:f>IF(ISNUMBER('原始输入与口径'!O124),'原始输入与口径'!O124,"缺失")</x:f>
        <x:v>缺失</x:v>
      </x:c>
      <x:c r="AL122" s="18" t="n">
        <x:f>SUMIFS('相位SOC复算'!$N$7:$N$443,'相位SOC复算'!$S$7:$S$443,116)</x:f>
        <x:v>0.049208499999999995</x:v>
      </x:c>
      <x:c r="AM122" s="18" t="n">
        <x:f>SUMIFS('相位SOC复算'!$Q$7:$Q$443,'相位SOC复算'!$S$7:$S$443,116)</x:f>
        <x:v>19.255499999999998</x:v>
      </x:c>
      <x:c r="AN122" s="18" t="n">
        <x:f>SUMIFS('相位SOC复算'!$R$7:$R$443,'相位SOC复算'!$S$7:$S$443,116)</x:f>
        <x:v>8.163425491147791e-16</x:v>
      </x:c>
      <x:c r="AO122" s="18" t="n">
        <x:f>'相位SOC复算'!J278</x:f>
        <x:v>108.89507043478261</x:v>
      </x:c>
      <x:c r="AP122" s="18" t="n">
        <x:f>AO122-J122</x:f>
        <x:v>0</x:v>
      </x:c>
      <x:c r="AQ122" s="18" t="n">
        <x:f>IF(ISBLANK('原始输入与口径'!M124),"",'原始输入与口径'!M124)</x:f>
        <x:v>4.9741</x:v>
      </x:c>
      <x:c r="AR122" s="21" t="n">
        <x:f>IF(ISBLANK('原始输入与口径'!L124),"",'原始输入与口径'!L124)</x:f>
        <x:v>45657</x:v>
      </x:c>
      <x:c r="AS122" s="17" t="n">
        <x:f>IF(ISBLANK('原始输入与口径'!A124),"",'原始输入与口径'!A124)</x:f>
        <x:v>45659.114583333336</x:v>
      </x:c>
      <x:c r="AT122" s="18" t="str">
        <x:f>IF(ISBLANK('原始输入与口径'!I124),"",'原始输入与口径'!I124)</x:f>
        <x:v>2025-01-02_4</x:v>
      </x:c>
      <x:c r="AU122" s="19" t="n">
        <x:f>IF(ISBLANK('原始输入与口径'!J124),"",'原始输入与口径'!J124)</x:f>
        <x:v>60</x:v>
      </x:c>
      <x:c r="AV122" s="18" t="str">
        <x:f>IF(ISBLANK('原始输入与口径'!BB124),"",'原始输入与口径'!BB124)</x:f>
        <x:v>OK</x:v>
      </x:c>
    </x:row>
    <x:row r="123" ht="21" customHeight="1">
      <x:c r="A123" s="17" t="n">
        <x:f>45659.208333333336</x:f>
        <x:v>45659.208333333336</x:v>
      </x:c>
      <x:c r="B123" s="23" t="n">
        <x:f>IF(ISNUMBER('原始输入与口径'!H125),'原始输入与口径'!H125,"缺失")</x:f>
        <x:v>52.68</x:v>
      </x:c>
      <x:c r="C123" s="23" t="str">
        <x:f>IF(ISNUMBER('原始输入与口径'!R125),'原始输入与口径'!R125,"缺失")</x:f>
        <x:v>缺失</x:v>
      </x:c>
      <x:c r="D123" s="23" t="n">
        <x:f>IF(ISNUMBER('原始输入与口径'!W125),'原始输入与口径'!W125,"缺失")</x:f>
        <x:v>13.71102309965622</x:v>
      </x:c>
      <x:c r="E123" s="23" t="n">
        <x:f>IF(ISNUMBER('原始输入与口径'!AB125),'原始输入与口径'!AB125,"缺失")</x:f>
        <x:v>14.173418306829376</x:v>
      </x:c>
      <x:c r="F123" s="23" t="n">
        <x:f>IF(ISNUMBER('原始输入与口径'!AG125),'原始输入与口径'!AG125,"缺失")</x:f>
        <x:v>135.55778934882693</x:v>
      </x:c>
      <x:c r="G123" s="23" t="n">
        <x:f>IF(ISNUMBER('原始输入与口径'!AJ125),'原始输入与口径'!AJ125,"缺失")</x:f>
        <x:v>0</x:v>
      </x:c>
      <x:c r="H123" s="23" t="str">
        <x:f>"未模拟"</x:f>
        <x:v>未模拟</x:v>
      </x:c>
      <x:c r="I123" s="24" t="n">
        <x:f>'原始输入与口径'!BD125</x:f>
        <x:v>108.89507043478261</x:v>
      </x:c>
      <x:c r="J123" s="24" t="n">
        <x:f>'原始输入与口径'!BE125</x:f>
        <x:v>126.3908392695652</x:v>
      </x:c>
      <x:c r="K123" s="24" t="n">
        <x:f>'原始输入与口径'!BF125</x:f>
        <x:v>-82.99999999999993</x:v>
      </x:c>
      <x:c r="L123" s="24" t="n">
        <x:f>'原始输入与口径'!BG125</x:f>
        <x:v>0</x:v>
      </x:c>
      <x:c r="M123" s="24" t="n">
        <x:f>'原始输入与口径'!BH125</x:f>
        <x:v>100</x:v>
      </x:c>
      <x:c r="N123" s="24" t="n">
        <x:f>'原始输入与口径'!BI125</x:f>
        <x:v>17</x:v>
      </x:c>
      <x:c r="O123" s="24" t="n">
        <x:f>M123*AE123*AC123</x:f>
        <x:v>1.6810000000000003</x:v>
      </x:c>
      <x:c r="P123" s="24" t="n">
        <x:f>N123*AF123*AC123</x:f>
        <x:v>0</x:v>
      </x:c>
      <x:c r="Q123" s="25" t="n">
        <x:f>IF(K123=0,0,IF(ISNUMBER(B123),K123*AC123*B123,NA()))</x:f>
        <x:v>-1093.109999999999</x:v>
      </x:c>
      <x:c r="R123" s="25" t="n">
        <x:f>IF(L123=0,0,IF(ISNUMBER(C123),L123*AC123*C123*AD123,NA()))</x:f>
        <x:v>0</x:v>
      </x:c>
      <x:c r="S123" s="25" t="n">
        <x:f>IF(M123=0,0,IF(ISNUMBER(D123),M123*AC123*D123*AD123,NA()))</x:f>
        <x:v>342.7755774914055</x:v>
      </x:c>
      <x:c r="T123" s="25" t="n">
        <x:f>IF(N123=0,0,IF(ISNUMBER(E123),N123*AC123*E123*AD123,NA()))</x:f>
        <x:v>60.23702780402485</x:v>
      </x:c>
      <x:c r="U123" s="25" t="n">
        <x:f>IF(O123=0,0,IF(ISNUMBER(F123),O123*F123,NA()))</x:f>
        <x:v>227.8726438953781</x:v>
      </x:c>
      <x:c r="V123" s="25" t="n">
        <x:f>IF(P123=0,0,IF(ISNUMBER(G123),-P123*G123,NA()))</x:f>
        <x:v>0</x:v>
      </x:c>
      <x:c r="W123" s="25" t="n">
        <x:f>SUM(Q123:V123)</x:f>
        <x:v>-462.2247508091905</x:v>
      </x:c>
      <x:c r="X123" s="18" t="n">
        <x:f>'原始输入与口径'!BR125</x:f>
        <x:v>-462.22475080919054</x:v>
      </x:c>
      <x:c r="Y123" s="18" t="n">
        <x:f>W123-X123</x:f>
        <x:v>5.684341886080802e-14</x:v>
      </x:c>
      <x:c r="Z123" s="18" t="str">
        <x:f>"1月2日计划｜本窗新增"</x:f>
        <x:v>1月2日计划｜本窗新增</x:v>
      </x:c>
      <x:c r="AA123" s="19" t="n">
        <x:f>IF('原始输入与口径'!AW125,1,0)</x:f>
        <x:v>1</x:v>
      </x:c>
      <x:c r="AB123" s="19" t="n">
        <x:f>IF('原始输入与口径'!AY125,1,0)</x:f>
        <x:v>0</x:v>
      </x:c>
      <x:c r="AC123" s="18" t="n">
        <x:f>'原始输入与口径'!E125</x:f>
        <x:v>0.25</x:v>
      </x:c>
      <x:c r="AD123" s="20" t="n">
        <x:f>'原始输入与口径'!$F$5</x:f>
        <x:v>1</x:v>
      </x:c>
      <x:c r="AE123" s="20" t="n">
        <x:f>IF(AA123=0,0,AI123/(AG123*AC123))</x:f>
        <x:v>0.06724000000000001</x:v>
      </x:c>
      <x:c r="AF123" s="20" t="n">
        <x:f>IF(AA123=0,0,AJ123/(AH123*AC123))</x:f>
        <x:v>0</x:v>
      </x:c>
      <x:c r="AG123" s="18" t="n">
        <x:f>IF(ISNUMBER('原始输入与口径'!T125),'原始输入与口径'!T125,"缺失")</x:f>
        <x:v>200</x:v>
      </x:c>
      <x:c r="AH123" s="18" t="n">
        <x:f>IF(ISNUMBER('原始输入与口径'!Y125),'原始输入与口径'!Y125,"缺失")</x:f>
        <x:v>200</x:v>
      </x:c>
      <x:c r="AI123" s="18" t="n">
        <x:f>IF(ISNUMBER('原始输入与口径'!AI125),'原始输入与口径'!AI125,"缺失")</x:f>
        <x:v>3.362</x:v>
      </x:c>
      <x:c r="AJ123" s="18" t="n">
        <x:f>IF(ISNUMBER('原始输入与口径'!AL125),'原始输入与口径'!AL125,"缺失")</x:f>
        <x:v>0</x:v>
      </x:c>
      <x:c r="AK123" s="18" t="str">
        <x:f>IF(ISNUMBER('原始输入与口径'!O125),'原始输入与口径'!O125,"缺失")</x:f>
        <x:v>缺失</x:v>
      </x:c>
      <x:c r="AL123" s="18" t="n">
        <x:f>SUMIFS('相位SOC复算'!$N$7:$N$443,'相位SOC复算'!$S$7:$S$443,117)</x:f>
        <x:v>0.05032502212560384</x:v>
      </x:c>
      <x:c r="AM123" s="18" t="n">
        <x:f>SUMIFS('相位SOC复算'!$Q$7:$Q$443,'相位SOC复算'!$S$7:$S$443,117)</x:f>
        <x:v>19.354769999999984</x:v>
      </x:c>
      <x:c r="AN123" s="18" t="n">
        <x:f>SUMIFS('相位SOC复算'!$R$7:$R$443,'相位SOC复算'!$S$7:$S$443,117)</x:f>
        <x:v>0.28577000000000125</x:v>
      </x:c>
      <x:c r="AO123" s="18" t="n">
        <x:f>'相位SOC复算'!J280</x:f>
        <x:v>126.3908392695652</x:v>
      </x:c>
      <x:c r="AP123" s="18" t="n">
        <x:f>AO123-J123</x:f>
        <x:v>0</x:v>
      </x:c>
      <x:c r="AQ123" s="18" t="n">
        <x:f>IF(ISBLANK('原始输入与口径'!M125),"",'原始输入与口径'!M125)</x:f>
        <x:v>4.9741</x:v>
      </x:c>
      <x:c r="AR123" s="21" t="n">
        <x:f>IF(ISBLANK('原始输入与口径'!L125),"",'原始输入与口径'!L125)</x:f>
        <x:v>45657</x:v>
      </x:c>
      <x:c r="AS123" s="17" t="n">
        <x:f>IF(ISBLANK('原始输入与口径'!A125),"",'原始输入与口径'!A125)</x:f>
        <x:v>45659.125</x:v>
      </x:c>
      <x:c r="AT123" s="18" t="str">
        <x:f>IF(ISBLANK('原始输入与口径'!I125),"",'原始输入与口径'!I125)</x:f>
        <x:v>2025-01-02_5</x:v>
      </x:c>
      <x:c r="AU123" s="19" t="n">
        <x:f>IF(ISBLANK('原始输入与口径'!J125),"",'原始输入与口径'!J125)</x:f>
        <x:v>60</x:v>
      </x:c>
      <x:c r="AV123" s="18" t="str">
        <x:f>IF(ISBLANK('原始输入与口径'!BB125),"",'原始输入与口径'!BB125)</x:f>
        <x:v>OK</x:v>
      </x:c>
    </x:row>
    <x:row r="124" ht="21" customHeight="1">
      <x:c r="A124" s="17" t="n">
        <x:f>45659.21875</x:f>
        <x:v>45659.21875</x:v>
      </x:c>
      <x:c r="B124" s="23" t="n">
        <x:f>IF(ISNUMBER('原始输入与口径'!H126),'原始输入与口径'!H126,"缺失")</x:f>
        <x:v>52.68</x:v>
      </x:c>
      <x:c r="C124" s="23" t="str">
        <x:f>IF(ISNUMBER('原始输入与口径'!R126),'原始输入与口径'!R126,"缺失")</x:f>
        <x:v>缺失</x:v>
      </x:c>
      <x:c r="D124" s="23" t="n">
        <x:f>IF(ISNUMBER('原始输入与口径'!W126),'原始输入与口径'!W126,"缺失")</x:f>
        <x:v>13.71102309965622</x:v>
      </x:c>
      <x:c r="E124" s="23" t="n">
        <x:f>IF(ISNUMBER('原始输入与口径'!AB126),'原始输入与口径'!AB126,"缺失")</x:f>
        <x:v>14.173418306829376</x:v>
      </x:c>
      <x:c r="F124" s="23" t="n">
        <x:f>IF(ISNUMBER('原始输入与口径'!AG126),'原始输入与口径'!AG126,"缺失")</x:f>
        <x:v>134.58796566212982</x:v>
      </x:c>
      <x:c r="G124" s="23" t="n">
        <x:f>IF(ISNUMBER('原始输入与口径'!AJ126),'原始输入与口径'!AJ126,"缺失")</x:f>
        <x:v>58.3020043827024</x:v>
      </x:c>
      <x:c r="H124" s="23" t="str">
        <x:f>"未模拟"</x:f>
        <x:v>未模拟</x:v>
      </x:c>
      <x:c r="I124" s="24" t="n">
        <x:f>'原始输入与口径'!BD126</x:f>
        <x:v>126.3908392695652</x:v>
      </x:c>
      <x:c r="J124" s="24" t="n">
        <x:f>'原始输入与口径'!BE126</x:f>
        <x:v>144.8123809391304</x:v>
      </x:c>
      <x:c r="K124" s="24" t="n">
        <x:f>'原始输入与口径'!BF126</x:f>
        <x:v>-82.99999999999993</x:v>
      </x:c>
      <x:c r="L124" s="24" t="n">
        <x:f>'原始输入与口径'!BG126</x:f>
        <x:v>0</x:v>
      </x:c>
      <x:c r="M124" s="24" t="n">
        <x:f>'原始输入与口径'!BH126</x:f>
        <x:v>100</x:v>
      </x:c>
      <x:c r="N124" s="24" t="n">
        <x:f>'原始输入与口径'!BI126</x:f>
        <x:v>17</x:v>
      </x:c>
      <x:c r="O124" s="24" t="n">
        <x:f>M124*AE124*AC124</x:f>
        <x:v>0.7055</x:v>
      </x:c>
      <x:c r="P124" s="24" t="n">
        <x:f>N124*AF124*AC124</x:f>
        <x:v>0.00068</x:v>
      </x:c>
      <x:c r="Q124" s="25" t="n">
        <x:f>IF(K124=0,0,IF(ISNUMBER(B124),K124*AC124*B124,NA()))</x:f>
        <x:v>-1093.109999999999</x:v>
      </x:c>
      <x:c r="R124" s="25" t="n">
        <x:f>IF(L124=0,0,IF(ISNUMBER(C124),L124*AC124*C124*AD124,NA()))</x:f>
        <x:v>0</x:v>
      </x:c>
      <x:c r="S124" s="25" t="n">
        <x:f>IF(M124=0,0,IF(ISNUMBER(D124),M124*AC124*D124*AD124,NA()))</x:f>
        <x:v>342.7755774914055</x:v>
      </x:c>
      <x:c r="T124" s="25" t="n">
        <x:f>IF(N124=0,0,IF(ISNUMBER(E124),N124*AC124*E124*AD124,NA()))</x:f>
        <x:v>60.23702780402485</x:v>
      </x:c>
      <x:c r="U124" s="25" t="n">
        <x:f>IF(O124=0,0,IF(ISNUMBER(F124),O124*F124,NA()))</x:f>
        <x:v>94.9518097746326</x:v>
      </x:c>
      <x:c r="V124" s="25" t="n">
        <x:f>IF(P124=0,0,IF(ISNUMBER(G124),-P124*G124,NA()))</x:f>
        <x:v>-0.03964536298023764</x:v>
      </x:c>
      <x:c r="W124" s="25" t="n">
        <x:f>SUM(Q124:V124)</x:f>
        <x:v>-595.1852302929162</x:v>
      </x:c>
      <x:c r="X124" s="18" t="n">
        <x:f>'原始输入与口径'!BR126</x:f>
        <x:v>-595.1852302929162</x:v>
      </x:c>
      <x:c r="Y124" s="18" t="n">
        <x:f>W124-X124</x:f>
        <x:v>0</x:v>
      </x:c>
      <x:c r="Z124" s="18" t="str">
        <x:f>"1月2日计划｜本窗新增"</x:f>
        <x:v>1月2日计划｜本窗新增</x:v>
      </x:c>
      <x:c r="AA124" s="19" t="n">
        <x:f>IF('原始输入与口径'!AW126,1,0)</x:f>
        <x:v>1</x:v>
      </x:c>
      <x:c r="AB124" s="19" t="n">
        <x:f>IF('原始输入与口径'!AY126,1,0)</x:f>
        <x:v>0</x:v>
      </x:c>
      <x:c r="AC124" s="18" t="n">
        <x:f>'原始输入与口径'!E126</x:f>
        <x:v>0.25</x:v>
      </x:c>
      <x:c r="AD124" s="20" t="n">
        <x:f>'原始输入与口径'!$F$5</x:f>
        <x:v>1</x:v>
      </x:c>
      <x:c r="AE124" s="20" t="n">
        <x:f>IF(AA124=0,0,AI124/(AG124*AC124))</x:f>
        <x:v>0.028220000000000002</x:v>
      </x:c>
      <x:c r="AF124" s="20" t="n">
        <x:f>IF(AA124=0,0,AJ124/(AH124*AC124))</x:f>
        <x:v>0.00016</x:v>
      </x:c>
      <x:c r="AG124" s="18" t="n">
        <x:f>IF(ISNUMBER('原始输入与口径'!T126),'原始输入与口径'!T126,"缺失")</x:f>
        <x:v>200</x:v>
      </x:c>
      <x:c r="AH124" s="18" t="n">
        <x:f>IF(ISNUMBER('原始输入与口径'!Y126),'原始输入与口径'!Y126,"缺失")</x:f>
        <x:v>200</x:v>
      </x:c>
      <x:c r="AI124" s="18" t="n">
        <x:f>IF(ISNUMBER('原始输入与口径'!AI126),'原始输入与口径'!AI126,"缺失")</x:f>
        <x:v>1.411</x:v>
      </x:c>
      <x:c r="AJ124" s="18" t="n">
        <x:f>IF(ISNUMBER('原始输入与口径'!AL126),'原始输入与口径'!AL126,"缺失")</x:f>
        <x:v>0.008</x:v>
      </x:c>
      <x:c r="AK124" s="18" t="str">
        <x:f>IF(ISNUMBER('原始输入与口径'!O126),'原始输入与口径'!O126,"缺失")</x:f>
        <x:v>缺失</x:v>
      </x:c>
      <x:c r="AL124" s="18" t="n">
        <x:f>SUMIFS('相位SOC复算'!$N$7:$N$443,'相位SOC复算'!$S$7:$S$443,118)</x:f>
        <x:v>0.051895194251207685</x:v>
      </x:c>
      <x:c r="AM124" s="18" t="n">
        <x:f>SUMIFS('相位SOC复算'!$Q$7:$Q$443,'相位SOC复算'!$S$7:$S$443,118)</x:f>
        <x:v>20.165114999999982</x:v>
      </x:c>
      <x:c r="AN124" s="18" t="n">
        <x:f>SUMIFS('相位SOC复算'!$R$7:$R$443,'相位SOC复算'!$S$7:$S$443,118)</x:f>
        <x:v>0.11993500000000051</x:v>
      </x:c>
      <x:c r="AO124" s="18" t="n">
        <x:f>'相位SOC复算'!J283</x:f>
        <x:v>144.8123809391304</x:v>
      </x:c>
      <x:c r="AP124" s="18" t="n">
        <x:f>AO124-J124</x:f>
        <x:v>0</x:v>
      </x:c>
      <x:c r="AQ124" s="18" t="n">
        <x:f>IF(ISBLANK('原始输入与口径'!M126),"",'原始输入与口径'!M126)</x:f>
        <x:v>4.9741</x:v>
      </x:c>
      <x:c r="AR124" s="21" t="n">
        <x:f>IF(ISBLANK('原始输入与口径'!L126),"",'原始输入与口径'!L126)</x:f>
        <x:v>45657</x:v>
      </x:c>
      <x:c r="AS124" s="17" t="n">
        <x:f>IF(ISBLANK('原始输入与口径'!A126),"",'原始输入与口径'!A126)</x:f>
        <x:v>45659.135416666664</x:v>
      </x:c>
      <x:c r="AT124" s="18" t="str">
        <x:f>IF(ISBLANK('原始输入与口径'!I126),"",'原始输入与口径'!I126)</x:f>
        <x:v>2025-01-02_5</x:v>
      </x:c>
      <x:c r="AU124" s="19" t="n">
        <x:f>IF(ISBLANK('原始输入与口径'!J126),"",'原始输入与口径'!J126)</x:f>
        <x:v>60</x:v>
      </x:c>
      <x:c r="AV124" s="18" t="str">
        <x:f>IF(ISBLANK('原始输入与口径'!BB126),"",'原始输入与口径'!BB126)</x:f>
        <x:v>OK</x:v>
      </x:c>
    </x:row>
    <x:row r="125" ht="21" customHeight="1">
      <x:c r="A125" s="17" t="n">
        <x:f>45659.229166666664</x:f>
        <x:v>45659.229166666664</x:v>
      </x:c>
      <x:c r="B125" s="23" t="n">
        <x:f>IF(ISNUMBER('原始输入与口径'!H127),'原始输入与口径'!H127,"缺失")</x:f>
        <x:v>52.68</x:v>
      </x:c>
      <x:c r="C125" s="23" t="str">
        <x:f>IF(ISNUMBER('原始输入与口径'!R127),'原始输入与口径'!R127,"缺失")</x:f>
        <x:v>缺失</x:v>
      </x:c>
      <x:c r="D125" s="23" t="n">
        <x:f>IF(ISNUMBER('原始输入与口径'!W127),'原始输入与口径'!W127,"缺失")</x:f>
        <x:v>13.71102309965622</x:v>
      </x:c>
      <x:c r="E125" s="23" t="n">
        <x:f>IF(ISNUMBER('原始输入与口径'!AB127),'原始输入与口径'!AB127,"缺失")</x:f>
        <x:v>14.173418306829376</x:v>
      </x:c>
      <x:c r="F125" s="23" t="n">
        <x:f>IF(ISNUMBER('原始输入与口径'!AG127),'原始输入与口径'!AG127,"缺失")</x:f>
        <x:v>136.70814820771596</x:v>
      </x:c>
      <x:c r="G125" s="23" t="n">
        <x:f>IF(ISNUMBER('原始输入与口径'!AJ127),'原始输入与口径'!AJ127,"缺失")</x:f>
        <x:v>0</x:v>
      </x:c>
      <x:c r="H125" s="23" t="str">
        <x:f>"未模拟"</x:f>
        <x:v>未模拟</x:v>
      </x:c>
      <x:c r="I125" s="24" t="n">
        <x:f>'原始输入与口径'!BD127</x:f>
        <x:v>144.8123809391304</x:v>
      </x:c>
      <x:c r="J125" s="24" t="n">
        <x:f>'原始输入与口径'!BE127</x:f>
        <x:v>162.91084692173908</x:v>
      </x:c>
      <x:c r="K125" s="24" t="n">
        <x:f>'原始输入与口径'!BF127</x:f>
        <x:v>-82.99999999999993</x:v>
      </x:c>
      <x:c r="L125" s="24" t="n">
        <x:f>'原始输入与口径'!BG127</x:f>
        <x:v>0</x:v>
      </x:c>
      <x:c r="M125" s="24" t="n">
        <x:f>'原始输入与口径'!BH127</x:f>
        <x:v>100</x:v>
      </x:c>
      <x:c r="N125" s="24" t="n">
        <x:f>'原始输入与口径'!BI127</x:f>
        <x:v>17</x:v>
      </x:c>
      <x:c r="O125" s="24" t="n">
        <x:f>M125*AE125*AC125</x:f>
        <x:v>1.0455</x:v>
      </x:c>
      <x:c r="P125" s="24" t="n">
        <x:f>N125*AF125*AC125</x:f>
        <x:v>0</x:v>
      </x:c>
      <x:c r="Q125" s="25" t="n">
        <x:f>IF(K125=0,0,IF(ISNUMBER(B125),K125*AC125*B125,NA()))</x:f>
        <x:v>-1093.109999999999</x:v>
      </x:c>
      <x:c r="R125" s="25" t="n">
        <x:f>IF(L125=0,0,IF(ISNUMBER(C125),L125*AC125*C125*AD125,NA()))</x:f>
        <x:v>0</x:v>
      </x:c>
      <x:c r="S125" s="25" t="n">
        <x:f>IF(M125=0,0,IF(ISNUMBER(D125),M125*AC125*D125*AD125,NA()))</x:f>
        <x:v>342.7755774914055</x:v>
      </x:c>
      <x:c r="T125" s="25" t="n">
        <x:f>IF(N125=0,0,IF(ISNUMBER(E125),N125*AC125*E125*AD125,NA()))</x:f>
        <x:v>60.23702780402485</x:v>
      </x:c>
      <x:c r="U125" s="25" t="n">
        <x:f>IF(O125=0,0,IF(ISNUMBER(F125),O125*F125,NA()))</x:f>
        <x:v>142.92836895116704</x:v>
      </x:c>
      <x:c r="V125" s="25" t="n">
        <x:f>IF(P125=0,0,IF(ISNUMBER(G125),-P125*G125,NA()))</x:f>
        <x:v>0</x:v>
      </x:c>
      <x:c r="W125" s="25" t="n">
        <x:f>SUM(Q125:V125)</x:f>
        <x:v>-547.1690257534016</x:v>
      </x:c>
      <x:c r="X125" s="18" t="n">
        <x:f>'原始输入与口径'!BR127</x:f>
        <x:v>-547.1690257534016</x:v>
      </x:c>
      <x:c r="Y125" s="18" t="n">
        <x:f>W125-X125</x:f>
        <x:v>0</x:v>
      </x:c>
      <x:c r="Z125" s="18" t="str">
        <x:f>"1月2日计划｜本窗新增"</x:f>
        <x:v>1月2日计划｜本窗新增</x:v>
      </x:c>
      <x:c r="AA125" s="19" t="n">
        <x:f>IF('原始输入与口径'!AW127,1,0)</x:f>
        <x:v>1</x:v>
      </x:c>
      <x:c r="AB125" s="19" t="n">
        <x:f>IF('原始输入与口径'!AY127,1,0)</x:f>
        <x:v>0</x:v>
      </x:c>
      <x:c r="AC125" s="18" t="n">
        <x:f>'原始输入与口径'!E127</x:f>
        <x:v>0.25</x:v>
      </x:c>
      <x:c r="AD125" s="20" t="n">
        <x:f>'原始输入与口径'!$F$5</x:f>
        <x:v>1</x:v>
      </x:c>
      <x:c r="AE125" s="20" t="n">
        <x:f>IF(AA125=0,0,AI125/(AG125*AC125))</x:f>
        <x:v>0.04182</x:v>
      </x:c>
      <x:c r="AF125" s="20" t="n">
        <x:f>IF(AA125=0,0,AJ125/(AH125*AC125))</x:f>
        <x:v>0</x:v>
      </x:c>
      <x:c r="AG125" s="18" t="n">
        <x:f>IF(ISNUMBER('原始输入与口径'!T127),'原始输入与口径'!T127,"缺失")</x:f>
        <x:v>200</x:v>
      </x:c>
      <x:c r="AH125" s="18" t="n">
        <x:f>IF(ISNUMBER('原始输入与口径'!Y127),'原始输入与口径'!Y127,"缺失")</x:f>
        <x:v>200</x:v>
      </x:c>
      <x:c r="AI125" s="18" t="n">
        <x:f>IF(ISNUMBER('原始输入与口径'!AI127),'原始输入与口径'!AI127,"缺失")</x:f>
        <x:v>2.091</x:v>
      </x:c>
      <x:c r="AJ125" s="18" t="n">
        <x:f>IF(ISNUMBER('原始输入与口径'!AL127),'原始输入与口径'!AL127,"缺失")</x:f>
        <x:v>0</x:v>
      </x:c>
      <x:c r="AK125" s="18" t="str">
        <x:f>IF(ISNUMBER('原始输入与口径'!O127),'原始输入与口径'!O127,"缺失")</x:f>
        <x:v>缺失</x:v>
      </x:c>
      <x:c r="AL125" s="18" t="n">
        <x:f>SUMIFS('相位SOC复算'!$N$7:$N$443,'相位SOC复算'!$S$7:$S$443,119)</x:f>
        <x:v>0.0513467956038647</x:v>
      </x:c>
      <x:c r="AM125" s="18" t="n">
        <x:f>SUMIFS('相位SOC复算'!$Q$7:$Q$443,'相位SOC复算'!$S$7:$S$443,119)</x:f>
        <x:v>19.882234999999984</x:v>
      </x:c>
      <x:c r="AN125" s="18" t="n">
        <x:f>SUMIFS('相位SOC复算'!$R$7:$R$443,'相位SOC复算'!$S$7:$S$443,119)</x:f>
        <x:v>0.17773500000000075</x:v>
      </x:c>
      <x:c r="AO125" s="18" t="n">
        <x:f>'相位SOC复算'!J285</x:f>
        <x:v>162.91084692173908</x:v>
      </x:c>
      <x:c r="AP125" s="18" t="n">
        <x:f>AO125-J125</x:f>
        <x:v>0</x:v>
      </x:c>
      <x:c r="AQ125" s="18" t="n">
        <x:f>IF(ISBLANK('原始输入与口径'!M127),"",'原始输入与口径'!M127)</x:f>
        <x:v>4.9741</x:v>
      </x:c>
      <x:c r="AR125" s="21" t="n">
        <x:f>IF(ISBLANK('原始输入与口径'!L127),"",'原始输入与口径'!L127)</x:f>
        <x:v>45657</x:v>
      </x:c>
      <x:c r="AS125" s="17" t="n">
        <x:f>IF(ISBLANK('原始输入与口径'!A127),"",'原始输入与口径'!A127)</x:f>
        <x:v>45659.145833333336</x:v>
      </x:c>
      <x:c r="AT125" s="18" t="str">
        <x:f>IF(ISBLANK('原始输入与口径'!I127),"",'原始输入与口径'!I127)</x:f>
        <x:v>2025-01-02_5</x:v>
      </x:c>
      <x:c r="AU125" s="19" t="n">
        <x:f>IF(ISBLANK('原始输入与口径'!J127),"",'原始输入与口径'!J127)</x:f>
        <x:v>60</x:v>
      </x:c>
      <x:c r="AV125" s="18" t="str">
        <x:f>IF(ISBLANK('原始输入与口径'!BB127),"",'原始输入与口径'!BB127)</x:f>
        <x:v>OK</x:v>
      </x:c>
    </x:row>
    <x:row r="126" ht="21" customHeight="1">
      <x:c r="A126" s="17" t="n">
        <x:f>45659.239583333336</x:f>
        <x:v>45659.239583333336</x:v>
      </x:c>
      <x:c r="B126" s="23" t="n">
        <x:f>IF(ISNUMBER('原始输入与口径'!H128),'原始输入与口径'!H128,"缺失")</x:f>
        <x:v>52.68</x:v>
      </x:c>
      <x:c r="C126" s="23" t="str">
        <x:f>IF(ISNUMBER('原始输入与口径'!R128),'原始输入与口径'!R128,"缺失")</x:f>
        <x:v>缺失</x:v>
      </x:c>
      <x:c r="D126" s="23" t="n">
        <x:f>IF(ISNUMBER('原始输入与口径'!W128),'原始输入与口径'!W128,"缺失")</x:f>
        <x:v>13.71102309965622</x:v>
      </x:c>
      <x:c r="E126" s="23" t="n">
        <x:f>IF(ISNUMBER('原始输入与口径'!AB128),'原始输入与口径'!AB128,"缺失")</x:f>
        <x:v>14.173418306829376</x:v>
      </x:c>
      <x:c r="F126" s="23" t="n">
        <x:f>IF(ISNUMBER('原始输入与口径'!AG128),'原始输入与口径'!AG128,"缺失")</x:f>
        <x:v>132.66982971793894</x:v>
      </x:c>
      <x:c r="G126" s="23" t="n">
        <x:f>IF(ISNUMBER('原始输入与口径'!AJ128),'原始输入与口径'!AJ128,"缺失")</x:f>
        <x:v>37.93108300999176</x:v>
      </x:c>
      <x:c r="H126" s="23" t="str">
        <x:f>"未模拟"</x:f>
        <x:v>未模拟</x:v>
      </x:c>
      <x:c r="I126" s="24" t="n">
        <x:f>'原始输入与口径'!BD128</x:f>
        <x:v>162.91084692173908</x:v>
      </x:c>
      <x:c r="J126" s="24" t="n">
        <x:f>'原始输入与口径'!BE128</x:f>
        <x:v>180.71637249565208</x:v>
      </x:c>
      <x:c r="K126" s="24" t="n">
        <x:f>'原始输入与口径'!BF128</x:f>
        <x:v>-82.99999999999993</x:v>
      </x:c>
      <x:c r="L126" s="24" t="n">
        <x:f>'原始输入与口径'!BG128</x:f>
        <x:v>0</x:v>
      </x:c>
      <x:c r="M126" s="24" t="n">
        <x:f>'原始输入与口径'!BH128</x:f>
        <x:v>100</x:v>
      </x:c>
      <x:c r="N126" s="24" t="n">
        <x:f>'原始输入与口径'!BI128</x:f>
        <x:v>17</x:v>
      </x:c>
      <x:c r="O126" s="24" t="n">
        <x:f>M126*AE126*AC126</x:f>
        <x:v>1.367</x:v>
      </x:c>
      <x:c r="P126" s="24" t="n">
        <x:f>N126*AF126*AC126</x:f>
        <x:v>0.013005</x:v>
      </x:c>
      <x:c r="Q126" s="25" t="n">
        <x:f>IF(K126=0,0,IF(ISNUMBER(B126),K126*AC126*B126,NA()))</x:f>
        <x:v>-1093.109999999999</x:v>
      </x:c>
      <x:c r="R126" s="25" t="n">
        <x:f>IF(L126=0,0,IF(ISNUMBER(C126),L126*AC126*C126*AD126,NA()))</x:f>
        <x:v>0</x:v>
      </x:c>
      <x:c r="S126" s="25" t="n">
        <x:f>IF(M126=0,0,IF(ISNUMBER(D126),M126*AC126*D126*AD126,NA()))</x:f>
        <x:v>342.7755774914055</x:v>
      </x:c>
      <x:c r="T126" s="25" t="n">
        <x:f>IF(N126=0,0,IF(ISNUMBER(E126),N126*AC126*E126*AD126,NA()))</x:f>
        <x:v>60.23702780402485</x:v>
      </x:c>
      <x:c r="U126" s="25" t="n">
        <x:f>IF(O126=0,0,IF(ISNUMBER(F126),O126*F126,NA()))</x:f>
        <x:v>181.35965722442253</x:v>
      </x:c>
      <x:c r="V126" s="25" t="n">
        <x:f>IF(P126=0,0,IF(ISNUMBER(G126),-P126*G126,NA()))</x:f>
        <x:v>-0.4932937345449428</x:v>
      </x:c>
      <x:c r="W126" s="25" t="n">
        <x:f>SUM(Q126:V126)</x:f>
        <x:v>-509.231031214691</x:v>
      </x:c>
      <x:c r="X126" s="18" t="n">
        <x:f>'原始输入与口径'!BR128</x:f>
        <x:v>-509.23103121469103</x:v>
      </x:c>
      <x:c r="Y126" s="18" t="n">
        <x:f>W126-X126</x:f>
        <x:v>5.684341886080802e-14</x:v>
      </x:c>
      <x:c r="Z126" s="18" t="str">
        <x:f>"1月2日计划｜本窗新增"</x:f>
        <x:v>1月2日计划｜本窗新增</x:v>
      </x:c>
      <x:c r="AA126" s="19" t="n">
        <x:f>IF('原始输入与口径'!AW128,1,0)</x:f>
        <x:v>1</x:v>
      </x:c>
      <x:c r="AB126" s="19" t="n">
        <x:f>IF('原始输入与口径'!AY128,1,0)</x:f>
        <x:v>0</x:v>
      </x:c>
      <x:c r="AC126" s="18" t="n">
        <x:f>'原始输入与口径'!E128</x:f>
        <x:v>0.25</x:v>
      </x:c>
      <x:c r="AD126" s="20" t="n">
        <x:f>'原始输入与口径'!$F$5</x:f>
        <x:v>1</x:v>
      </x:c>
      <x:c r="AE126" s="20" t="n">
        <x:f>IF(AA126=0,0,AI126/(AG126*AC126))</x:f>
        <x:v>0.05468</x:v>
      </x:c>
      <x:c r="AF126" s="20" t="n">
        <x:f>IF(AA126=0,0,AJ126/(AH126*AC126))</x:f>
        <x:v>0.00306</x:v>
      </x:c>
      <x:c r="AG126" s="18" t="n">
        <x:f>IF(ISNUMBER('原始输入与口径'!T128),'原始输入与口径'!T128,"缺失")</x:f>
        <x:v>200</x:v>
      </x:c>
      <x:c r="AH126" s="18" t="n">
        <x:f>IF(ISNUMBER('原始输入与口径'!Y128),'原始输入与口径'!Y128,"缺失")</x:f>
        <x:v>200</x:v>
      </x:c>
      <x:c r="AI126" s="18" t="n">
        <x:f>IF(ISNUMBER('原始输入与口径'!AI128),'原始输入与口径'!AI128,"缺失")</x:f>
        <x:v>2.734</x:v>
      </x:c>
      <x:c r="AJ126" s="18" t="n">
        <x:f>IF(ISNUMBER('原始输入与口径'!AL128),'原始输入与口径'!AL128,"缺失")</x:f>
        <x:v>0.153</x:v>
      </x:c>
      <x:c r="AK126" s="18" t="str">
        <x:f>IF(ISNUMBER('原始输入与口径'!O128),'原始输入与口径'!O128,"缺失")</x:f>
        <x:v>缺失</x:v>
      </x:c>
      <x:c r="AL126" s="18" t="n">
        <x:f>SUMIFS('相位SOC复算'!$N$7:$N$443,'相位SOC复算'!$S$7:$S$443,120)</x:f>
        <x:v>0.050863114516908184</x:v>
      </x:c>
      <x:c r="AM126" s="18" t="n">
        <x:f>SUMIFS('相位SOC复算'!$Q$7:$Q$443,'相位SOC复算'!$S$7:$S$443,120)</x:f>
        <x:v>19.628394999999983</x:v>
      </x:c>
      <x:c r="AN126" s="18" t="n">
        <x:f>SUMIFS('相位SOC复算'!$R$7:$R$443,'相位SOC复算'!$S$7:$S$443,120)</x:f>
        <x:v>0.23239000000000096</x:v>
      </x:c>
      <x:c r="AO126" s="18" t="n">
        <x:f>'相位SOC复算'!J288</x:f>
        <x:v>180.7163724956521</x:v>
      </x:c>
      <x:c r="AP126" s="18" t="n">
        <x:f>AO126-J126</x:f>
        <x:v>2.842170943040401e-14</x:v>
      </x:c>
      <x:c r="AQ126" s="18" t="n">
        <x:f>IF(ISBLANK('原始输入与口径'!M128),"",'原始输入与口径'!M128)</x:f>
        <x:v>4.9741</x:v>
      </x:c>
      <x:c r="AR126" s="21" t="n">
        <x:f>IF(ISBLANK('原始输入与口径'!L128),"",'原始输入与口径'!L128)</x:f>
        <x:v>45657</x:v>
      </x:c>
      <x:c r="AS126" s="17" t="n">
        <x:f>IF(ISBLANK('原始输入与口径'!A128),"",'原始输入与口径'!A128)</x:f>
        <x:v>45659.15625</x:v>
      </x:c>
      <x:c r="AT126" s="18" t="str">
        <x:f>IF(ISBLANK('原始输入与口径'!I128),"",'原始输入与口径'!I128)</x:f>
        <x:v>2025-01-02_5</x:v>
      </x:c>
      <x:c r="AU126" s="19" t="n">
        <x:f>IF(ISBLANK('原始输入与口径'!J128),"",'原始输入与口径'!J128)</x:f>
        <x:v>60</x:v>
      </x:c>
      <x:c r="AV126" s="18" t="str">
        <x:f>IF(ISBLANK('原始输入与口径'!BB128),"",'原始输入与口径'!BB128)</x:f>
        <x:v>OK</x:v>
      </x:c>
    </x:row>
    <x:row r="127" ht="21" customHeight="1">
      <x:c r="A127" s="17" t="n">
        <x:f>45659.25</x:f>
        <x:v>45659.25</x:v>
      </x:c>
      <x:c r="B127" s="23" t="n">
        <x:f>IF(ISNUMBER('原始输入与口径'!H129),'原始输入与口径'!H129,"缺失")</x:f>
        <x:v>72.84</x:v>
      </x:c>
      <x:c r="C127" s="23" t="str">
        <x:f>IF(ISNUMBER('原始输入与口径'!R129),'原始输入与口径'!R129,"缺失")</x:f>
        <x:v>缺失</x:v>
      </x:c>
      <x:c r="D127" s="23" t="n">
        <x:f>IF(ISNUMBER('原始输入与口径'!W129),'原始输入与口径'!W129,"缺失")</x:f>
        <x:v>13.831647936310086</x:v>
      </x:c>
      <x:c r="E127" s="23" t="n">
        <x:f>IF(ISNUMBER('原始输入与口径'!AB129),'原始输入与口径'!AB129,"缺失")</x:f>
        <x:v>14.710198829939085</x:v>
      </x:c>
      <x:c r="F127" s="23" t="n">
        <x:f>IF(ISNUMBER('原始输入与口径'!AG129),'原始输入与口径'!AG129,"缺失")</x:f>
        <x:v>0</x:v>
      </x:c>
      <x:c r="G127" s="23" t="n">
        <x:f>IF(ISNUMBER('原始输入与口径'!AJ129),'原始输入与口径'!AJ129,"缺失")</x:f>
        <x:v>20.596288775858948</x:v>
      </x:c>
      <x:c r="H127" s="23" t="str">
        <x:f>"未模拟"</x:f>
        <x:v>未模拟</x:v>
      </x:c>
      <x:c r="I127" s="24" t="n">
        <x:f>'原始输入与口径'!BD129</x:f>
        <x:v>180.71637249565208</x:v>
      </x:c>
      <x:c r="J127" s="24" t="n">
        <x:f>'原始输入与口径'!BE129</x:f>
        <x:v>184.82141249565208</x:v>
      </x:c>
      <x:c r="K127" s="24" t="n">
        <x:f>'原始输入与口径'!BF129</x:f>
        <x:v>0</x:v>
      </x:c>
      <x:c r="L127" s="24" t="n">
        <x:f>'原始输入与口径'!BG129</x:f>
        <x:v>0</x:v>
      </x:c>
      <x:c r="M127" s="24" t="n">
        <x:f>'原始输入与口径'!BH129</x:f>
        <x:v>100</x:v>
      </x:c>
      <x:c r="N127" s="24" t="n">
        <x:f>'原始输入与口径'!BI129</x:f>
        <x:v>100</x:v>
      </x:c>
      <x:c r="O127" s="24" t="n">
        <x:f>M127*AE127*AC127</x:f>
        <x:v>0</x:v>
      </x:c>
      <x:c r="P127" s="24" t="n">
        <x:f>N127*AF127*AC127</x:f>
        <x:v>4.462</x:v>
      </x:c>
      <x:c r="Q127" s="25" t="n">
        <x:f>IF(K127=0,0,IF(ISNUMBER(B127),K127*AC127*B127,NA()))</x:f>
        <x:v>0</x:v>
      </x:c>
      <x:c r="R127" s="25" t="n">
        <x:f>IF(L127=0,0,IF(ISNUMBER(C127),L127*AC127*C127*AD127,NA()))</x:f>
        <x:v>0</x:v>
      </x:c>
      <x:c r="S127" s="25" t="n">
        <x:f>IF(M127=0,0,IF(ISNUMBER(D127),M127*AC127*D127*AD127,NA()))</x:f>
        <x:v>345.7911984077521</x:v>
      </x:c>
      <x:c r="T127" s="25" t="n">
        <x:f>IF(N127=0,0,IF(ISNUMBER(E127),N127*AC127*E127*AD127,NA()))</x:f>
        <x:v>367.7549707484771</x:v>
      </x:c>
      <x:c r="U127" s="25" t="n">
        <x:f>IF(O127=0,0,IF(ISNUMBER(F127),O127*F127,NA()))</x:f>
        <x:v>0</x:v>
      </x:c>
      <x:c r="V127" s="25" t="n">
        <x:f>IF(P127=0,0,IF(ISNUMBER(G127),-P127*G127,NA()))</x:f>
        <x:v>-91.90064051788262</x:v>
      </x:c>
      <x:c r="W127" s="25" t="n">
        <x:f>SUM(Q127:V127)</x:f>
        <x:v>621.6455286383466</x:v>
      </x:c>
      <x:c r="X127" s="18" t="n">
        <x:f>'原始输入与口径'!BR129</x:f>
        <x:v>621.6455286383466</x:v>
      </x:c>
      <x:c r="Y127" s="18" t="n">
        <x:f>W127-X127</x:f>
        <x:v>0</x:v>
      </x:c>
      <x:c r="Z127" s="18" t="str">
        <x:f>"1月2日计划｜本窗新增"</x:f>
        <x:v>1月2日计划｜本窗新增</x:v>
      </x:c>
      <x:c r="AA127" s="19" t="n">
        <x:f>IF('原始输入与口径'!AW129,1,0)</x:f>
        <x:v>1</x:v>
      </x:c>
      <x:c r="AB127" s="19" t="n">
        <x:f>IF('原始输入与口径'!AY129,1,0)</x:f>
        <x:v>0</x:v>
      </x:c>
      <x:c r="AC127" s="18" t="n">
        <x:f>'原始输入与口径'!E129</x:f>
        <x:v>0.25</x:v>
      </x:c>
      <x:c r="AD127" s="20" t="n">
        <x:f>'原始输入与口径'!$F$5</x:f>
        <x:v>1</x:v>
      </x:c>
      <x:c r="AE127" s="20" t="n">
        <x:f>IF(AA127=0,0,AI127/(AG127*AC127))</x:f>
        <x:v>0</x:v>
      </x:c>
      <x:c r="AF127" s="20" t="n">
        <x:f>IF(AA127=0,0,AJ127/(AH127*AC127))</x:f>
        <x:v>0.17848</x:v>
      </x:c>
      <x:c r="AG127" s="18" t="n">
        <x:f>IF(ISNUMBER('原始输入与口径'!T129),'原始输入与口径'!T129,"缺失")</x:f>
        <x:v>193</x:v>
      </x:c>
      <x:c r="AH127" s="18" t="n">
        <x:f>IF(ISNUMBER('原始输入与口径'!Y129),'原始输入与口径'!Y129,"缺失")</x:f>
        <x:v>200</x:v>
      </x:c>
      <x:c r="AI127" s="18" t="n">
        <x:f>IF(ISNUMBER('原始输入与口径'!AI129),'原始输入与口径'!AI129,"缺失")</x:f>
        <x:v>0</x:v>
      </x:c>
      <x:c r="AJ127" s="18" t="n">
        <x:f>IF(ISNUMBER('原始输入与口径'!AL129),'原始输入与口径'!AL129,"缺失")</x:f>
        <x:v>8.924</x:v>
      </x:c>
      <x:c r="AK127" s="18" t="str">
        <x:f>IF(ISNUMBER('原始输入与口径'!O129),'原始输入与口径'!O129,"缺失")</x:f>
        <x:v>缺失</x:v>
      </x:c>
      <x:c r="AL127" s="18" t="n">
        <x:f>SUMIFS('相位SOC复算'!$N$7:$N$443,'相位SOC复算'!$S$7:$S$443,121)</x:f>
        <x:v>0.011402888888888888</x:v>
      </x:c>
      <x:c r="AM127" s="18" t="n">
        <x:f>SUMIFS('相位SOC复算'!$Q$7:$Q$443,'相位SOC复算'!$S$7:$S$443,121)</x:f>
        <x:v>4.462</x:v>
      </x:c>
      <x:c r="AN127" s="18" t="n">
        <x:f>SUMIFS('相位SOC复算'!$R$7:$R$443,'相位SOC复算'!$S$7:$S$443,121)</x:f>
        <x:v>0</x:v>
      </x:c>
      <x:c r="AO127" s="18" t="n">
        <x:f>'相位SOC复算'!J290</x:f>
        <x:v>184.8214124956521</x:v>
      </x:c>
      <x:c r="AP127" s="18" t="n">
        <x:f>AO127-J127</x:f>
        <x:v>2.842170943040401e-14</x:v>
      </x:c>
      <x:c r="AQ127" s="18" t="n">
        <x:f>IF(ISBLANK('原始输入与口径'!M129),"",'原始输入与口径'!M129)</x:f>
        <x:v>4.9741</x:v>
      </x:c>
      <x:c r="AR127" s="21" t="n">
        <x:f>IF(ISBLANK('原始输入与口径'!L129),"",'原始输入与口径'!L129)</x:f>
        <x:v>45657</x:v>
      </x:c>
      <x:c r="AS127" s="17" t="n">
        <x:f>IF(ISBLANK('原始输入与口径'!A129),"",'原始输入与口径'!A129)</x:f>
        <x:v>45659.166666666664</x:v>
      </x:c>
      <x:c r="AT127" s="18" t="str">
        <x:f>IF(ISBLANK('原始输入与口径'!I129),"",'原始输入与口径'!I129)</x:f>
        <x:v>2025-01-02_6</x:v>
      </x:c>
      <x:c r="AU127" s="19" t="n">
        <x:f>IF(ISBLANK('原始输入与口径'!J129),"",'原始输入与口径'!J129)</x:f>
        <x:v>60</x:v>
      </x:c>
      <x:c r="AV127" s="18" t="str">
        <x:f>IF(ISBLANK('原始输入与口径'!BB129),"",'原始输入与口径'!BB129)</x:f>
        <x:v>OK</x:v>
      </x:c>
    </x:row>
    <x:row r="128" ht="21" customHeight="1">
      <x:c r="A128" s="17" t="n">
        <x:f>45659.260416666664</x:f>
        <x:v>45659.260416666664</x:v>
      </x:c>
      <x:c r="B128" s="23" t="n">
        <x:f>IF(ISNUMBER('原始输入与口径'!H130),'原始输入与口径'!H130,"缺失")</x:f>
        <x:v>72.84</x:v>
      </x:c>
      <x:c r="C128" s="23" t="str">
        <x:f>IF(ISNUMBER('原始输入与口径'!R130),'原始输入与口径'!R130,"缺失")</x:f>
        <x:v>缺失</x:v>
      </x:c>
      <x:c r="D128" s="23" t="n">
        <x:f>IF(ISNUMBER('原始输入与口径'!W130),'原始输入与口径'!W130,"缺失")</x:f>
        <x:v>13.831647936310086</x:v>
      </x:c>
      <x:c r="E128" s="23" t="n">
        <x:f>IF(ISNUMBER('原始输入与口径'!AB130),'原始输入与口径'!AB130,"缺失")</x:f>
        <x:v>14.710198829939085</x:v>
      </x:c>
      <x:c r="F128" s="23" t="n">
        <x:f>IF(ISNUMBER('原始输入与口径'!AG130),'原始输入与口径'!AG130,"缺失")</x:f>
        <x:v>0</x:v>
      </x:c>
      <x:c r="G128" s="23" t="n">
        <x:f>IF(ISNUMBER('原始输入与口径'!AJ130),'原始输入与口径'!AJ130,"缺失")</x:f>
        <x:v>16.782734565046944</x:v>
      </x:c>
      <x:c r="H128" s="23" t="str">
        <x:f>"未模拟"</x:f>
        <x:v>未模拟</x:v>
      </x:c>
      <x:c r="I128" s="24" t="n">
        <x:f>'原始输入与口径'!BD130</x:f>
        <x:v>184.82141249565208</x:v>
      </x:c>
      <x:c r="J128" s="24" t="n">
        <x:f>'原始输入与口径'!BE130</x:f>
        <x:v>189.3487324956521</x:v>
      </x:c>
      <x:c r="K128" s="24" t="n">
        <x:f>'原始输入与口径'!BF130</x:f>
        <x:v>0</x:v>
      </x:c>
      <x:c r="L128" s="24" t="n">
        <x:f>'原始输入与口径'!BG130</x:f>
        <x:v>0</x:v>
      </x:c>
      <x:c r="M128" s="24" t="n">
        <x:f>'原始输入与口径'!BH130</x:f>
        <x:v>100</x:v>
      </x:c>
      <x:c r="N128" s="24" t="n">
        <x:f>'原始输入与口径'!BI130</x:f>
        <x:v>100</x:v>
      </x:c>
      <x:c r="O128" s="24" t="n">
        <x:f>M128*AE128*AC128</x:f>
        <x:v>0</x:v>
      </x:c>
      <x:c r="P128" s="24" t="n">
        <x:f>N128*AF128*AC128</x:f>
        <x:v>4.921</x:v>
      </x:c>
      <x:c r="Q128" s="25" t="n">
        <x:f>IF(K128=0,0,IF(ISNUMBER(B128),K128*AC128*B128,NA()))</x:f>
        <x:v>0</x:v>
      </x:c>
      <x:c r="R128" s="25" t="n">
        <x:f>IF(L128=0,0,IF(ISNUMBER(C128),L128*AC128*C128*AD128,NA()))</x:f>
        <x:v>0</x:v>
      </x:c>
      <x:c r="S128" s="25" t="n">
        <x:f>IF(M128=0,0,IF(ISNUMBER(D128),M128*AC128*D128*AD128,NA()))</x:f>
        <x:v>345.7911984077521</x:v>
      </x:c>
      <x:c r="T128" s="25" t="n">
        <x:f>IF(N128=0,0,IF(ISNUMBER(E128),N128*AC128*E128*AD128,NA()))</x:f>
        <x:v>367.7549707484771</x:v>
      </x:c>
      <x:c r="U128" s="25" t="n">
        <x:f>IF(O128=0,0,IF(ISNUMBER(F128),O128*F128,NA()))</x:f>
        <x:v>0</x:v>
      </x:c>
      <x:c r="V128" s="25" t="n">
        <x:f>IF(P128=0,0,IF(ISNUMBER(G128),-P128*G128,NA()))</x:f>
        <x:v>-82.58783679459602</x:v>
      </x:c>
      <x:c r="W128" s="25" t="n">
        <x:f>SUM(Q128:V128)</x:f>
        <x:v>630.9583323616332</x:v>
      </x:c>
      <x:c r="X128" s="18" t="n">
        <x:f>'原始输入与口径'!BR130</x:f>
        <x:v>630.9583323616332</x:v>
      </x:c>
      <x:c r="Y128" s="18" t="n">
        <x:f>W128-X128</x:f>
        <x:v>0</x:v>
      </x:c>
      <x:c r="Z128" s="18" t="str">
        <x:f>"1月2日计划｜本窗新增"</x:f>
        <x:v>1月2日计划｜本窗新增</x:v>
      </x:c>
      <x:c r="AA128" s="19" t="n">
        <x:f>IF('原始输入与口径'!AW130,1,0)</x:f>
        <x:v>1</x:v>
      </x:c>
      <x:c r="AB128" s="19" t="n">
        <x:f>IF('原始输入与口径'!AY130,1,0)</x:f>
        <x:v>0</x:v>
      </x:c>
      <x:c r="AC128" s="18" t="n">
        <x:f>'原始输入与口径'!E130</x:f>
        <x:v>0.25</x:v>
      </x:c>
      <x:c r="AD128" s="20" t="n">
        <x:f>'原始输入与口径'!$F$5</x:f>
        <x:v>1</x:v>
      </x:c>
      <x:c r="AE128" s="20" t="n">
        <x:f>IF(AA128=0,0,AI128/(AG128*AC128))</x:f>
        <x:v>0</x:v>
      </x:c>
      <x:c r="AF128" s="20" t="n">
        <x:f>IF(AA128=0,0,AJ128/(AH128*AC128))</x:f>
        <x:v>0.19684000000000001</x:v>
      </x:c>
      <x:c r="AG128" s="18" t="n">
        <x:f>IF(ISNUMBER('原始输入与口径'!T130),'原始输入与口径'!T130,"缺失")</x:f>
        <x:v>193</x:v>
      </x:c>
      <x:c r="AH128" s="18" t="n">
        <x:f>IF(ISNUMBER('原始输入与口径'!Y130),'原始输入与口径'!Y130,"缺失")</x:f>
        <x:v>200</x:v>
      </x:c>
      <x:c r="AI128" s="18" t="n">
        <x:f>IF(ISNUMBER('原始输入与口径'!AI130),'原始输入与口径'!AI130,"缺失")</x:f>
        <x:v>0</x:v>
      </x:c>
      <x:c r="AJ128" s="18" t="n">
        <x:f>IF(ISNUMBER('原始输入与口径'!AL130),'原始输入与口径'!AL130,"缺失")</x:f>
        <x:v>9.842</x:v>
      </x:c>
      <x:c r="AK128" s="18" t="str">
        <x:f>IF(ISNUMBER('原始输入与口径'!O130),'原始输入与口径'!O130,"缺失")</x:f>
        <x:v>缺失</x:v>
      </x:c>
      <x:c r="AL128" s="18" t="n">
        <x:f>SUMIFS('相位SOC复算'!$N$7:$N$443,'相位SOC复算'!$S$7:$S$443,122)</x:f>
        <x:v>0.01257588888888889</x:v>
      </x:c>
      <x:c r="AM128" s="18" t="n">
        <x:f>SUMIFS('相位SOC复算'!$Q$7:$Q$443,'相位SOC复算'!$S$7:$S$443,122)</x:f>
        <x:v>4.921</x:v>
      </x:c>
      <x:c r="AN128" s="18" t="n">
        <x:f>SUMIFS('相位SOC复算'!$R$7:$R$443,'相位SOC复算'!$S$7:$S$443,122)</x:f>
        <x:v>0</x:v>
      </x:c>
      <x:c r="AO128" s="18" t="n">
        <x:f>'相位SOC复算'!J292</x:f>
        <x:v>189.34873249565211</x:v>
      </x:c>
      <x:c r="AP128" s="18" t="n">
        <x:f>AO128-J128</x:f>
        <x:v>2.842170943040401e-14</x:v>
      </x:c>
      <x:c r="AQ128" s="18" t="n">
        <x:f>IF(ISBLANK('原始输入与口径'!M130),"",'原始输入与口径'!M130)</x:f>
        <x:v>4.9741</x:v>
      </x:c>
      <x:c r="AR128" s="21" t="n">
        <x:f>IF(ISBLANK('原始输入与口径'!L130),"",'原始输入与口径'!L130)</x:f>
        <x:v>45657</x:v>
      </x:c>
      <x:c r="AS128" s="17" t="n">
        <x:f>IF(ISBLANK('原始输入与口径'!A130),"",'原始输入与口径'!A130)</x:f>
        <x:v>45659.177083333336</x:v>
      </x:c>
      <x:c r="AT128" s="18" t="str">
        <x:f>IF(ISBLANK('原始输入与口径'!I130),"",'原始输入与口径'!I130)</x:f>
        <x:v>2025-01-02_6</x:v>
      </x:c>
      <x:c r="AU128" s="19" t="n">
        <x:f>IF(ISBLANK('原始输入与口径'!J130),"",'原始输入与口径'!J130)</x:f>
        <x:v>60</x:v>
      </x:c>
      <x:c r="AV128" s="18" t="str">
        <x:f>IF(ISBLANK('原始输入与口径'!BB130),"",'原始输入与口径'!BB130)</x:f>
        <x:v>OK</x:v>
      </x:c>
    </x:row>
    <x:row r="129" ht="21" customHeight="1">
      <x:c r="A129" s="17" t="n">
        <x:f>45659.270833333336</x:f>
        <x:v>45659.270833333336</x:v>
      </x:c>
      <x:c r="B129" s="23" t="n">
        <x:f>IF(ISNUMBER('原始输入与口径'!H131),'原始输入与口径'!H131,"缺失")</x:f>
        <x:v>72.84</x:v>
      </x:c>
      <x:c r="C129" s="23" t="str">
        <x:f>IF(ISNUMBER('原始输入与口径'!R131),'原始输入与口径'!R131,"缺失")</x:f>
        <x:v>缺失</x:v>
      </x:c>
      <x:c r="D129" s="23" t="n">
        <x:f>IF(ISNUMBER('原始输入与口径'!W131),'原始输入与口径'!W131,"缺失")</x:f>
        <x:v>13.831647936310086</x:v>
      </x:c>
      <x:c r="E129" s="23" t="n">
        <x:f>IF(ISNUMBER('原始输入与口径'!AB131),'原始输入与口径'!AB131,"缺失")</x:f>
        <x:v>14.710198829939085</x:v>
      </x:c>
      <x:c r="F129" s="23" t="n">
        <x:f>IF(ISNUMBER('原始输入与口径'!AG131),'原始输入与口径'!AG131,"缺失")</x:f>
        <x:v>0</x:v>
      </x:c>
      <x:c r="G129" s="23" t="n">
        <x:f>IF(ISNUMBER('原始输入与口径'!AJ131),'原始输入与口径'!AJ131,"缺失")</x:f>
        <x:v>31.880943286222635</x:v>
      </x:c>
      <x:c r="H129" s="23" t="str">
        <x:f>"未模拟"</x:f>
        <x:v>未模拟</x:v>
      </x:c>
      <x:c r="I129" s="24" t="n">
        <x:f>'原始输入与口径'!BD131</x:f>
        <x:v>189.3487324956521</x:v>
      </x:c>
      <x:c r="J129" s="24" t="n">
        <x:f>'原始输入与口径'!BE131</x:f>
        <x:v>189.89015249565207</x:v>
      </x:c>
      <x:c r="K129" s="24" t="n">
        <x:f>'原始输入与口径'!BF131</x:f>
        <x:v>0</x:v>
      </x:c>
      <x:c r="L129" s="24" t="n">
        <x:f>'原始输入与口径'!BG131</x:f>
        <x:v>0</x:v>
      </x:c>
      <x:c r="M129" s="24" t="n">
        <x:f>'原始输入与口径'!BH131</x:f>
        <x:v>100</x:v>
      </x:c>
      <x:c r="N129" s="24" t="n">
        <x:f>'原始输入与口径'!BI131</x:f>
        <x:v>100</x:v>
      </x:c>
      <x:c r="O129" s="24" t="n">
        <x:f>M129*AE129*AC129</x:f>
        <x:v>0</x:v>
      </x:c>
      <x:c r="P129" s="24" t="n">
        <x:f>N129*AF129*AC129</x:f>
        <x:v>0.5885</x:v>
      </x:c>
      <x:c r="Q129" s="25" t="n">
        <x:f>IF(K129=0,0,IF(ISNUMBER(B129),K129*AC129*B129,NA()))</x:f>
        <x:v>0</x:v>
      </x:c>
      <x:c r="R129" s="25" t="n">
        <x:f>IF(L129=0,0,IF(ISNUMBER(C129),L129*AC129*C129*AD129,NA()))</x:f>
        <x:v>0</x:v>
      </x:c>
      <x:c r="S129" s="25" t="n">
        <x:f>IF(M129=0,0,IF(ISNUMBER(D129),M129*AC129*D129*AD129,NA()))</x:f>
        <x:v>345.7911984077521</x:v>
      </x:c>
      <x:c r="T129" s="25" t="n">
        <x:f>IF(N129=0,0,IF(ISNUMBER(E129),N129*AC129*E129*AD129,NA()))</x:f>
        <x:v>367.7549707484771</x:v>
      </x:c>
      <x:c r="U129" s="25" t="n">
        <x:f>IF(O129=0,0,IF(ISNUMBER(F129),O129*F129,NA()))</x:f>
        <x:v>0</x:v>
      </x:c>
      <x:c r="V129" s="25" t="n">
        <x:f>IF(P129=0,0,IF(ISNUMBER(G129),-P129*G129,NA()))</x:f>
        <x:v>-18.76193512394202</x:v>
      </x:c>
      <x:c r="W129" s="25" t="n">
        <x:f>SUM(Q129:V129)</x:f>
        <x:v>694.7842340322871</x:v>
      </x:c>
      <x:c r="X129" s="18" t="n">
        <x:f>'原始输入与口径'!BR131</x:f>
        <x:v>694.7842340322871</x:v>
      </x:c>
      <x:c r="Y129" s="18" t="n">
        <x:f>W129-X129</x:f>
        <x:v>0</x:v>
      </x:c>
      <x:c r="Z129" s="18" t="str">
        <x:f>"1月2日计划｜本窗新增"</x:f>
        <x:v>1月2日计划｜本窗新增</x:v>
      </x:c>
      <x:c r="AA129" s="19" t="n">
        <x:f>IF('原始输入与口径'!AW131,1,0)</x:f>
        <x:v>1</x:v>
      </x:c>
      <x:c r="AB129" s="19" t="n">
        <x:f>IF('原始输入与口径'!AY131,1,0)</x:f>
        <x:v>0</x:v>
      </x:c>
      <x:c r="AC129" s="18" t="n">
        <x:f>'原始输入与口径'!E131</x:f>
        <x:v>0.25</x:v>
      </x:c>
      <x:c r="AD129" s="20" t="n">
        <x:f>'原始输入与口径'!$F$5</x:f>
        <x:v>1</x:v>
      </x:c>
      <x:c r="AE129" s="20" t="n">
        <x:f>IF(AA129=0,0,AI129/(AG129*AC129))</x:f>
        <x:v>0</x:v>
      </x:c>
      <x:c r="AF129" s="20" t="n">
        <x:f>IF(AA129=0,0,AJ129/(AH129*AC129))</x:f>
        <x:v>0.023540000000000002</x:v>
      </x:c>
      <x:c r="AG129" s="18" t="n">
        <x:f>IF(ISNUMBER('原始输入与口径'!T131),'原始输入与口径'!T131,"缺失")</x:f>
        <x:v>193</x:v>
      </x:c>
      <x:c r="AH129" s="18" t="n">
        <x:f>IF(ISNUMBER('原始输入与口径'!Y131),'原始输入与口径'!Y131,"缺失")</x:f>
        <x:v>200</x:v>
      </x:c>
      <x:c r="AI129" s="18" t="n">
        <x:f>IF(ISNUMBER('原始输入与口径'!AI131),'原始输入与口径'!AI131,"缺失")</x:f>
        <x:v>0</x:v>
      </x:c>
      <x:c r="AJ129" s="18" t="n">
        <x:f>IF(ISNUMBER('原始输入与口径'!AL131),'原始输入与口径'!AL131,"缺失")</x:f>
        <x:v>1.177</x:v>
      </x:c>
      <x:c r="AK129" s="18" t="str">
        <x:f>IF(ISNUMBER('原始输入与口径'!O131),'原始输入与口径'!O131,"缺失")</x:f>
        <x:v>缺失</x:v>
      </x:c>
      <x:c r="AL129" s="18" t="n">
        <x:f>SUMIFS('相位SOC复算'!$N$7:$N$443,'相位SOC复算'!$S$7:$S$443,123)</x:f>
        <x:v>0.0015039444444444445</x:v>
      </x:c>
      <x:c r="AM129" s="18" t="n">
        <x:f>SUMIFS('相位SOC复算'!$Q$7:$Q$443,'相位SOC复算'!$S$7:$S$443,123)</x:f>
        <x:v>0.5885</x:v>
      </x:c>
      <x:c r="AN129" s="18" t="n">
        <x:f>SUMIFS('相位SOC复算'!$R$7:$R$443,'相位SOC复算'!$S$7:$S$443,123)</x:f>
        <x:v>0</x:v>
      </x:c>
      <x:c r="AO129" s="18" t="n">
        <x:f>'相位SOC复算'!J294</x:f>
        <x:v>189.8901524956521</x:v>
      </x:c>
      <x:c r="AP129" s="18" t="n">
        <x:f>AO129-J129</x:f>
        <x:v>2.842170943040401e-14</x:v>
      </x:c>
      <x:c r="AQ129" s="18" t="n">
        <x:f>IF(ISBLANK('原始输入与口径'!M131),"",'原始输入与口径'!M131)</x:f>
        <x:v>4.9741</x:v>
      </x:c>
      <x:c r="AR129" s="21" t="n">
        <x:f>IF(ISBLANK('原始输入与口径'!L131),"",'原始输入与口径'!L131)</x:f>
        <x:v>45657</x:v>
      </x:c>
      <x:c r="AS129" s="17" t="n">
        <x:f>IF(ISBLANK('原始输入与口径'!A131),"",'原始输入与口径'!A131)</x:f>
        <x:v>45659.1875</x:v>
      </x:c>
      <x:c r="AT129" s="18" t="str">
        <x:f>IF(ISBLANK('原始输入与口径'!I131),"",'原始输入与口径'!I131)</x:f>
        <x:v>2025-01-02_6</x:v>
      </x:c>
      <x:c r="AU129" s="19" t="n">
        <x:f>IF(ISBLANK('原始输入与口径'!J131),"",'原始输入与口径'!J131)</x:f>
        <x:v>60</x:v>
      </x:c>
      <x:c r="AV129" s="18" t="str">
        <x:f>IF(ISBLANK('原始输入与口径'!BB131),"",'原始输入与口径'!BB131)</x:f>
        <x:v>OK</x:v>
      </x:c>
    </x:row>
    <x:row r="130" ht="21" customHeight="1">
      <x:c r="A130" s="17" t="n">
        <x:f>45659.28125</x:f>
        <x:v>45659.28125</x:v>
      </x:c>
      <x:c r="B130" s="23" t="n">
        <x:f>IF(ISNUMBER('原始输入与口径'!H132),'原始输入与口径'!H132,"缺失")</x:f>
        <x:v>72.84</x:v>
      </x:c>
      <x:c r="C130" s="23" t="str">
        <x:f>IF(ISNUMBER('原始输入与口径'!R132),'原始输入与口径'!R132,"缺失")</x:f>
        <x:v>缺失</x:v>
      </x:c>
      <x:c r="D130" s="23" t="n">
        <x:f>IF(ISNUMBER('原始输入与口径'!W132),'原始输入与口径'!W132,"缺失")</x:f>
        <x:v>13.831647936310086</x:v>
      </x:c>
      <x:c r="E130" s="23" t="n">
        <x:f>IF(ISNUMBER('原始输入与口径'!AB132),'原始输入与口径'!AB132,"缺失")</x:f>
        <x:v>14.710198829939085</x:v>
      </x:c>
      <x:c r="F130" s="23" t="n">
        <x:f>IF(ISNUMBER('原始输入与口径'!AG132),'原始输入与口径'!AG132,"缺失")</x:f>
        <x:v>139.16788966848276</x:v>
      </x:c>
      <x:c r="G130" s="23" t="n">
        <x:f>IF(ISNUMBER('原始输入与口径'!AJ132),'原始输入与口径'!AJ132,"缺失")</x:f>
        <x:v>58.3020043827024</x:v>
      </x:c>
      <x:c r="H130" s="23" t="str">
        <x:f>"未模拟"</x:f>
        <x:v>未模拟</x:v>
      </x:c>
      <x:c r="I130" s="24" t="n">
        <x:f>'原始输入与口径'!BD132</x:f>
        <x:v>189.89015249565207</x:v>
      </x:c>
      <x:c r="J130" s="24" t="n">
        <x:f>'原始输入与口径'!BE132</x:f>
        <x:v>187.6313133697228</x:v>
      </x:c>
      <x:c r="K130" s="24" t="n">
        <x:f>'原始输入与口径'!BF132</x:f>
        <x:v>0</x:v>
      </x:c>
      <x:c r="L130" s="24" t="n">
        <x:f>'原始输入与口径'!BG132</x:f>
        <x:v>0</x:v>
      </x:c>
      <x:c r="M130" s="24" t="n">
        <x:f>'原始输入与口径'!BH132</x:f>
        <x:v>100</x:v>
      </x:c>
      <x:c r="N130" s="24" t="n">
        <x:f>'原始输入与口径'!BI132</x:f>
        <x:v>100</x:v>
      </x:c>
      <x:c r="O130" s="24" t="n">
        <x:f>M130*AE130*AC130</x:f>
        <x:v>2.098445595854922</x:v>
      </x:c>
      <x:c r="P130" s="24" t="n">
        <x:f>N130*AF130*AC130</x:f>
        <x:v>0.024</x:v>
      </x:c>
      <x:c r="Q130" s="25" t="n">
        <x:f>IF(K130=0,0,IF(ISNUMBER(B130),K130*AC130*B130,NA()))</x:f>
        <x:v>0</x:v>
      </x:c>
      <x:c r="R130" s="25" t="n">
        <x:f>IF(L130=0,0,IF(ISNUMBER(C130),L130*AC130*C130*AD130,NA()))</x:f>
        <x:v>0</x:v>
      </x:c>
      <x:c r="S130" s="25" t="n">
        <x:f>IF(M130=0,0,IF(ISNUMBER(D130),M130*AC130*D130*AD130,NA()))</x:f>
        <x:v>345.7911984077521</x:v>
      </x:c>
      <x:c r="T130" s="25" t="n">
        <x:f>IF(N130=0,0,IF(ISNUMBER(E130),N130*AC130*E130*AD130,NA()))</x:f>
        <x:v>367.7549707484771</x:v>
      </x:c>
      <x:c r="U130" s="25" t="n">
        <x:f>IF(O130=0,0,IF(ISNUMBER(F130),O130*F130,NA()))</x:f>
        <x:v>292.0362451592514</x:v>
      </x:c>
      <x:c r="V130" s="25" t="n">
        <x:f>IF(P130=0,0,IF(ISNUMBER(G130),-P130*G130,NA()))</x:f>
        <x:v>-1.3992481051848575</x:v>
      </x:c>
      <x:c r="W130" s="25" t="n">
        <x:f>SUM(Q130:V130)</x:f>
        <x:v>1004.1831662102958</x:v>
      </x:c>
      <x:c r="X130" s="18" t="n">
        <x:f>'原始输入与口径'!BR132</x:f>
        <x:v>1004.1831662102958</x:v>
      </x:c>
      <x:c r="Y130" s="18" t="n">
        <x:f>W130-X130</x:f>
        <x:v>0</x:v>
      </x:c>
      <x:c r="Z130" s="18" t="str">
        <x:f>"1月2日计划｜本窗新增"</x:f>
        <x:v>1月2日计划｜本窗新增</x:v>
      </x:c>
      <x:c r="AA130" s="19" t="n">
        <x:f>IF('原始输入与口径'!AW132,1,0)</x:f>
        <x:v>1</x:v>
      </x:c>
      <x:c r="AB130" s="19" t="n">
        <x:f>IF('原始输入与口径'!AY132,1,0)</x:f>
        <x:v>0</x:v>
      </x:c>
      <x:c r="AC130" s="18" t="n">
        <x:f>'原始输入与口径'!E132</x:f>
        <x:v>0.25</x:v>
      </x:c>
      <x:c r="AD130" s="20" t="n">
        <x:f>'原始输入与口径'!$F$5</x:f>
        <x:v>1</x:v>
      </x:c>
      <x:c r="AE130" s="20" t="n">
        <x:f>IF(AA130=0,0,AI130/(AG130*AC130))</x:f>
        <x:v>0.08393782383419689</x:v>
      </x:c>
      <x:c r="AF130" s="20" t="n">
        <x:f>IF(AA130=0,0,AJ130/(AH130*AC130))</x:f>
        <x:v>0.00096</x:v>
      </x:c>
      <x:c r="AG130" s="18" t="n">
        <x:f>IF(ISNUMBER('原始输入与口径'!T132),'原始输入与口径'!T132,"缺失")</x:f>
        <x:v>193</x:v>
      </x:c>
      <x:c r="AH130" s="18" t="n">
        <x:f>IF(ISNUMBER('原始输入与口径'!Y132),'原始输入与口径'!Y132,"缺失")</x:f>
        <x:v>200</x:v>
      </x:c>
      <x:c r="AI130" s="18" t="n">
        <x:f>IF(ISNUMBER('原始输入与口径'!AI132),'原始输入与口径'!AI132,"缺失")</x:f>
        <x:v>4.05</x:v>
      </x:c>
      <x:c r="AJ130" s="18" t="n">
        <x:f>IF(ISNUMBER('原始输入与口径'!AL132),'原始输入与口径'!AL132,"缺失")</x:f>
        <x:v>0.048</x:v>
      </x:c>
      <x:c r="AK130" s="18" t="str">
        <x:f>IF(ISNUMBER('原始输入与口径'!O132),'原始输入与口径'!O132,"缺失")</x:f>
        <x:v>缺失</x:v>
      </x:c>
      <x:c r="AL130" s="18" t="n">
        <x:f>SUMIFS('相位SOC复算'!$N$7:$N$443,'相位SOC复算'!$S$7:$S$443,124)</x:f>
        <x:v>0.006397219794247953</x:v>
      </x:c>
      <x:c r="AM130" s="18" t="n">
        <x:f>SUMIFS('相位SOC复算'!$Q$7:$Q$443,'相位SOC复算'!$S$7:$S$443,124)</x:f>
        <x:v>0.024</x:v>
      </x:c>
      <x:c r="AN130" s="18" t="n">
        <x:f>SUMIFS('相位SOC复算'!$R$7:$R$443,'相位SOC复算'!$S$7:$S$443,124)</x:f>
        <x:v>2.098445595854922</x:v>
      </x:c>
      <x:c r="AO130" s="18" t="n">
        <x:f>'相位SOC复算'!J297</x:f>
        <x:v>187.63131336972282</x:v>
      </x:c>
      <x:c r="AP130" s="18" t="n">
        <x:f>AO130-J130</x:f>
        <x:v>2.842170943040401e-14</x:v>
      </x:c>
      <x:c r="AQ130" s="18" t="n">
        <x:f>IF(ISBLANK('原始输入与口径'!M132),"",'原始输入与口径'!M132)</x:f>
        <x:v>4.9741</x:v>
      </x:c>
      <x:c r="AR130" s="21" t="n">
        <x:f>IF(ISBLANK('原始输入与口径'!L132),"",'原始输入与口径'!L132)</x:f>
        <x:v>45657</x:v>
      </x:c>
      <x:c r="AS130" s="17" t="n">
        <x:f>IF(ISBLANK('原始输入与口径'!A132),"",'原始输入与口径'!A132)</x:f>
        <x:v>45659.197916666664</x:v>
      </x:c>
      <x:c r="AT130" s="18" t="str">
        <x:f>IF(ISBLANK('原始输入与口径'!I132),"",'原始输入与口径'!I132)</x:f>
        <x:v>2025-01-02_6</x:v>
      </x:c>
      <x:c r="AU130" s="19" t="n">
        <x:f>IF(ISBLANK('原始输入与口径'!J132),"",'原始输入与口径'!J132)</x:f>
        <x:v>60</x:v>
      </x:c>
      <x:c r="AV130" s="18" t="str">
        <x:f>IF(ISBLANK('原始输入与口径'!BB132),"",'原始输入与口径'!BB132)</x:f>
        <x:v>OK</x:v>
      </x:c>
    </x:row>
    <x:row r="131" ht="21" customHeight="1">
      <x:c r="A131" s="17" t="n">
        <x:f>45659.291666666664</x:f>
        <x:v>45659.291666666664</x:v>
      </x:c>
      <x:c r="B131" s="23" t="n">
        <x:f>IF(ISNUMBER('原始输入与口径'!H133),'原始输入与口径'!H133,"缺失")</x:f>
        <x:v>114.75</x:v>
      </x:c>
      <x:c r="C131" s="23" t="str">
        <x:f>IF(ISNUMBER('原始输入与口径'!R133),'原始输入与口径'!R133,"缺失")</x:f>
        <x:v>缺失</x:v>
      </x:c>
      <x:c r="D131" s="23" t="n">
        <x:f>IF(ISNUMBER('原始输入与口径'!W133),'原始输入与口径'!W133,"缺失")</x:f>
        <x:v>13.831647936310086</x:v>
      </x:c>
      <x:c r="E131" s="23" t="n">
        <x:f>IF(ISNUMBER('原始输入与口径'!AB133),'原始输入与口径'!AB133,"缺失")</x:f>
        <x:v>14.710198829939085</x:v>
      </x:c>
      <x:c r="F131" s="23" t="n">
        <x:f>IF(ISNUMBER('原始输入与口径'!AG133),'原始输入与口径'!AG133,"缺失")</x:f>
        <x:v>134.6512937013731</x:v>
      </x:c>
      <x:c r="G131" s="23" t="n">
        <x:f>IF(ISNUMBER('原始输入与口径'!AJ133),'原始输入与口径'!AJ133,"缺失")</x:f>
        <x:v>19.651997346253594</x:v>
      </x:c>
      <x:c r="H131" s="23" t="str">
        <x:f>"未模拟"</x:f>
        <x:v>未模拟</x:v>
      </x:c>
      <x:c r="I131" s="24" t="n">
        <x:f>'原始输入与口径'!BD133</x:f>
        <x:v>187.6313133697228</x:v>
      </x:c>
      <x:c r="J131" s="24" t="n">
        <x:f>'原始输入与口径'!BE133</x:f>
        <x:v>186.32943861525854</x:v>
      </x:c>
      <x:c r="K131" s="24" t="n">
        <x:f>'原始输入与口径'!BF133</x:f>
        <x:v>13.420107886130486</x:v>
      </x:c>
      <x:c r="L131" s="24" t="n">
        <x:f>'原始输入与口径'!BG133</x:f>
        <x:v>0</x:v>
      </x:c>
      <x:c r="M131" s="24" t="n">
        <x:f>'原始输入与口径'!BH133</x:f>
        <x:v>86</x:v>
      </x:c>
      <x:c r="N131" s="24" t="n">
        <x:f>'原始输入与口径'!BI133</x:f>
        <x:v>100</x:v>
      </x:c>
      <x:c r="O131" s="24" t="n">
        <x:f>M131*AE131*AC131</x:f>
        <x:v>0.07438999999999998</x:v>
      </x:c>
      <x:c r="P131" s="24" t="n">
        <x:f>N131*AF131*AC131</x:f>
        <x:v>2.574</x:v>
      </x:c>
      <x:c r="Q131" s="25" t="n">
        <x:f>IF(K131=0,0,IF(ISNUMBER(B131),K131*AC131*B131,NA()))</x:f>
        <x:v>384.9893449833683</x:v>
      </x:c>
      <x:c r="R131" s="25" t="n">
        <x:f>IF(L131=0,0,IF(ISNUMBER(C131),L131*AC131*C131*AD131,NA()))</x:f>
        <x:v>0</x:v>
      </x:c>
      <x:c r="S131" s="25" t="n">
        <x:f>IF(M131=0,0,IF(ISNUMBER(D131),M131*AC131*D131*AD131,NA()))</x:f>
        <x:v>297.38043063066686</x:v>
      </x:c>
      <x:c r="T131" s="25" t="n">
        <x:f>IF(N131=0,0,IF(ISNUMBER(E131),N131*AC131*E131*AD131,NA()))</x:f>
        <x:v>367.7549707484771</x:v>
      </x:c>
      <x:c r="U131" s="25" t="n">
        <x:f>IF(O131=0,0,IF(ISNUMBER(F131),O131*F131,NA()))</x:f>
        <x:v>10.016709738445144</x:v>
      </x:c>
      <x:c r="V131" s="25" t="n">
        <x:f>IF(P131=0,0,IF(ISNUMBER(G131),-P131*G131,NA()))</x:f>
        <x:v>-50.58424116925675</x:v>
      </x:c>
      <x:c r="W131" s="25" t="n">
        <x:f>SUM(Q131:V131)</x:f>
        <x:v>1009.5572149317006</x:v>
      </x:c>
      <x:c r="X131" s="18" t="n">
        <x:f>'原始输入与口径'!BR133</x:f>
        <x:v>1009.5572149317006</x:v>
      </x:c>
      <x:c r="Y131" s="18" t="n">
        <x:f>W131-X131</x:f>
        <x:v>0</x:v>
      </x:c>
      <x:c r="Z131" s="18" t="str">
        <x:f>"1月2日计划｜本窗新增"</x:f>
        <x:v>1月2日计划｜本窗新增</x:v>
      </x:c>
      <x:c r="AA131" s="19" t="n">
        <x:f>IF('原始输入与口径'!AW133,1,0)</x:f>
        <x:v>1</x:v>
      </x:c>
      <x:c r="AB131" s="19" t="n">
        <x:f>IF('原始输入与口径'!AY133,1,0)</x:f>
        <x:v>0</x:v>
      </x:c>
      <x:c r="AC131" s="18" t="n">
        <x:f>'原始输入与口径'!E133</x:f>
        <x:v>0.25</x:v>
      </x:c>
      <x:c r="AD131" s="20" t="n">
        <x:f>'原始输入与口径'!$F$5</x:f>
        <x:v>1</x:v>
      </x:c>
      <x:c r="AE131" s="20" t="n">
        <x:f>IF(AA131=0,0,AI131/(AG131*AC131))</x:f>
        <x:v>0.0034599999999999995</x:v>
      </x:c>
      <x:c r="AF131" s="20" t="n">
        <x:f>IF(AA131=0,0,AJ131/(AH131*AC131))</x:f>
        <x:v>0.10296</x:v>
      </x:c>
      <x:c r="AG131" s="18" t="n">
        <x:f>IF(ISNUMBER('原始输入与口径'!T133),'原始输入与口径'!T133,"缺失")</x:f>
        <x:v>200</x:v>
      </x:c>
      <x:c r="AH131" s="18" t="n">
        <x:f>IF(ISNUMBER('原始输入与口径'!Y133),'原始输入与口径'!Y133,"缺失")</x:f>
        <x:v>200</x:v>
      </x:c>
      <x:c r="AI131" s="18" t="n">
        <x:f>IF(ISNUMBER('原始输入与口径'!AI133),'原始输入与口径'!AI133,"缺失")</x:f>
        <x:v>0.173</x:v>
      </x:c>
      <x:c r="AJ131" s="18" t="n">
        <x:f>IF(ISNUMBER('原始输入与口径'!AL133),'原始输入与口径'!AL133,"缺失")</x:f>
        <x:v>5.148</x:v>
      </x:c>
      <x:c r="AK131" s="18" t="str">
        <x:f>IF(ISNUMBER('原始输入与口径'!O133),'原始输入与口径'!O133,"缺失")</x:f>
        <x:v>缺失</x:v>
      </x:c>
      <x:c r="AL131" s="18" t="n">
        <x:f>SUMIFS('相位SOC复算'!$N$7:$N$443,'相位SOC复算'!$S$7:$S$443,125)</x:f>
        <x:v>0.015006769368901371</x:v>
      </x:c>
      <x:c r="AM131" s="18" t="n">
        <x:f>SUMIFS('相位SOC复算'!$Q$7:$Q$443,'相位SOC复算'!$S$7:$S$443,125)</x:f>
        <x:v>2.228566423011001</x:v>
      </x:c>
      <x:c r="AN131" s="18" t="n">
        <x:f>SUMIFS('相位SOC复算'!$R$7:$R$443,'相位SOC复算'!$S$7:$S$443,125)</x:f>
        <x:v>3.083983394543623</x:v>
      </x:c>
      <x:c r="AO131" s="18" t="n">
        <x:f>'相位SOC复算'!J300</x:f>
        <x:v>186.32943861525857</x:v>
      </x:c>
      <x:c r="AP131" s="18" t="n">
        <x:f>AO131-J131</x:f>
        <x:v>2.842170943040401e-14</x:v>
      </x:c>
      <x:c r="AQ131" s="18" t="n">
        <x:f>IF(ISBLANK('原始输入与口径'!M133),"",'原始输入与口径'!M133)</x:f>
        <x:v>4.9741</x:v>
      </x:c>
      <x:c r="AR131" s="21" t="n">
        <x:f>IF(ISBLANK('原始输入与口径'!L133),"",'原始输入与口径'!L133)</x:f>
        <x:v>45657</x:v>
      </x:c>
      <x:c r="AS131" s="17" t="n">
        <x:f>IF(ISBLANK('原始输入与口径'!A133),"",'原始输入与口径'!A133)</x:f>
        <x:v>45659.208333333336</x:v>
      </x:c>
      <x:c r="AT131" s="18" t="str">
        <x:f>IF(ISBLANK('原始输入与口径'!I133),"",'原始输入与口径'!I133)</x:f>
        <x:v>2025-01-02_7</x:v>
      </x:c>
      <x:c r="AU131" s="19" t="n">
        <x:f>IF(ISBLANK('原始输入与口径'!J133),"",'原始输入与口径'!J133)</x:f>
        <x:v>60</x:v>
      </x:c>
      <x:c r="AV131" s="18" t="str">
        <x:f>IF(ISBLANK('原始输入与口径'!BB133),"",'原始输入与口径'!BB133)</x:f>
        <x:v>OK</x:v>
      </x:c>
    </x:row>
    <x:row r="132" ht="21" customHeight="1">
      <x:c r="A132" s="17" t="n">
        <x:f>45659.302083333336</x:f>
        <x:v>45659.302083333336</x:v>
      </x:c>
      <x:c r="B132" s="23" t="n">
        <x:f>IF(ISNUMBER('原始输入与口径'!H134),'原始输入与口径'!H134,"缺失")</x:f>
        <x:v>114.75</x:v>
      </x:c>
      <x:c r="C132" s="23" t="str">
        <x:f>IF(ISNUMBER('原始输入与口径'!R134),'原始输入与口径'!R134,"缺失")</x:f>
        <x:v>缺失</x:v>
      </x:c>
      <x:c r="D132" s="23" t="n">
        <x:f>IF(ISNUMBER('原始输入与口径'!W134),'原始输入与口径'!W134,"缺失")</x:f>
        <x:v>13.831647936310086</x:v>
      </x:c>
      <x:c r="E132" s="23" t="n">
        <x:f>IF(ISNUMBER('原始输入与口径'!AB134),'原始输入与口径'!AB134,"缺失")</x:f>
        <x:v>14.710198829939085</x:v>
      </x:c>
      <x:c r="F132" s="23" t="n">
        <x:f>IF(ISNUMBER('原始输入与口径'!AG134),'原始输入与口径'!AG134,"缺失")</x:f>
        <x:v>0</x:v>
      </x:c>
      <x:c r="G132" s="23" t="n">
        <x:f>IF(ISNUMBER('原始输入与口径'!AJ134),'原始输入与口径'!AJ134,"缺失")</x:f>
        <x:v>22.712651534951046</x:v>
      </x:c>
      <x:c r="H132" s="23" t="str">
        <x:f>"未模拟"</x:f>
        <x:v>未模拟</x:v>
      </x:c>
      <x:c r="I132" s="24" t="n">
        <x:f>'原始输入与口径'!BD134</x:f>
        <x:v>186.32943861525854</x:v>
      </x:c>
      <x:c r="J132" s="24" t="n">
        <x:f>'原始输入与口径'!BE134</x:f>
        <x:v>183.53978819332747</x:v>
      </x:c>
      <x:c r="K132" s="24" t="n">
        <x:f>'原始输入与口径'!BF134</x:f>
        <x:v>13.420107886130486</x:v>
      </x:c>
      <x:c r="L132" s="24" t="n">
        <x:f>'原始输入与口径'!BG134</x:f>
        <x:v>0</x:v>
      </x:c>
      <x:c r="M132" s="24" t="n">
        <x:f>'原始输入与口径'!BH134</x:f>
        <x:v>86</x:v>
      </x:c>
      <x:c r="N132" s="24" t="n">
        <x:f>'原始输入与口径'!BI134</x:f>
        <x:v>100</x:v>
      </x:c>
      <x:c r="O132" s="24" t="n">
        <x:f>M132*AE132*AC132</x:f>
        <x:v>0</x:v>
      </x:c>
      <x:c r="P132" s="24" t="n">
        <x:f>N132*AF132*AC132</x:f>
        <x:v>0.9094999999999999</x:v>
      </x:c>
      <x:c r="Q132" s="25" t="n">
        <x:f>IF(K132=0,0,IF(ISNUMBER(B132),K132*AC132*B132,NA()))</x:f>
        <x:v>384.9893449833683</x:v>
      </x:c>
      <x:c r="R132" s="25" t="n">
        <x:f>IF(L132=0,0,IF(ISNUMBER(C132),L132*AC132*C132*AD132,NA()))</x:f>
        <x:v>0</x:v>
      </x:c>
      <x:c r="S132" s="25" t="n">
        <x:f>IF(M132=0,0,IF(ISNUMBER(D132),M132*AC132*D132*AD132,NA()))</x:f>
        <x:v>297.38043063066686</x:v>
      </x:c>
      <x:c r="T132" s="25" t="n">
        <x:f>IF(N132=0,0,IF(ISNUMBER(E132),N132*AC132*E132*AD132,NA()))</x:f>
        <x:v>367.7549707484771</x:v>
      </x:c>
      <x:c r="U132" s="25" t="n">
        <x:f>IF(O132=0,0,IF(ISNUMBER(F132),O132*F132,NA()))</x:f>
        <x:v>0</x:v>
      </x:c>
      <x:c r="V132" s="25" t="n">
        <x:f>IF(P132=0,0,IF(ISNUMBER(G132),-P132*G132,NA()))</x:f>
        <x:v>-20.657156571037973</x:v>
      </x:c>
      <x:c r="W132" s="25" t="n">
        <x:f>SUM(Q132:V132)</x:f>
        <x:v>1029.4675897914742</x:v>
      </x:c>
      <x:c r="X132" s="18" t="n">
        <x:f>'原始输入与口径'!BR134</x:f>
        <x:v>1029.4675897914742</x:v>
      </x:c>
      <x:c r="Y132" s="18" t="n">
        <x:f>W132-X132</x:f>
        <x:v>0</x:v>
      </x:c>
      <x:c r="Z132" s="18" t="str">
        <x:f>"1月2日计划｜本窗新增"</x:f>
        <x:v>1月2日计划｜本窗新增</x:v>
      </x:c>
      <x:c r="AA132" s="19" t="n">
        <x:f>IF('原始输入与口径'!AW134,1,0)</x:f>
        <x:v>1</x:v>
      </x:c>
      <x:c r="AB132" s="19" t="n">
        <x:f>IF('原始输入与口径'!AY134,1,0)</x:f>
        <x:v>0</x:v>
      </x:c>
      <x:c r="AC132" s="18" t="n">
        <x:f>'原始输入与口径'!E134</x:f>
        <x:v>0.25</x:v>
      </x:c>
      <x:c r="AD132" s="20" t="n">
        <x:f>'原始输入与口径'!$F$5</x:f>
        <x:v>1</x:v>
      </x:c>
      <x:c r="AE132" s="20" t="n">
        <x:f>IF(AA132=0,0,AI132/(AG132*AC132))</x:f>
        <x:v>0</x:v>
      </x:c>
      <x:c r="AF132" s="20" t="n">
        <x:f>IF(AA132=0,0,AJ132/(AH132*AC132))</x:f>
        <x:v>0.036379999999999996</x:v>
      </x:c>
      <x:c r="AG132" s="18" t="n">
        <x:f>IF(ISNUMBER('原始输入与口径'!T134),'原始输入与口径'!T134,"缺失")</x:f>
        <x:v>200</x:v>
      </x:c>
      <x:c r="AH132" s="18" t="n">
        <x:f>IF(ISNUMBER('原始输入与口径'!Y134),'原始输入与口径'!Y134,"缺失")</x:f>
        <x:v>200</x:v>
      </x:c>
      <x:c r="AI132" s="18" t="n">
        <x:f>IF(ISNUMBER('原始输入与口径'!AI134),'原始输入与口径'!AI134,"缺失")</x:f>
        <x:v>0</x:v>
      </x:c>
      <x:c r="AJ132" s="18" t="n">
        <x:f>IF(ISNUMBER('原始输入与口径'!AL134),'原始输入与口径'!AL134,"缺失")</x:f>
        <x:v>1.819</x:v>
      </x:c>
      <x:c r="AK132" s="18" t="str">
        <x:f>IF(ISNUMBER('原始输入与口径'!O134),'原始输入与口径'!O134,"缺失")</x:f>
        <x:v>缺失</x:v>
      </x:c>
      <x:c r="AL132" s="18" t="n">
        <x:f>SUMIFS('相位SOC复算'!$N$7:$N$443,'相位SOC复算'!$S$7:$S$443,126)</x:f>
        <x:v>0.011773743334661742</x:v>
      </x:c>
      <x:c r="AM132" s="18" t="n">
        <x:f>SUMIFS('相位SOC复算'!$Q$7:$Q$443,'相位SOC复算'!$S$7:$S$443,126)</x:f>
        <x:v>0.7874441187756431</x:v>
      </x:c>
      <x:c r="AN132" s="18" t="n">
        <x:f>SUMIFS('相位SOC复算'!$R$7:$R$443,'相位SOC复算'!$S$7:$S$443,126)</x:f>
        <x:v>3.232971090308265</x:v>
      </x:c>
      <x:c r="AO132" s="18" t="n">
        <x:f>'相位SOC复算'!J302</x:f>
        <x:v>183.5397881933275</x:v>
      </x:c>
      <x:c r="AP132" s="18" t="n">
        <x:f>AO132-J132</x:f>
        <x:v>2.842170943040401e-14</x:v>
      </x:c>
      <x:c r="AQ132" s="18" t="n">
        <x:f>IF(ISBLANK('原始输入与口径'!M134),"",'原始输入与口径'!M134)</x:f>
        <x:v>4.9741</x:v>
      </x:c>
      <x:c r="AR132" s="21" t="n">
        <x:f>IF(ISBLANK('原始输入与口径'!L134),"",'原始输入与口径'!L134)</x:f>
        <x:v>45657</x:v>
      </x:c>
      <x:c r="AS132" s="17" t="n">
        <x:f>IF(ISBLANK('原始输入与口径'!A134),"",'原始输入与口径'!A134)</x:f>
        <x:v>45659.21875</x:v>
      </x:c>
      <x:c r="AT132" s="18" t="str">
        <x:f>IF(ISBLANK('原始输入与口径'!I134),"",'原始输入与口径'!I134)</x:f>
        <x:v>2025-01-02_7</x:v>
      </x:c>
      <x:c r="AU132" s="19" t="n">
        <x:f>IF(ISBLANK('原始输入与口径'!J134),"",'原始输入与口径'!J134)</x:f>
        <x:v>60</x:v>
      </x:c>
      <x:c r="AV132" s="18" t="str">
        <x:f>IF(ISBLANK('原始输入与口径'!BB134),"",'原始输入与口径'!BB134)</x:f>
        <x:v>OK</x:v>
      </x:c>
    </x:row>
    <x:row r="133" ht="21" customHeight="1">
      <x:c r="A133" s="17" t="n">
        <x:f>45659.3125</x:f>
        <x:v>45659.3125</x:v>
      </x:c>
      <x:c r="B133" s="23" t="n">
        <x:f>IF(ISNUMBER('原始输入与口径'!H135),'原始输入与口径'!H135,"缺失")</x:f>
        <x:v>114.75</x:v>
      </x:c>
      <x:c r="C133" s="23" t="str">
        <x:f>IF(ISNUMBER('原始输入与口径'!R135),'原始输入与口径'!R135,"缺失")</x:f>
        <x:v>缺失</x:v>
      </x:c>
      <x:c r="D133" s="23" t="n">
        <x:f>IF(ISNUMBER('原始输入与口径'!W135),'原始输入与口径'!W135,"缺失")</x:f>
        <x:v>13.831647936310086</x:v>
      </x:c>
      <x:c r="E133" s="23" t="n">
        <x:f>IF(ISNUMBER('原始输入与口径'!AB135),'原始输入与口径'!AB135,"缺失")</x:f>
        <x:v>14.710198829939085</x:v>
      </x:c>
      <x:c r="F133" s="23" t="n">
        <x:f>IF(ISNUMBER('原始输入与口径'!AG135),'原始输入与口径'!AG135,"缺失")</x:f>
        <x:v>0</x:v>
      </x:c>
      <x:c r="G133" s="23" t="n">
        <x:f>IF(ISNUMBER('原始输入与口径'!AJ135),'原始输入与口径'!AJ135,"缺失")</x:f>
        <x:v>21.76172573932973</x:v>
      </x:c>
      <x:c r="H133" s="23" t="str">
        <x:f>"未模拟"</x:f>
        <x:v>未模拟</x:v>
      </x:c>
      <x:c r="I133" s="24" t="n">
        <x:f>'原始输入与口径'!BD135</x:f>
        <x:v>183.53978819332747</x:v>
      </x:c>
      <x:c r="J133" s="24" t="n">
        <x:f>'原始输入与口径'!BE135</x:f>
        <x:v>182.2504477179782</x:v>
      </x:c>
      <x:c r="K133" s="24" t="n">
        <x:f>'原始输入与口径'!BF135</x:f>
        <x:v>13.420107886130486</x:v>
      </x:c>
      <x:c r="L133" s="24" t="n">
        <x:f>'原始输入与口径'!BG135</x:f>
        <x:v>0</x:v>
      </x:c>
      <x:c r="M133" s="24" t="n">
        <x:f>'原始输入与口径'!BH135</x:f>
        <x:v>86</x:v>
      </x:c>
      <x:c r="N133" s="24" t="n">
        <x:f>'原始输入与口径'!BI135</x:f>
        <x:v>100</x:v>
      </x:c>
      <x:c r="O133" s="24" t="n">
        <x:f>M133*AE133*AC133</x:f>
        <x:v>0</x:v>
      </x:c>
      <x:c r="P133" s="24" t="n">
        <x:f>N133*AF133*AC133</x:f>
        <x:v>2.5015</x:v>
      </x:c>
      <x:c r="Q133" s="25" t="n">
        <x:f>IF(K133=0,0,IF(ISNUMBER(B133),K133*AC133*B133,NA()))</x:f>
        <x:v>384.9893449833683</x:v>
      </x:c>
      <x:c r="R133" s="25" t="n">
        <x:f>IF(L133=0,0,IF(ISNUMBER(C133),L133*AC133*C133*AD133,NA()))</x:f>
        <x:v>0</x:v>
      </x:c>
      <x:c r="S133" s="25" t="n">
        <x:f>IF(M133=0,0,IF(ISNUMBER(D133),M133*AC133*D133*AD133,NA()))</x:f>
        <x:v>297.38043063066686</x:v>
      </x:c>
      <x:c r="T133" s="25" t="n">
        <x:f>IF(N133=0,0,IF(ISNUMBER(E133),N133*AC133*E133*AD133,NA()))</x:f>
        <x:v>367.7549707484771</x:v>
      </x:c>
      <x:c r="U133" s="25" t="n">
        <x:f>IF(O133=0,0,IF(ISNUMBER(F133),O133*F133,NA()))</x:f>
        <x:v>0</x:v>
      </x:c>
      <x:c r="V133" s="25" t="n">
        <x:f>IF(P133=0,0,IF(ISNUMBER(G133),-P133*G133,NA()))</x:f>
        <x:v>-54.43695693693332</x:v>
      </x:c>
      <x:c r="W133" s="25" t="n">
        <x:f>SUM(Q133:V133)</x:f>
        <x:v>995.6877894255789</x:v>
      </x:c>
      <x:c r="X133" s="18" t="n">
        <x:f>'原始输入与口径'!BR135</x:f>
        <x:v>995.6877894255789</x:v>
      </x:c>
      <x:c r="Y133" s="18" t="n">
        <x:f>W133-X133</x:f>
        <x:v>0</x:v>
      </x:c>
      <x:c r="Z133" s="18" t="str">
        <x:f>"1月2日计划｜本窗新增"</x:f>
        <x:v>1月2日计划｜本窗新增</x:v>
      </x:c>
      <x:c r="AA133" s="19" t="n">
        <x:f>IF('原始输入与口径'!AW135,1,0)</x:f>
        <x:v>1</x:v>
      </x:c>
      <x:c r="AB133" s="19" t="n">
        <x:f>IF('原始输入与口径'!AY135,1,0)</x:f>
        <x:v>0</x:v>
      </x:c>
      <x:c r="AC133" s="18" t="n">
        <x:f>'原始输入与口径'!E135</x:f>
        <x:v>0.25</x:v>
      </x:c>
      <x:c r="AD133" s="20" t="n">
        <x:f>'原始输入与口径'!$F$5</x:f>
        <x:v>1</x:v>
      </x:c>
      <x:c r="AE133" s="20" t="n">
        <x:f>IF(AA133=0,0,AI133/(AG133*AC133))</x:f>
        <x:v>0</x:v>
      </x:c>
      <x:c r="AF133" s="20" t="n">
        <x:f>IF(AA133=0,0,AJ133/(AH133*AC133))</x:f>
        <x:v>0.10006</x:v>
      </x:c>
      <x:c r="AG133" s="18" t="n">
        <x:f>IF(ISNUMBER('原始输入与口径'!T135),'原始输入与口径'!T135,"缺失")</x:f>
        <x:v>200</x:v>
      </x:c>
      <x:c r="AH133" s="18" t="n">
        <x:f>IF(ISNUMBER('原始输入与口径'!Y135),'原始输入与口径'!Y135,"缺失")</x:f>
        <x:v>200</x:v>
      </x:c>
      <x:c r="AI133" s="18" t="n">
        <x:f>IF(ISNUMBER('原始输入与口径'!AI135),'原始输入与口径'!AI135,"缺失")</x:f>
        <x:v>0</x:v>
      </x:c>
      <x:c r="AJ133" s="18" t="n">
        <x:f>IF(ISNUMBER('原始输入与口径'!AL135),'原始输入与口径'!AL135,"缺失")</x:f>
        <x:v>5.003</x:v>
      </x:c>
      <x:c r="AK133" s="18" t="str">
        <x:f>IF(ISNUMBER('原始输入与口径'!O135),'原始输入与口径'!O135,"缺失")</x:f>
        <x:v>缺失</x:v>
      </x:c>
      <x:c r="AL133" s="18" t="n">
        <x:f>SUMIFS('相位SOC复算'!$N$7:$N$443,'相位SOC复算'!$S$7:$S$443,127)</x:f>
        <x:v>0.014651125326693309</x:v>
      </x:c>
      <x:c r="AM133" s="18" t="n">
        <x:f>SUMIFS('相位SOC复算'!$Q$7:$Q$443,'相位SOC复算'!$S$7:$S$443,127)</x:f>
        <x:v>2.165796001228446</x:v>
      </x:c>
      <x:c r="AN133" s="18" t="n">
        <x:f>SUMIFS('相位SOC复算'!$R$7:$R$443,'相位SOC复算'!$S$7:$S$443,127)</x:f>
        <x:v>3.019322972761067</x:v>
      </x:c>
      <x:c r="AO133" s="18" t="n">
        <x:f>'相位SOC复算'!J304</x:f>
        <x:v>182.25044771797823</x:v>
      </x:c>
      <x:c r="AP133" s="18" t="n">
        <x:f>AO133-J133</x:f>
        <x:v>2.842170943040401e-14</x:v>
      </x:c>
      <x:c r="AQ133" s="18" t="n">
        <x:f>IF(ISBLANK('原始输入与口径'!M135),"",'原始输入与口径'!M135)</x:f>
        <x:v>4.9741</x:v>
      </x:c>
      <x:c r="AR133" s="21" t="n">
        <x:f>IF(ISBLANK('原始输入与口径'!L135),"",'原始输入与口径'!L135)</x:f>
        <x:v>45657</x:v>
      </x:c>
      <x:c r="AS133" s="17" t="n">
        <x:f>IF(ISBLANK('原始输入与口径'!A135),"",'原始输入与口径'!A135)</x:f>
        <x:v>45659.229166666664</x:v>
      </x:c>
      <x:c r="AT133" s="18" t="str">
        <x:f>IF(ISBLANK('原始输入与口径'!I135),"",'原始输入与口径'!I135)</x:f>
        <x:v>2025-01-02_7</x:v>
      </x:c>
      <x:c r="AU133" s="19" t="n">
        <x:f>IF(ISBLANK('原始输入与口径'!J135),"",'原始输入与口径'!J135)</x:f>
        <x:v>60</x:v>
      </x:c>
      <x:c r="AV133" s="18" t="str">
        <x:f>IF(ISBLANK('原始输入与口径'!BB135),"",'原始输入与口径'!BB135)</x:f>
        <x:v>OK</x:v>
      </x:c>
    </x:row>
    <x:row r="134" ht="21" customHeight="1">
      <x:c r="A134" s="17" t="n">
        <x:f>45659.322916666664</x:f>
        <x:v>45659.322916666664</x:v>
      </x:c>
      <x:c r="B134" s="23" t="n">
        <x:f>IF(ISNUMBER('原始输入与口径'!H136),'原始输入与口径'!H136,"缺失")</x:f>
        <x:v>114.75</x:v>
      </x:c>
      <x:c r="C134" s="23" t="str">
        <x:f>IF(ISNUMBER('原始输入与口径'!R136),'原始输入与口径'!R136,"缺失")</x:f>
        <x:v>缺失</x:v>
      </x:c>
      <x:c r="D134" s="23" t="n">
        <x:f>IF(ISNUMBER('原始输入与口径'!W136),'原始输入与口径'!W136,"缺失")</x:f>
        <x:v>13.831647936310086</x:v>
      </x:c>
      <x:c r="E134" s="23" t="n">
        <x:f>IF(ISNUMBER('原始输入与口径'!AB136),'原始输入与口径'!AB136,"缺失")</x:f>
        <x:v>14.710198829939085</x:v>
      </x:c>
      <x:c r="F134" s="23" t="n">
        <x:f>IF(ISNUMBER('原始输入与口径'!AG136),'原始输入与口径'!AG136,"缺失")</x:f>
        <x:v>0</x:v>
      </x:c>
      <x:c r="G134" s="23" t="n">
        <x:f>IF(ISNUMBER('原始输入与口径'!AJ136),'原始输入与口径'!AJ136,"缺失")</x:f>
        <x:v>12.849962807342033</x:v>
      </x:c>
      <x:c r="H134" s="23" t="str">
        <x:f>"未模拟"</x:f>
        <x:v>未模拟</x:v>
      </x:c>
      <x:c r="I134" s="24" t="n">
        <x:f>'原始输入与口径'!BD136</x:f>
        <x:v>182.2504477179782</x:v>
      </x:c>
      <x:c r="J134" s="24" t="n">
        <x:f>'原始输入与口径'!BE136</x:f>
        <x:v>184.85088695652112</x:v>
      </x:c>
      <x:c r="K134" s="24" t="n">
        <x:f>'原始输入与口径'!BF136</x:f>
        <x:v>13.420107886130486</x:v>
      </x:c>
      <x:c r="L134" s="24" t="n">
        <x:f>'原始输入与口径'!BG136</x:f>
        <x:v>0</x:v>
      </x:c>
      <x:c r="M134" s="24" t="n">
        <x:f>'原始输入与口径'!BH136</x:f>
        <x:v>86</x:v>
      </x:c>
      <x:c r="N134" s="24" t="n">
        <x:f>'原始输入与口径'!BI136</x:f>
        <x:v>100</x:v>
      </x:c>
      <x:c r="O134" s="24" t="n">
        <x:f>M134*AE134*AC134</x:f>
        <x:v>0</x:v>
      </x:c>
      <x:c r="P134" s="24" t="n">
        <x:f>N134*AF134*AC134</x:f>
        <x:v>6.6290000000000004</x:v>
      </x:c>
      <x:c r="Q134" s="25" t="n">
        <x:f>IF(K134=0,0,IF(ISNUMBER(B134),K134*AC134*B134,NA()))</x:f>
        <x:v>384.9893449833683</x:v>
      </x:c>
      <x:c r="R134" s="25" t="n">
        <x:f>IF(L134=0,0,IF(ISNUMBER(C134),L134*AC134*C134*AD134,NA()))</x:f>
        <x:v>0</x:v>
      </x:c>
      <x:c r="S134" s="25" t="n">
        <x:f>IF(M134=0,0,IF(ISNUMBER(D134),M134*AC134*D134*AD134,NA()))</x:f>
        <x:v>297.38043063066686</x:v>
      </x:c>
      <x:c r="T134" s="25" t="n">
        <x:f>IF(N134=0,0,IF(ISNUMBER(E134),N134*AC134*E134*AD134,NA()))</x:f>
        <x:v>367.7549707484771</x:v>
      </x:c>
      <x:c r="U134" s="25" t="n">
        <x:f>IF(O134=0,0,IF(ISNUMBER(F134),O134*F134,NA()))</x:f>
        <x:v>0</x:v>
      </x:c>
      <x:c r="V134" s="25" t="n">
        <x:f>IF(P134=0,0,IF(ISNUMBER(G134),-P134*G134,NA()))</x:f>
        <x:v>-85.18240344987034</x:v>
      </x:c>
      <x:c r="W134" s="25" t="n">
        <x:f>SUM(Q134:V134)</x:f>
        <x:v>964.942342912642</x:v>
      </x:c>
      <x:c r="X134" s="18" t="n">
        <x:f>'原始输入与口径'!BR136</x:f>
        <x:v>964.942342912642</x:v>
      </x:c>
      <x:c r="Y134" s="18" t="n">
        <x:f>W134-X134</x:f>
        <x:v>0</x:v>
      </x:c>
      <x:c r="Z134" s="18" t="str">
        <x:f>"1月2日计划｜本窗新增"</x:f>
        <x:v>1月2日计划｜本窗新增</x:v>
      </x:c>
      <x:c r="AA134" s="19" t="n">
        <x:f>IF('原始输入与口径'!AW136,1,0)</x:f>
        <x:v>1</x:v>
      </x:c>
      <x:c r="AB134" s="19" t="n">
        <x:f>IF('原始输入与口径'!AY136,1,0)</x:f>
        <x:v>0</x:v>
      </x:c>
      <x:c r="AC134" s="18" t="n">
        <x:f>'原始输入与口径'!E136</x:f>
        <x:v>0.25</x:v>
      </x:c>
      <x:c r="AD134" s="20" t="n">
        <x:f>'原始输入与口径'!$F$5</x:f>
        <x:v>1</x:v>
      </x:c>
      <x:c r="AE134" s="20" t="n">
        <x:f>IF(AA134=0,0,AI134/(AG134*AC134))</x:f>
        <x:v>0</x:v>
      </x:c>
      <x:c r="AF134" s="20" t="n">
        <x:f>IF(AA134=0,0,AJ134/(AH134*AC134))</x:f>
        <x:v>0.26516</x:v>
      </x:c>
      <x:c r="AG134" s="18" t="n">
        <x:f>IF(ISNUMBER('原始输入与口径'!T136),'原始输入与口径'!T136,"缺失")</x:f>
        <x:v>200</x:v>
      </x:c>
      <x:c r="AH134" s="18" t="n">
        <x:f>IF(ISNUMBER('原始输入与口径'!Y136),'原始输入与口径'!Y136,"缺失")</x:f>
        <x:v>200</x:v>
      </x:c>
      <x:c r="AI134" s="18" t="n">
        <x:f>IF(ISNUMBER('原始输入与口径'!AI136),'原始输入与口径'!AI136,"缺失")</x:f>
        <x:v>0</x:v>
      </x:c>
      <x:c r="AJ134" s="18" t="n">
        <x:f>IF(ISNUMBER('原始输入与口径'!AL136),'原始输入与口径'!AL136,"缺失")</x:f>
        <x:v>13.258</x:v>
      </x:c>
      <x:c r="AK134" s="18" t="str">
        <x:f>IF(ISNUMBER('原始输入与口径'!O136),'原始输入与口径'!O136,"缺失")</x:f>
        <x:v>缺失</x:v>
      </x:c>
      <x:c r="AL134" s="18" t="n">
        <x:f>SUMIFS('相位SOC复算'!$N$7:$N$443,'相位SOC复算'!$S$7:$S$443,128)</x:f>
        <x:v>0.02211117191721485</x:v>
      </x:c>
      <x:c r="AM134" s="18" t="n">
        <x:f>SUMIFS('相位SOC复算'!$Q$7:$Q$443,'相位SOC复算'!$S$7:$S$443,128)</x:f>
        <x:v>5.73938104822841</x:v>
      </x:c>
      <x:c r="AN134" s="18" t="n">
        <x:f>SUMIFS('相位SOC复算'!$R$7:$R$443,'相位SOC复算'!$S$7:$S$443,128)</x:f>
        <x:v>2.4654080197610315</x:v>
      </x:c>
      <x:c r="AO134" s="18" t="n">
        <x:f>'相位SOC复算'!J306</x:f>
        <x:v>184.85088695652115</x:v>
      </x:c>
      <x:c r="AP134" s="18" t="n">
        <x:f>AO134-J134</x:f>
        <x:v>2.842170943040401e-14</x:v>
      </x:c>
      <x:c r="AQ134" s="18" t="n">
        <x:f>IF(ISBLANK('原始输入与口径'!M136),"",'原始输入与口径'!M136)</x:f>
        <x:v>4.9741</x:v>
      </x:c>
      <x:c r="AR134" s="21" t="n">
        <x:f>IF(ISBLANK('原始输入与口径'!L136),"",'原始输入与口径'!L136)</x:f>
        <x:v>45657</x:v>
      </x:c>
      <x:c r="AS134" s="17" t="n">
        <x:f>IF(ISBLANK('原始输入与口径'!A136),"",'原始输入与口径'!A136)</x:f>
        <x:v>45659.239583333336</x:v>
      </x:c>
      <x:c r="AT134" s="18" t="str">
        <x:f>IF(ISBLANK('原始输入与口径'!I136),"",'原始输入与口径'!I136)</x:f>
        <x:v>2025-01-02_7</x:v>
      </x:c>
      <x:c r="AU134" s="19" t="n">
        <x:f>IF(ISBLANK('原始输入与口径'!J136),"",'原始输入与口径'!J136)</x:f>
        <x:v>60</x:v>
      </x:c>
      <x:c r="AV134" s="18" t="str">
        <x:f>IF(ISBLANK('原始输入与口径'!BB136),"",'原始输入与口径'!BB136)</x:f>
        <x:v>OK</x:v>
      </x:c>
    </x:row>
    <x:row r="135" ht="21" customHeight="1">
      <x:c r="A135" s="17" t="n">
        <x:f>45659.333333333336</x:f>
        <x:v>45659.333333333336</x:v>
      </x:c>
      <x:c r="B135" s="23" t="n">
        <x:f>IF(ISNUMBER('原始输入与口径'!H137),'原始输入与口径'!H137,"缺失")</x:f>
        <x:v>139</x:v>
      </x:c>
      <x:c r="C135" s="23" t="str">
        <x:f>IF(ISNUMBER('原始输入与口径'!R137),'原始输入与口径'!R137,"缺失")</x:f>
        <x:v>缺失</x:v>
      </x:c>
      <x:c r="D135" s="23" t="n">
        <x:f>IF(ISNUMBER('原始输入与口径'!W137),'原始输入与口径'!W137,"缺失")</x:f>
        <x:v>13.831647936310086</x:v>
      </x:c>
      <x:c r="E135" s="23" t="n">
        <x:f>IF(ISNUMBER('原始输入与口径'!AB137),'原始输入与口径'!AB137,"缺失")</x:f>
        <x:v>14.676021792887155</x:v>
      </x:c>
      <x:c r="F135" s="23" t="n">
        <x:f>IF(ISNUMBER('原始输入与口径'!AG137),'原始输入与口径'!AG137,"缺失")</x:f>
        <x:v>0</x:v>
      </x:c>
      <x:c r="G135" s="23" t="n">
        <x:f>IF(ISNUMBER('原始输入与口径'!AJ137),'原始输入与口径'!AJ137,"缺失")</x:f>
        <x:v>0.20365493255061215</x:v>
      </x:c>
      <x:c r="H135" s="23" t="str">
        <x:f>"未模拟"</x:f>
        <x:v>未模拟</x:v>
      </x:c>
      <x:c r="I135" s="24" t="n">
        <x:f>'原始输入与口径'!BD137</x:f>
        <x:v>184.85088695652112</x:v>
      </x:c>
      <x:c r="J135" s="24" t="n">
        <x:f>'原始输入与口径'!BE137</x:f>
        <x:v>182.18127217391242</x:v>
      </x:c>
      <x:c r="K135" s="24" t="n">
        <x:f>'原始输入与口径'!BF137</x:f>
        <x:v>49.999999999999986</x:v>
      </x:c>
      <x:c r="L135" s="24" t="n">
        <x:f>'原始输入与口径'!BG137</x:f>
        <x:v>0</x:v>
      </x:c>
      <x:c r="M135" s="24" t="n">
        <x:f>'原始输入与口径'!BH137</x:f>
        <x:v>50</x:v>
      </x:c>
      <x:c r="N135" s="24" t="n">
        <x:f>'原始输入与口径'!BI137</x:f>
        <x:v>100</x:v>
      </x:c>
      <x:c r="O135" s="24" t="n">
        <x:f>M135*AE135*AC135</x:f>
        <x:v>0</x:v>
      </x:c>
      <x:c r="P135" s="24" t="n">
        <x:f>N135*AF135*AC135</x:f>
        <x:v>10.8795</x:v>
      </x:c>
      <x:c r="Q135" s="25" t="n">
        <x:f>IF(K135=0,0,IF(ISNUMBER(B135),K135*AC135*B135,NA()))</x:f>
        <x:v>1737.4999999999995</x:v>
      </x:c>
      <x:c r="R135" s="25" t="n">
        <x:f>IF(L135=0,0,IF(ISNUMBER(C135),L135*AC135*C135*AD135,NA()))</x:f>
        <x:v>0</x:v>
      </x:c>
      <x:c r="S135" s="25" t="n">
        <x:f>IF(M135=0,0,IF(ISNUMBER(D135),M135*AC135*D135*AD135,NA()))</x:f>
        <x:v>172.89559920387606</x:v>
      </x:c>
      <x:c r="T135" s="25" t="n">
        <x:f>IF(N135=0,0,IF(ISNUMBER(E135),N135*AC135*E135*AD135,NA()))</x:f>
        <x:v>366.90054482217886</x:v>
      </x:c>
      <x:c r="U135" s="25" t="n">
        <x:f>IF(O135=0,0,IF(ISNUMBER(F135),O135*F135,NA()))</x:f>
        <x:v>0</x:v>
      </x:c>
      <x:c r="V135" s="25" t="n">
        <x:f>IF(P135=0,0,IF(ISNUMBER(G135),-P135*G135,NA()))</x:f>
        <x:v>-2.2156638386843848</x:v>
      </x:c>
      <x:c r="W135" s="25" t="n">
        <x:f>SUM(Q135:V135)</x:f>
        <x:v>2275.08048018737</x:v>
      </x:c>
      <x:c r="X135" s="18" t="n">
        <x:f>'原始输入与口径'!BR137</x:f>
        <x:v>2275.08048018737</x:v>
      </x:c>
      <x:c r="Y135" s="18" t="n">
        <x:f>W135-X135</x:f>
        <x:v>0</x:v>
      </x:c>
      <x:c r="Z135" s="18" t="str">
        <x:f>"1月2日计划｜本窗新增"</x:f>
        <x:v>1月2日计划｜本窗新增</x:v>
      </x:c>
      <x:c r="AA135" s="19" t="n">
        <x:f>IF('原始输入与口径'!AW137,1,0)</x:f>
        <x:v>1</x:v>
      </x:c>
      <x:c r="AB135" s="19" t="n">
        <x:f>IF('原始输入与口径'!AY137,1,0)</x:f>
        <x:v>0</x:v>
      </x:c>
      <x:c r="AC135" s="18" t="n">
        <x:f>'原始输入与口径'!E137</x:f>
        <x:v>0.25</x:v>
      </x:c>
      <x:c r="AD135" s="20" t="n">
        <x:f>'原始输入与口径'!$F$5</x:f>
        <x:v>1</x:v>
      </x:c>
      <x:c r="AE135" s="20" t="n">
        <x:f>IF(AA135=0,0,AI135/(AG135*AC135))</x:f>
        <x:v>0</x:v>
      </x:c>
      <x:c r="AF135" s="20" t="n">
        <x:f>IF(AA135=0,0,AJ135/(AH135*AC135))</x:f>
        <x:v>0.43518</x:v>
      </x:c>
      <x:c r="AG135" s="18" t="n">
        <x:f>IF(ISNUMBER('原始输入与口径'!T137),'原始输入与口径'!T137,"缺失")</x:f>
        <x:v>200</x:v>
      </x:c>
      <x:c r="AH135" s="18" t="n">
        <x:f>IF(ISNUMBER('原始输入与口径'!Y137),'原始输入与口径'!Y137,"缺失")</x:f>
        <x:v>200</x:v>
      </x:c>
      <x:c r="AI135" s="18" t="n">
        <x:f>IF(ISNUMBER('原始输入与口径'!AI137),'原始输入与口径'!AI137,"缺失")</x:f>
        <x:v>0</x:v>
      </x:c>
      <x:c r="AJ135" s="18" t="n">
        <x:f>IF(ISNUMBER('原始输入与口径'!AL137),'原始输入与口径'!AL137,"缺失")</x:f>
        <x:v>21.759</x:v>
      </x:c>
      <x:c r="AK135" s="18" t="str">
        <x:f>IF(ISNUMBER('原始输入与口径'!O137),'原始输入与口径'!O137,"缺失")</x:f>
        <x:v>缺失</x:v>
      </x:c>
      <x:c r="AL135" s="18" t="n">
        <x:f>SUMIFS('相位SOC复算'!$N$7:$N$443,'相位SOC复算'!$S$7:$S$443,129)</x:f>
        <x:v>0.03521876328502416</x:v>
      </x:c>
      <x:c r="AM135" s="18" t="n">
        <x:f>SUMIFS('相位SOC复算'!$Q$7:$Q$443,'相位SOC复算'!$S$7:$S$443,129)</x:f>
        <x:v>5.439750000000002</x:v>
      </x:c>
      <x:c r="AN135" s="18" t="n">
        <x:f>SUMIFS('相位SOC复算'!$R$7:$R$443,'相位SOC复算'!$S$7:$S$443,129)</x:f>
        <x:v>7.060249999999998</x:v>
      </x:c>
      <x:c r="AO135" s="18" t="n">
        <x:f>'相位SOC复算'!J308</x:f>
        <x:v>182.18127217391245</x:v>
      </x:c>
      <x:c r="AP135" s="18" t="n">
        <x:f>AO135-J135</x:f>
        <x:v>2.842170943040401e-14</x:v>
      </x:c>
      <x:c r="AQ135" s="18" t="n">
        <x:f>IF(ISBLANK('原始输入与口径'!M137),"",'原始输入与口径'!M137)</x:f>
        <x:v>4.9741</x:v>
      </x:c>
      <x:c r="AR135" s="21" t="n">
        <x:f>IF(ISBLANK('原始输入与口径'!L137),"",'原始输入与口径'!L137)</x:f>
        <x:v>45657</x:v>
      </x:c>
      <x:c r="AS135" s="17" t="n">
        <x:f>IF(ISBLANK('原始输入与口径'!A137),"",'原始输入与口径'!A137)</x:f>
        <x:v>45659.25</x:v>
      </x:c>
      <x:c r="AT135" s="18" t="str">
        <x:f>IF(ISBLANK('原始输入与口径'!I137),"",'原始输入与口径'!I137)</x:f>
        <x:v>2025-01-02_8</x:v>
      </x:c>
      <x:c r="AU135" s="19" t="n">
        <x:f>IF(ISBLANK('原始输入与口径'!J137),"",'原始输入与口径'!J137)</x:f>
        <x:v>60</x:v>
      </x:c>
      <x:c r="AV135" s="18" t="str">
        <x:f>IF(ISBLANK('原始输入与口径'!BB137),"",'原始输入与口径'!BB137)</x:f>
        <x:v>OK</x:v>
      </x:c>
    </x:row>
    <x:row r="136" ht="21" customHeight="1">
      <x:c r="A136" s="17" t="n">
        <x:f>45659.34375</x:f>
        <x:v>45659.34375</x:v>
      </x:c>
      <x:c r="B136" s="23" t="n">
        <x:f>IF(ISNUMBER('原始输入与口径'!H138),'原始输入与口径'!H138,"缺失")</x:f>
        <x:v>139</x:v>
      </x:c>
      <x:c r="C136" s="23" t="str">
        <x:f>IF(ISNUMBER('原始输入与口径'!R138),'原始输入与口径'!R138,"缺失")</x:f>
        <x:v>缺失</x:v>
      </x:c>
      <x:c r="D136" s="23" t="n">
        <x:f>IF(ISNUMBER('原始输入与口径'!W138),'原始输入与口径'!W138,"缺失")</x:f>
        <x:v>13.831647936310086</x:v>
      </x:c>
      <x:c r="E136" s="23" t="n">
        <x:f>IF(ISNUMBER('原始输入与口径'!AB138),'原始输入与口径'!AB138,"缺失")</x:f>
        <x:v>14.676021792887155</x:v>
      </x:c>
      <x:c r="F136" s="23" t="n">
        <x:f>IF(ISNUMBER('原始输入与口径'!AG138),'原始输入与口径'!AG138,"缺失")</x:f>
        <x:v>0</x:v>
      </x:c>
      <x:c r="G136" s="23" t="n">
        <x:f>IF(ISNUMBER('原始输入与口径'!AJ138),'原始输入与口径'!AJ138,"缺失")</x:f>
        <x:v>5.414044751814399</x:v>
      </x:c>
      <x:c r="H136" s="23" t="str">
        <x:f>"未模拟"</x:f>
        <x:v>未模拟</x:v>
      </x:c>
      <x:c r="I136" s="24" t="n">
        <x:f>'原始输入与口径'!BD138</x:f>
        <x:v>182.18127217391242</x:v>
      </x:c>
      <x:c r="J136" s="24" t="n">
        <x:f>'原始输入与口径'!BE138</x:f>
        <x:v>175.56648260869503</x:v>
      </x:c>
      <x:c r="K136" s="24" t="n">
        <x:f>'原始输入与口径'!BF138</x:f>
        <x:v>49.999999999999986</x:v>
      </x:c>
      <x:c r="L136" s="24" t="n">
        <x:f>'原始输入与口径'!BG138</x:f>
        <x:v>0</x:v>
      </x:c>
      <x:c r="M136" s="24" t="n">
        <x:f>'原始输入与口径'!BH138</x:f>
        <x:v>50</x:v>
      </x:c>
      <x:c r="N136" s="24" t="n">
        <x:f>'原始输入与口径'!BI138</x:f>
        <x:v>100</x:v>
      </x:c>
      <x:c r="O136" s="24" t="n">
        <x:f>M136*AE136*AC136</x:f>
        <x:v>0</x:v>
      </x:c>
      <x:c r="P136" s="24" t="n">
        <x:f>N136*AF136*AC136</x:f>
        <x:v>6.948</x:v>
      </x:c>
      <x:c r="Q136" s="25" t="n">
        <x:f>IF(K136=0,0,IF(ISNUMBER(B136),K136*AC136*B136,NA()))</x:f>
        <x:v>1737.4999999999995</x:v>
      </x:c>
      <x:c r="R136" s="25" t="n">
        <x:f>IF(L136=0,0,IF(ISNUMBER(C136),L136*AC136*C136*AD136,NA()))</x:f>
        <x:v>0</x:v>
      </x:c>
      <x:c r="S136" s="25" t="n">
        <x:f>IF(M136=0,0,IF(ISNUMBER(D136),M136*AC136*D136*AD136,NA()))</x:f>
        <x:v>172.89559920387606</x:v>
      </x:c>
      <x:c r="T136" s="25" t="n">
        <x:f>IF(N136=0,0,IF(ISNUMBER(E136),N136*AC136*E136*AD136,NA()))</x:f>
        <x:v>366.90054482217886</x:v>
      </x:c>
      <x:c r="U136" s="25" t="n">
        <x:f>IF(O136=0,0,IF(ISNUMBER(F136),O136*F136,NA()))</x:f>
        <x:v>0</x:v>
      </x:c>
      <x:c r="V136" s="25" t="n">
        <x:f>IF(P136=0,0,IF(ISNUMBER(G136),-P136*G136,NA()))</x:f>
        <x:v>-37.616782935606444</x:v>
      </x:c>
      <x:c r="W136" s="25" t="n">
        <x:f>SUM(Q136:V136)</x:f>
        <x:v>2239.6793610904483</x:v>
      </x:c>
      <x:c r="X136" s="18" t="n">
        <x:f>'原始输入与口径'!BR138</x:f>
        <x:v>2239.679361090448</x:v>
      </x:c>
      <x:c r="Y136" s="18" t="n">
        <x:f>W136-X136</x:f>
        <x:v>4.547473508864641e-13</x:v>
      </x:c>
      <x:c r="Z136" s="18" t="str">
        <x:f>"1月2日计划｜本窗新增"</x:f>
        <x:v>1月2日计划｜本窗新增</x:v>
      </x:c>
      <x:c r="AA136" s="19" t="n">
        <x:f>IF('原始输入与口径'!AW138,1,0)</x:f>
        <x:v>1</x:v>
      </x:c>
      <x:c r="AB136" s="19" t="n">
        <x:f>IF('原始输入与口径'!AY138,1,0)</x:f>
        <x:v>0</x:v>
      </x:c>
      <x:c r="AC136" s="18" t="n">
        <x:f>'原始输入与口径'!E138</x:f>
        <x:v>0.25</x:v>
      </x:c>
      <x:c r="AD136" s="20" t="n">
        <x:f>'原始输入与口径'!$F$5</x:f>
        <x:v>1</x:v>
      </x:c>
      <x:c r="AE136" s="20" t="n">
        <x:f>IF(AA136=0,0,AI136/(AG136*AC136))</x:f>
        <x:v>0</x:v>
      </x:c>
      <x:c r="AF136" s="20" t="n">
        <x:f>IF(AA136=0,0,AJ136/(AH136*AC136))</x:f>
        <x:v>0.27792</x:v>
      </x:c>
      <x:c r="AG136" s="18" t="n">
        <x:f>IF(ISNUMBER('原始输入与口径'!T138),'原始输入与口径'!T138,"缺失")</x:f>
        <x:v>200</x:v>
      </x:c>
      <x:c r="AH136" s="18" t="n">
        <x:f>IF(ISNUMBER('原始输入与口径'!Y138),'原始输入与口径'!Y138,"缺失")</x:f>
        <x:v>200</x:v>
      </x:c>
      <x:c r="AI136" s="18" t="n">
        <x:f>IF(ISNUMBER('原始输入与口径'!AI138),'原始输入与口径'!AI138,"缺失")</x:f>
        <x:v>0</x:v>
      </x:c>
      <x:c r="AJ136" s="18" t="n">
        <x:f>IF(ISNUMBER('原始输入与口径'!AL138),'原始输入与口径'!AL138,"缺失")</x:f>
        <x:v>13.896</x:v>
      </x:c>
      <x:c r="AK136" s="18" t="str">
        <x:f>IF(ISNUMBER('原始输入与口径'!O138),'原始输入与口径'!O138,"缺失")</x:f>
        <x:v>缺失</x:v>
      </x:c>
      <x:c r="AL136" s="18" t="n">
        <x:f>SUMIFS('相位SOC复算'!$N$7:$N$443,'相位SOC复算'!$S$7:$S$443,130)</x:f>
        <x:v>0.03613041545893719</x:v>
      </x:c>
      <x:c r="AM136" s="18" t="n">
        <x:f>SUMIFS('相位SOC复算'!$Q$7:$Q$443,'相位SOC复算'!$S$7:$S$443,130)</x:f>
        <x:v>3.474000000000001</x:v>
      </x:c>
      <x:c r="AN136" s="18" t="n">
        <x:f>SUMIFS('相位SOC复算'!$R$7:$R$443,'相位SOC复算'!$S$7:$S$443,130)</x:f>
        <x:v>9.025999999999998</x:v>
      </x:c>
      <x:c r="AO136" s="18" t="n">
        <x:f>'相位SOC复算'!J310</x:f>
        <x:v>175.56648260869505</x:v>
      </x:c>
      <x:c r="AP136" s="18" t="n">
        <x:f>AO136-J136</x:f>
        <x:v>2.842170943040401e-14</x:v>
      </x:c>
      <x:c r="AQ136" s="18" t="n">
        <x:f>IF(ISBLANK('原始输入与口径'!M138),"",'原始输入与口径'!M138)</x:f>
        <x:v>4.9741</x:v>
      </x:c>
      <x:c r="AR136" s="21" t="n">
        <x:f>IF(ISBLANK('原始输入与口径'!L138),"",'原始输入与口径'!L138)</x:f>
        <x:v>45657</x:v>
      </x:c>
      <x:c r="AS136" s="17" t="n">
        <x:f>IF(ISBLANK('原始输入与口径'!A138),"",'原始输入与口径'!A138)</x:f>
        <x:v>45659.260416666664</x:v>
      </x:c>
      <x:c r="AT136" s="18" t="str">
        <x:f>IF(ISBLANK('原始输入与口径'!I138),"",'原始输入与口径'!I138)</x:f>
        <x:v>2025-01-02_8</x:v>
      </x:c>
      <x:c r="AU136" s="19" t="n">
        <x:f>IF(ISBLANK('原始输入与口径'!J138),"",'原始输入与口径'!J138)</x:f>
        <x:v>60</x:v>
      </x:c>
      <x:c r="AV136" s="18" t="str">
        <x:f>IF(ISBLANK('原始输入与口径'!BB138),"",'原始输入与口径'!BB138)</x:f>
        <x:v>OK</x:v>
      </x:c>
    </x:row>
    <x:row r="137" ht="21" customHeight="1">
      <x:c r="A137" s="17" t="n">
        <x:f>45659.354166666664</x:f>
        <x:v>45659.354166666664</x:v>
      </x:c>
      <x:c r="B137" s="23" t="n">
        <x:f>IF(ISNUMBER('原始输入与口径'!H139),'原始输入与口径'!H139,"缺失")</x:f>
        <x:v>139</x:v>
      </x:c>
      <x:c r="C137" s="23" t="str">
        <x:f>IF(ISNUMBER('原始输入与口径'!R139),'原始输入与口径'!R139,"缺失")</x:f>
        <x:v>缺失</x:v>
      </x:c>
      <x:c r="D137" s="23" t="n">
        <x:f>IF(ISNUMBER('原始输入与口径'!W139),'原始输入与口径'!W139,"缺失")</x:f>
        <x:v>13.831647936310086</x:v>
      </x:c>
      <x:c r="E137" s="23" t="n">
        <x:f>IF(ISNUMBER('原始输入与口径'!AB139),'原始输入与口径'!AB139,"缺失")</x:f>
        <x:v>14.676021792887155</x:v>
      </x:c>
      <x:c r="F137" s="23" t="n">
        <x:f>IF(ISNUMBER('原始输入与口径'!AG139),'原始输入与口径'!AG139,"缺失")</x:f>
        <x:v>0</x:v>
      </x:c>
      <x:c r="G137" s="23" t="n">
        <x:f>IF(ISNUMBER('原始输入与口径'!AJ139),'原始输入与口径'!AJ139,"缺失")</x:f>
        <x:v>21.846565207776283</x:v>
      </x:c>
      <x:c r="H137" s="23" t="str">
        <x:f>"未模拟"</x:f>
        <x:v>未模拟</x:v>
      </x:c>
      <x:c r="I137" s="24" t="n">
        <x:f>'原始输入与口径'!BD139</x:f>
        <x:v>175.56648260869503</x:v>
      </x:c>
      <x:c r="J137" s="24" t="n">
        <x:f>'原始输入与口径'!BE139</x:f>
        <x:v>163.53341217391244</x:v>
      </x:c>
      <x:c r="K137" s="24" t="n">
        <x:f>'原始输入与口径'!BF139</x:f>
        <x:v>49.999999999999986</x:v>
      </x:c>
      <x:c r="L137" s="24" t="n">
        <x:f>'原始输入与口径'!BG139</x:f>
        <x:v>0</x:v>
      </x:c>
      <x:c r="M137" s="24" t="n">
        <x:f>'原始输入与口径'!BH139</x:f>
        <x:v>50</x:v>
      </x:c>
      <x:c r="N137" s="24" t="n">
        <x:f>'原始输入与口径'!BI139</x:f>
        <x:v>100</x:v>
      </x:c>
      <x:c r="O137" s="24" t="n">
        <x:f>M137*AE137*AC137</x:f>
        <x:v>0</x:v>
      </x:c>
      <x:c r="P137" s="24" t="n">
        <x:f>N137*AF137*AC137</x:f>
        <x:v>1.5485</x:v>
      </x:c>
      <x:c r="Q137" s="25" t="n">
        <x:f>IF(K137=0,0,IF(ISNUMBER(B137),K137*AC137*B137,NA()))</x:f>
        <x:v>1737.4999999999995</x:v>
      </x:c>
      <x:c r="R137" s="25" t="n">
        <x:f>IF(L137=0,0,IF(ISNUMBER(C137),L137*AC137*C137*AD137,NA()))</x:f>
        <x:v>0</x:v>
      </x:c>
      <x:c r="S137" s="25" t="n">
        <x:f>IF(M137=0,0,IF(ISNUMBER(D137),M137*AC137*D137*AD137,NA()))</x:f>
        <x:v>172.89559920387606</x:v>
      </x:c>
      <x:c r="T137" s="25" t="n">
        <x:f>IF(N137=0,0,IF(ISNUMBER(E137),N137*AC137*E137*AD137,NA()))</x:f>
        <x:v>366.90054482217886</x:v>
      </x:c>
      <x:c r="U137" s="25" t="n">
        <x:f>IF(O137=0,0,IF(ISNUMBER(F137),O137*F137,NA()))</x:f>
        <x:v>0</x:v>
      </x:c>
      <x:c r="V137" s="25" t="n">
        <x:f>IF(P137=0,0,IF(ISNUMBER(G137),-P137*G137,NA()))</x:f>
        <x:v>-33.82940622424157</x:v>
      </x:c>
      <x:c r="W137" s="25" t="n">
        <x:f>SUM(Q137:V137)</x:f>
        <x:v>2243.466737801813</x:v>
      </x:c>
      <x:c r="X137" s="18" t="n">
        <x:f>'原始输入与口径'!BR139</x:f>
        <x:v>2243.466737801813</x:v>
      </x:c>
      <x:c r="Y137" s="18" t="n">
        <x:f>W137-X137</x:f>
        <x:v>0</x:v>
      </x:c>
      <x:c r="Z137" s="18" t="str">
        <x:f>"1月2日计划｜本窗新增"</x:f>
        <x:v>1月2日计划｜本窗新增</x:v>
      </x:c>
      <x:c r="AA137" s="19" t="n">
        <x:f>IF('原始输入与口径'!AW139,1,0)</x:f>
        <x:v>1</x:v>
      </x:c>
      <x:c r="AB137" s="19" t="n">
        <x:f>IF('原始输入与口径'!AY139,1,0)</x:f>
        <x:v>0</x:v>
      </x:c>
      <x:c r="AC137" s="18" t="n">
        <x:f>'原始输入与口径'!E139</x:f>
        <x:v>0.25</x:v>
      </x:c>
      <x:c r="AD137" s="20" t="n">
        <x:f>'原始输入与口径'!$F$5</x:f>
        <x:v>1</x:v>
      </x:c>
      <x:c r="AE137" s="20" t="n">
        <x:f>IF(AA137=0,0,AI137/(AG137*AC137))</x:f>
        <x:v>0</x:v>
      </x:c>
      <x:c r="AF137" s="20" t="n">
        <x:f>IF(AA137=0,0,AJ137/(AH137*AC137))</x:f>
        <x:v>0.06194</x:v>
      </x:c>
      <x:c r="AG137" s="18" t="n">
        <x:f>IF(ISNUMBER('原始输入与口径'!T139),'原始输入与口径'!T139,"缺失")</x:f>
        <x:v>200</x:v>
      </x:c>
      <x:c r="AH137" s="18" t="n">
        <x:f>IF(ISNUMBER('原始输入与口径'!Y139),'原始输入与口径'!Y139,"缺失")</x:f>
        <x:v>200</x:v>
      </x:c>
      <x:c r="AI137" s="18" t="n">
        <x:f>IF(ISNUMBER('原始输入与口径'!AI139),'原始输入与口径'!AI139,"缺失")</x:f>
        <x:v>0</x:v>
      </x:c>
      <x:c r="AJ137" s="18" t="n">
        <x:f>IF(ISNUMBER('原始输入与口径'!AL139),'原始输入与口径'!AL139,"缺失")</x:f>
        <x:v>3.097</x:v>
      </x:c>
      <x:c r="AK137" s="18" t="str">
        <x:f>IF(ISNUMBER('原始输入与口径'!O139),'原始输入与口径'!O139,"缺失")</x:f>
        <x:v>缺失</x:v>
      </x:c>
      <x:c r="AL137" s="18" t="n">
        <x:f>SUMIFS('相位SOC复算'!$N$7:$N$443,'相位SOC复算'!$S$7:$S$443,131)</x:f>
        <x:v>0.03738247342995168</x:v>
      </x:c>
      <x:c r="AM137" s="18" t="n">
        <x:f>SUMIFS('相位SOC复算'!$Q$7:$Q$443,'相位SOC复算'!$S$7:$S$443,131)</x:f>
        <x:v>0.7742500000000002</x:v>
      </x:c>
      <x:c r="AN137" s="18" t="n">
        <x:f>SUMIFS('相位SOC复算'!$R$7:$R$443,'相位SOC复算'!$S$7:$S$443,131)</x:f>
        <x:v>11.725749999999996</x:v>
      </x:c>
      <x:c r="AO137" s="18" t="n">
        <x:f>'相位SOC复算'!J312</x:f>
        <x:v>163.53341217391244</x:v>
      </x:c>
      <x:c r="AP137" s="18" t="n">
        <x:f>AO137-J137</x:f>
        <x:v>0</x:v>
      </x:c>
      <x:c r="AQ137" s="18" t="n">
        <x:f>IF(ISBLANK('原始输入与口径'!M139),"",'原始输入与口径'!M139)</x:f>
        <x:v>4.9741</x:v>
      </x:c>
      <x:c r="AR137" s="21" t="n">
        <x:f>IF(ISBLANK('原始输入与口径'!L139),"",'原始输入与口径'!L139)</x:f>
        <x:v>45657</x:v>
      </x:c>
      <x:c r="AS137" s="17" t="n">
        <x:f>IF(ISBLANK('原始输入与口径'!A139),"",'原始输入与口径'!A139)</x:f>
        <x:v>45659.270833333336</x:v>
      </x:c>
      <x:c r="AT137" s="18" t="str">
        <x:f>IF(ISBLANK('原始输入与口径'!I139),"",'原始输入与口径'!I139)</x:f>
        <x:v>2025-01-02_8</x:v>
      </x:c>
      <x:c r="AU137" s="19" t="n">
        <x:f>IF(ISBLANK('原始输入与口径'!J139),"",'原始输入与口径'!J139)</x:f>
        <x:v>60</x:v>
      </x:c>
      <x:c r="AV137" s="18" t="str">
        <x:f>IF(ISBLANK('原始输入与口径'!BB139),"",'原始输入与口径'!BB139)</x:f>
        <x:v>OK</x:v>
      </x:c>
    </x:row>
    <x:row r="138" ht="21" customHeight="1">
      <x:c r="A138" s="17" t="n">
        <x:f>45659.364583333336</x:f>
        <x:v>45659.364583333336</x:v>
      </x:c>
      <x:c r="B138" s="23" t="n">
        <x:f>IF(ISNUMBER('原始输入与口径'!H140),'原始输入与口径'!H140,"缺失")</x:f>
        <x:v>139</x:v>
      </x:c>
      <x:c r="C138" s="23" t="str">
        <x:f>IF(ISNUMBER('原始输入与口径'!R140),'原始输入与口径'!R140,"缺失")</x:f>
        <x:v>缺失</x:v>
      </x:c>
      <x:c r="D138" s="23" t="n">
        <x:f>IF(ISNUMBER('原始输入与口径'!W140),'原始输入与口径'!W140,"缺失")</x:f>
        <x:v>13.831647936310086</x:v>
      </x:c>
      <x:c r="E138" s="23" t="n">
        <x:f>IF(ISNUMBER('原始输入与口径'!AB140),'原始输入与口径'!AB140,"缺失")</x:f>
        <x:v>14.676021792887155</x:v>
      </x:c>
      <x:c r="F138" s="23" t="n">
        <x:f>IF(ISNUMBER('原始输入与口径'!AG140),'原始输入与口径'!AG140,"缺失")</x:f>
        <x:v>90.02191351199212</x:v>
      </x:c>
      <x:c r="G138" s="23" t="n">
        <x:f>IF(ISNUMBER('原始输入与口径'!AJ140),'原始输入与口径'!AJ140,"缺失")</x:f>
        <x:v>37.77768842604692</x:v>
      </x:c>
      <x:c r="H138" s="23" t="str">
        <x:f>"未模拟"</x:f>
        <x:v>未模拟</x:v>
      </x:c>
      <x:c r="I138" s="24" t="n">
        <x:f>'原始输入与口径'!BD140</x:f>
        <x:v>163.53341217391244</x:v>
      </x:c>
      <x:c r="J138" s="24" t="n">
        <x:f>'原始输入与口径'!BE140</x:f>
        <x:v>150.09258782608637</x:v>
      </x:c>
      <x:c r="K138" s="24" t="n">
        <x:f>'原始输入与口径'!BF140</x:f>
        <x:v>49.999999999999986</x:v>
      </x:c>
      <x:c r="L138" s="24" t="n">
        <x:f>'原始输入与口径'!BG140</x:f>
        <x:v>0</x:v>
      </x:c>
      <x:c r="M138" s="24" t="n">
        <x:f>'原始输入与口径'!BH140</x:f>
        <x:v>50</x:v>
      </x:c>
      <x:c r="N138" s="24" t="n">
        <x:f>'原始输入与口径'!BI140</x:f>
        <x:v>100</x:v>
      </x:c>
      <x:c r="O138" s="24" t="n">
        <x:f>M138*AE138*AC138</x:f>
        <x:v>0.0045</x:v>
      </x:c>
      <x:c r="P138" s="24" t="n">
        <x:f>N138*AF138*AC138</x:f>
        <x:v>0.1505</x:v>
      </x:c>
      <x:c r="Q138" s="25" t="n">
        <x:f>IF(K138=0,0,IF(ISNUMBER(B138),K138*AC138*B138,NA()))</x:f>
        <x:v>1737.4999999999995</x:v>
      </x:c>
      <x:c r="R138" s="25" t="n">
        <x:f>IF(L138=0,0,IF(ISNUMBER(C138),L138*AC138*C138*AD138,NA()))</x:f>
        <x:v>0</x:v>
      </x:c>
      <x:c r="S138" s="25" t="n">
        <x:f>IF(M138=0,0,IF(ISNUMBER(D138),M138*AC138*D138*AD138,NA()))</x:f>
        <x:v>172.89559920387606</x:v>
      </x:c>
      <x:c r="T138" s="25" t="n">
        <x:f>IF(N138=0,0,IF(ISNUMBER(E138),N138*AC138*E138*AD138,NA()))</x:f>
        <x:v>366.90054482217886</x:v>
      </x:c>
      <x:c r="U138" s="25" t="n">
        <x:f>IF(O138=0,0,IF(ISNUMBER(F138),O138*F138,NA()))</x:f>
        <x:v>0.40509861080396453</x:v>
      </x:c>
      <x:c r="V138" s="25" t="n">
        <x:f>IF(P138=0,0,IF(ISNUMBER(G138),-P138*G138,NA()))</x:f>
        <x:v>-5.685542108120061</x:v>
      </x:c>
      <x:c r="W138" s="25" t="n">
        <x:f>SUM(Q138:V138)</x:f>
        <x:v>2272.0157005287388</x:v>
      </x:c>
      <x:c r="X138" s="18" t="n">
        <x:f>'原始输入与口径'!BR140</x:f>
        <x:v>2272.0157005287383</x:v>
      </x:c>
      <x:c r="Y138" s="18" t="n">
        <x:f>W138-X138</x:f>
        <x:v>4.547473508864641e-13</x:v>
      </x:c>
      <x:c r="Z138" s="18" t="str">
        <x:f>"1月2日计划｜本窗新增"</x:f>
        <x:v>1月2日计划｜本窗新增</x:v>
      </x:c>
      <x:c r="AA138" s="19" t="n">
        <x:f>IF('原始输入与口径'!AW140,1,0)</x:f>
        <x:v>1</x:v>
      </x:c>
      <x:c r="AB138" s="19" t="n">
        <x:f>IF('原始输入与口径'!AY140,1,0)</x:f>
        <x:v>0</x:v>
      </x:c>
      <x:c r="AC138" s="18" t="n">
        <x:f>'原始输入与口径'!E140</x:f>
        <x:v>0.25</x:v>
      </x:c>
      <x:c r="AD138" s="20" t="n">
        <x:f>'原始输入与口径'!$F$5</x:f>
        <x:v>1</x:v>
      </x:c>
      <x:c r="AE138" s="20" t="n">
        <x:f>IF(AA138=0,0,AI138/(AG138*AC138))</x:f>
        <x:v>0.00035999999999999997</x:v>
      </x:c>
      <x:c r="AF138" s="20" t="n">
        <x:f>IF(AA138=0,0,AJ138/(AH138*AC138))</x:f>
        <x:v>0.00602</x:v>
      </x:c>
      <x:c r="AG138" s="18" t="n">
        <x:f>IF(ISNUMBER('原始输入与口径'!T140),'原始输入与口径'!T140,"缺失")</x:f>
        <x:v>200</x:v>
      </x:c>
      <x:c r="AH138" s="18" t="n">
        <x:f>IF(ISNUMBER('原始输入与口径'!Y140),'原始输入与口径'!Y140,"缺失")</x:f>
        <x:v>200</x:v>
      </x:c>
      <x:c r="AI138" s="18" t="n">
        <x:f>IF(ISNUMBER('原始输入与口径'!AI140),'原始输入与口径'!AI140,"缺失")</x:f>
        <x:v>0.018</x:v>
      </x:c>
      <x:c r="AJ138" s="18" t="n">
        <x:f>IF(ISNUMBER('原始输入与口径'!AL140),'原始输入与口径'!AL140,"缺失")</x:f>
        <x:v>0.301</x:v>
      </x:c>
      <x:c r="AK138" s="18" t="str">
        <x:f>IF(ISNUMBER('原始输入与口径'!O140),'原始输入与口径'!O140,"缺失")</x:f>
        <x:v>缺失</x:v>
      </x:c>
      <x:c r="AL138" s="18" t="n">
        <x:f>SUMIFS('相位SOC复算'!$N$7:$N$443,'相位SOC复算'!$S$7:$S$443,132)</x:f>
        <x:v>0.037720234299516896</x:v>
      </x:c>
      <x:c r="AM138" s="18" t="n">
        <x:f>SUMIFS('相位SOC复算'!$Q$7:$Q$443,'相位SOC复算'!$S$7:$S$443,132)</x:f>
        <x:v>0.07525000000000003</x:v>
      </x:c>
      <x:c r="AN138" s="18" t="n">
        <x:f>SUMIFS('相位SOC复算'!$R$7:$R$443,'相位SOC复算'!$S$7:$S$443,132)</x:f>
        <x:v>12.429249999999996</x:v>
      </x:c>
      <x:c r="AO138" s="18" t="n">
        <x:f>'相位SOC复算'!J315</x:f>
        <x:v>150.09258782608637</x:v>
      </x:c>
      <x:c r="AP138" s="18" t="n">
        <x:f>AO138-J138</x:f>
        <x:v>0</x:v>
      </x:c>
      <x:c r="AQ138" s="18" t="n">
        <x:f>IF(ISBLANK('原始输入与口径'!M140),"",'原始输入与口径'!M140)</x:f>
        <x:v>4.9741</x:v>
      </x:c>
      <x:c r="AR138" s="21" t="n">
        <x:f>IF(ISBLANK('原始输入与口径'!L140),"",'原始输入与口径'!L140)</x:f>
        <x:v>45657</x:v>
      </x:c>
      <x:c r="AS138" s="17" t="n">
        <x:f>IF(ISBLANK('原始输入与口径'!A140),"",'原始输入与口径'!A140)</x:f>
        <x:v>45659.28125</x:v>
      </x:c>
      <x:c r="AT138" s="18" t="str">
        <x:f>IF(ISBLANK('原始输入与口径'!I140),"",'原始输入与口径'!I140)</x:f>
        <x:v>2025-01-02_8</x:v>
      </x:c>
      <x:c r="AU138" s="19" t="n">
        <x:f>IF(ISBLANK('原始输入与口径'!J140),"",'原始输入与口径'!J140)</x:f>
        <x:v>60</x:v>
      </x:c>
      <x:c r="AV138" s="18" t="str">
        <x:f>IF(ISBLANK('原始输入与口径'!BB140),"",'原始输入与口径'!BB140)</x:f>
        <x:v>OK</x:v>
      </x:c>
    </x:row>
    <x:row r="139" ht="21" customHeight="1">
      <x:c r="A139" s="17" t="n">
        <x:f>45659.375</x:f>
        <x:v>45659.375</x:v>
      </x:c>
      <x:c r="B139" s="23" t="n">
        <x:f>IF(ISNUMBER('原始输入与口径'!H141),'原始输入与口径'!H141,"缺失")</x:f>
        <x:v>129.07</x:v>
      </x:c>
      <x:c r="C139" s="23" t="str">
        <x:f>IF(ISNUMBER('原始输入与口径'!R141),'原始输入与口径'!R141,"缺失")</x:f>
        <x:v>缺失</x:v>
      </x:c>
      <x:c r="D139" s="23" t="n">
        <x:f>IF(ISNUMBER('原始输入与口径'!W141),'原始输入与口径'!W141,"缺失")</x:f>
        <x:v>13.831647936310086</x:v>
      </x:c>
      <x:c r="E139" s="23" t="n">
        <x:f>IF(ISNUMBER('原始输入与口径'!AB141),'原始输入与口径'!AB141,"缺失")</x:f>
        <x:v>14.676021792887155</x:v>
      </x:c>
      <x:c r="F139" s="23" t="n">
        <x:f>IF(ISNUMBER('原始输入与口径'!AG141),'原始输入与口径'!AG141,"缺失")</x:f>
        <x:v>121.58420618805413</x:v>
      </x:c>
      <x:c r="G139" s="23" t="n">
        <x:f>IF(ISNUMBER('原始输入与口径'!AJ141),'原始输入与口径'!AJ141,"缺失")</x:f>
        <x:v>58.3020043827024</x:v>
      </x:c>
      <x:c r="H139" s="23" t="str">
        <x:f>"未模拟"</x:f>
        <x:v>未模拟</x:v>
      </x:c>
      <x:c r="I139" s="24" t="n">
        <x:f>'原始输入与口径'!BD141</x:f>
        <x:v>150.09258782608637</x:v>
      </x:c>
      <x:c r="J139" s="24" t="n">
        <x:f>'原始输入与口径'!BE141</x:f>
        <x:v>150.01542260869508</x:v>
      </x:c>
      <x:c r="K139" s="24" t="n">
        <x:f>'原始输入与口径'!BF141</x:f>
        <x:v>0</x:v>
      </x:c>
      <x:c r="L139" s="24" t="n">
        <x:f>'原始输入与口径'!BG141</x:f>
        <x:v>0</x:v>
      </x:c>
      <x:c r="M139" s="24" t="n">
        <x:f>'原始输入与口径'!BH141</x:f>
        <x:v>100</x:v>
      </x:c>
      <x:c r="N139" s="24" t="n">
        <x:f>'原始输入与口径'!BI141</x:f>
        <x:v>100</x:v>
      </x:c>
      <x:c r="O139" s="24" t="n">
        <x:f>M139*AE139*AC139</x:f>
        <x:v>0.0985</x:v>
      </x:c>
      <x:c r="P139" s="24" t="n">
        <x:f>N139*AF139*AC139</x:f>
        <x:v>0.0325</x:v>
      </x:c>
      <x:c r="Q139" s="25" t="n">
        <x:f>IF(K139=0,0,IF(ISNUMBER(B139),K139*AC139*B139,NA()))</x:f>
        <x:v>0</x:v>
      </x:c>
      <x:c r="R139" s="25" t="n">
        <x:f>IF(L139=0,0,IF(ISNUMBER(C139),L139*AC139*C139*AD139,NA()))</x:f>
        <x:v>0</x:v>
      </x:c>
      <x:c r="S139" s="25" t="n">
        <x:f>IF(M139=0,0,IF(ISNUMBER(D139),M139*AC139*D139*AD139,NA()))</x:f>
        <x:v>345.7911984077521</x:v>
      </x:c>
      <x:c r="T139" s="25" t="n">
        <x:f>IF(N139=0,0,IF(ISNUMBER(E139),N139*AC139*E139*AD139,NA()))</x:f>
        <x:v>366.90054482217886</x:v>
      </x:c>
      <x:c r="U139" s="25" t="n">
        <x:f>IF(O139=0,0,IF(ISNUMBER(F139),O139*F139,NA()))</x:f>
        <x:v>11.976044309523331</x:v>
      </x:c>
      <x:c r="V139" s="25" t="n">
        <x:f>IF(P139=0,0,IF(ISNUMBER(G139),-P139*G139,NA()))</x:f>
        <x:v>-1.8948151424378281</x:v>
      </x:c>
      <x:c r="W139" s="25" t="n">
        <x:f>SUM(Q139:V139)</x:f>
        <x:v>722.7729723970166</x:v>
      </x:c>
      <x:c r="X139" s="18" t="n">
        <x:f>'原始输入与口径'!BR141</x:f>
        <x:v>722.7729723970165</x:v>
      </x:c>
      <x:c r="Y139" s="18" t="n">
        <x:f>W139-X139</x:f>
        <x:v>1.1368683772161603e-13</x:v>
      </x:c>
      <x:c r="Z139" s="18" t="str">
        <x:f>"1月2日计划｜本窗新增"</x:f>
        <x:v>1月2日计划｜本窗新增</x:v>
      </x:c>
      <x:c r="AA139" s="19" t="n">
        <x:f>IF('原始输入与口径'!AW141,1,0)</x:f>
        <x:v>1</x:v>
      </x:c>
      <x:c r="AB139" s="19" t="n">
        <x:f>IF('原始输入与口径'!AY141,1,0)</x:f>
        <x:v>0</x:v>
      </x:c>
      <x:c r="AC139" s="18" t="n">
        <x:f>'原始输入与口径'!E141</x:f>
        <x:v>0.25</x:v>
      </x:c>
      <x:c r="AD139" s="20" t="n">
        <x:f>'原始输入与口径'!$F$5</x:f>
        <x:v>1</x:v>
      </x:c>
      <x:c r="AE139" s="20" t="n">
        <x:f>IF(AA139=0,0,AI139/(AG139*AC139))</x:f>
        <x:v>0.00394</x:v>
      </x:c>
      <x:c r="AF139" s="20" t="n">
        <x:f>IF(AA139=0,0,AJ139/(AH139*AC139))</x:f>
        <x:v>0.0013</x:v>
      </x:c>
      <x:c r="AG139" s="18" t="n">
        <x:f>IF(ISNUMBER('原始输入与口径'!T141),'原始输入与口径'!T141,"缺失")</x:f>
        <x:v>200</x:v>
      </x:c>
      <x:c r="AH139" s="18" t="n">
        <x:f>IF(ISNUMBER('原始输入与口径'!Y141),'原始输入与口径'!Y141,"缺失")</x:f>
        <x:v>200</x:v>
      </x:c>
      <x:c r="AI139" s="18" t="n">
        <x:f>IF(ISNUMBER('原始输入与口径'!AI141),'原始输入与口径'!AI141,"缺失")</x:f>
        <x:v>0.197</x:v>
      </x:c>
      <x:c r="AJ139" s="18" t="n">
        <x:f>IF(ISNUMBER('原始输入与口径'!AL141),'原始输入与口径'!AL141,"缺失")</x:f>
        <x:v>0.065</x:v>
      </x:c>
      <x:c r="AK139" s="18" t="str">
        <x:f>IF(ISNUMBER('原始输入与口径'!O141),'原始输入与口径'!O141,"缺失")</x:f>
        <x:v>缺失</x:v>
      </x:c>
      <x:c r="AL139" s="18" t="n">
        <x:f>SUMIFS('相位SOC复算'!$N$7:$N$443,'相位SOC复算'!$S$7:$S$443,133)</x:f>
        <x:v>0.0003804589371980676</x:v>
      </x:c>
      <x:c r="AM139" s="18" t="n">
        <x:f>SUMIFS('相位SOC复算'!$Q$7:$Q$443,'相位SOC复算'!$S$7:$S$443,133)</x:f>
        <x:v>0.0325</x:v>
      </x:c>
      <x:c r="AN139" s="18" t="n">
        <x:f>SUMIFS('相位SOC复算'!$R$7:$R$443,'相位SOC复算'!$S$7:$S$443,133)</x:f>
        <x:v>0.0985</x:v>
      </x:c>
      <x:c r="AO139" s="18" t="n">
        <x:f>'相位SOC复算'!J318</x:f>
        <x:v>150.01542260869508</x:v>
      </x:c>
      <x:c r="AP139" s="18" t="n">
        <x:f>AO139-J139</x:f>
        <x:v>0</x:v>
      </x:c>
      <x:c r="AQ139" s="18" t="n">
        <x:f>IF(ISBLANK('原始输入与口径'!M141),"",'原始输入与口径'!M141)</x:f>
        <x:v>4.9741</x:v>
      </x:c>
      <x:c r="AR139" s="21" t="n">
        <x:f>IF(ISBLANK('原始输入与口径'!L141),"",'原始输入与口径'!L141)</x:f>
        <x:v>45657</x:v>
      </x:c>
      <x:c r="AS139" s="17" t="n">
        <x:f>IF(ISBLANK('原始输入与口径'!A141),"",'原始输入与口径'!A141)</x:f>
        <x:v>45659.291666666664</x:v>
      </x:c>
      <x:c r="AT139" s="18" t="str">
        <x:f>IF(ISBLANK('原始输入与口径'!I141),"",'原始输入与口径'!I141)</x:f>
        <x:v>2025-01-02_9</x:v>
      </x:c>
      <x:c r="AU139" s="19" t="n">
        <x:f>IF(ISBLANK('原始输入与口径'!J141),"",'原始输入与口径'!J141)</x:f>
        <x:v>60</x:v>
      </x:c>
      <x:c r="AV139" s="18" t="str">
        <x:f>IF(ISBLANK('原始输入与口径'!BB141),"",'原始输入与口径'!BB141)</x:f>
        <x:v>OK</x:v>
      </x:c>
    </x:row>
    <x:row r="140" ht="21" customHeight="1">
      <x:c r="A140" s="17" t="n">
        <x:f>45659.385416666664</x:f>
        <x:v>45659.385416666664</x:v>
      </x:c>
      <x:c r="B140" s="23" t="n">
        <x:f>IF(ISNUMBER('原始输入与口径'!H142),'原始输入与口径'!H142,"缺失")</x:f>
        <x:v>129.07</x:v>
      </x:c>
      <x:c r="C140" s="23" t="str">
        <x:f>IF(ISNUMBER('原始输入与口径'!R142),'原始输入与口径'!R142,"缺失")</x:f>
        <x:v>缺失</x:v>
      </x:c>
      <x:c r="D140" s="23" t="n">
        <x:f>IF(ISNUMBER('原始输入与口径'!W142),'原始输入与口径'!W142,"缺失")</x:f>
        <x:v>13.831647936310086</x:v>
      </x:c>
      <x:c r="E140" s="23" t="n">
        <x:f>IF(ISNUMBER('原始输入与口径'!AB142),'原始输入与口径'!AB142,"缺失")</x:f>
        <x:v>14.676021792887155</x:v>
      </x:c>
      <x:c r="F140" s="23" t="n">
        <x:f>IF(ISNUMBER('原始输入与口径'!AG142),'原始输入与口径'!AG142,"缺失")</x:f>
        <x:v>84.7590518887839</x:v>
      </x:c>
      <x:c r="G140" s="23" t="n">
        <x:f>IF(ISNUMBER('原始输入与口径'!AJ142),'原始输入与口径'!AJ142,"缺失")</x:f>
        <x:v>47.90233409058925</x:v>
      </x:c>
      <x:c r="H140" s="23" t="str">
        <x:f>"未模拟"</x:f>
        <x:v>未模拟</x:v>
      </x:c>
      <x:c r="I140" s="24" t="n">
        <x:f>'原始输入与口径'!BD142</x:f>
        <x:v>150.01542260869508</x:v>
      </x:c>
      <x:c r="J140" s="24" t="n">
        <x:f>'原始输入与口径'!BE142</x:f>
        <x:v>150.07494173912986</x:v>
      </x:c>
      <x:c r="K140" s="24" t="n">
        <x:f>'原始输入与口径'!BF142</x:f>
        <x:v>0</x:v>
      </x:c>
      <x:c r="L140" s="24" t="n">
        <x:f>'原始输入与口径'!BG142</x:f>
        <x:v>0</x:v>
      </x:c>
      <x:c r="M140" s="24" t="n">
        <x:f>'原始输入与口径'!BH142</x:f>
        <x:v>100</x:v>
      </x:c>
      <x:c r="N140" s="24" t="n">
        <x:f>'原始输入与口径'!BI142</x:f>
        <x:v>100</x:v>
      </x:c>
      <x:c r="O140" s="24" t="n">
        <x:f>M140*AE140*AC140</x:f>
        <x:v>0.0375</x:v>
      </x:c>
      <x:c r="P140" s="24" t="n">
        <x:f>N140*AF140*AC140</x:f>
        <x:v>0.109</x:v>
      </x:c>
      <x:c r="Q140" s="25" t="n">
        <x:f>IF(K140=0,0,IF(ISNUMBER(B140),K140*AC140*B140,NA()))</x:f>
        <x:v>0</x:v>
      </x:c>
      <x:c r="R140" s="25" t="n">
        <x:f>IF(L140=0,0,IF(ISNUMBER(C140),L140*AC140*C140*AD140,NA()))</x:f>
        <x:v>0</x:v>
      </x:c>
      <x:c r="S140" s="25" t="n">
        <x:f>IF(M140=0,0,IF(ISNUMBER(D140),M140*AC140*D140*AD140,NA()))</x:f>
        <x:v>345.7911984077521</x:v>
      </x:c>
      <x:c r="T140" s="25" t="n">
        <x:f>IF(N140=0,0,IF(ISNUMBER(E140),N140*AC140*E140*AD140,NA()))</x:f>
        <x:v>366.90054482217886</x:v>
      </x:c>
      <x:c r="U140" s="25" t="n">
        <x:f>IF(O140=0,0,IF(ISNUMBER(F140),O140*F140,NA()))</x:f>
        <x:v>3.178464445829396</x:v>
      </x:c>
      <x:c r="V140" s="25" t="n">
        <x:f>IF(P140=0,0,IF(ISNUMBER(G140),-P140*G140,NA()))</x:f>
        <x:v>-5.221354415874228</x:v>
      </x:c>
      <x:c r="W140" s="25" t="n">
        <x:f>SUM(Q140:V140)</x:f>
        <x:v>710.6488532598862</x:v>
      </x:c>
      <x:c r="X140" s="18" t="n">
        <x:f>'原始输入与口径'!BR142</x:f>
        <x:v>710.6488532598861</x:v>
      </x:c>
      <x:c r="Y140" s="18" t="n">
        <x:f>W140-X140</x:f>
        <x:v>1.1368683772161603e-13</x:v>
      </x:c>
      <x:c r="Z140" s="18" t="str">
        <x:f>"1月2日计划｜本窗新增"</x:f>
        <x:v>1月2日计划｜本窗新增</x:v>
      </x:c>
      <x:c r="AA140" s="19" t="n">
        <x:f>IF('原始输入与口径'!AW142,1,0)</x:f>
        <x:v>1</x:v>
      </x:c>
      <x:c r="AB140" s="19" t="n">
        <x:f>IF('原始输入与口径'!AY142,1,0)</x:f>
        <x:v>0</x:v>
      </x:c>
      <x:c r="AC140" s="18" t="n">
        <x:f>'原始输入与口径'!E142</x:f>
        <x:v>0.25</x:v>
      </x:c>
      <x:c r="AD140" s="20" t="n">
        <x:f>'原始输入与口径'!$F$5</x:f>
        <x:v>1</x:v>
      </x:c>
      <x:c r="AE140" s="20" t="n">
        <x:f>IF(AA140=0,0,AI140/(AG140*AC140))</x:f>
        <x:v>0.0015</x:v>
      </x:c>
      <x:c r="AF140" s="20" t="n">
        <x:f>IF(AA140=0,0,AJ140/(AH140*AC140))</x:f>
        <x:v>0.00436</x:v>
      </x:c>
      <x:c r="AG140" s="18" t="n">
        <x:f>IF(ISNUMBER('原始输入与口径'!T142),'原始输入与口径'!T142,"缺失")</x:f>
        <x:v>200</x:v>
      </x:c>
      <x:c r="AH140" s="18" t="n">
        <x:f>IF(ISNUMBER('原始输入与口径'!Y142),'原始输入与口径'!Y142,"缺失")</x:f>
        <x:v>200</x:v>
      </x:c>
      <x:c r="AI140" s="18" t="n">
        <x:f>IF(ISNUMBER('原始输入与口径'!AI142),'原始输入与口径'!AI142,"缺失")</x:f>
        <x:v>0.075</x:v>
      </x:c>
      <x:c r="AJ140" s="18" t="n">
        <x:f>IF(ISNUMBER('原始输入与口径'!AL142),'原始输入与口径'!AL142,"缺失")</x:f>
        <x:v>0.218</x:v>
      </x:c>
      <x:c r="AK140" s="18" t="str">
        <x:f>IF(ISNUMBER('原始输入与口径'!O142),'原始输入与口径'!O142,"缺失")</x:f>
        <x:v>缺失</x:v>
      </x:c>
      <x:c r="AL140" s="18" t="n">
        <x:f>SUMIFS('相位SOC复算'!$N$7:$N$443,'相位SOC复算'!$S$7:$S$443,134)</x:f>
        <x:v>0.00039178019323671503</x:v>
      </x:c>
      <x:c r="AM140" s="18" t="n">
        <x:f>SUMIFS('相位SOC复算'!$Q$7:$Q$443,'相位SOC复算'!$S$7:$S$443,134)</x:f>
        <x:v>0.109</x:v>
      </x:c>
      <x:c r="AN140" s="18" t="n">
        <x:f>SUMIFS('相位SOC复算'!$R$7:$R$443,'相位SOC复算'!$S$7:$S$443,134)</x:f>
        <x:v>0.0375</x:v>
      </x:c>
      <x:c r="AO140" s="18" t="n">
        <x:f>'相位SOC复算'!J321</x:f>
        <x:v>150.07494173912986</x:v>
      </x:c>
      <x:c r="AP140" s="18" t="n">
        <x:f>AO140-J140</x:f>
        <x:v>0</x:v>
      </x:c>
      <x:c r="AQ140" s="18" t="n">
        <x:f>IF(ISBLANK('原始输入与口径'!M142),"",'原始输入与口径'!M142)</x:f>
        <x:v>4.9741</x:v>
      </x:c>
      <x:c r="AR140" s="21" t="n">
        <x:f>IF(ISBLANK('原始输入与口径'!L142),"",'原始输入与口径'!L142)</x:f>
        <x:v>45657</x:v>
      </x:c>
      <x:c r="AS140" s="17" t="n">
        <x:f>IF(ISBLANK('原始输入与口径'!A142),"",'原始输入与口径'!A142)</x:f>
        <x:v>45659.302083333336</x:v>
      </x:c>
      <x:c r="AT140" s="18" t="str">
        <x:f>IF(ISBLANK('原始输入与口径'!I142),"",'原始输入与口径'!I142)</x:f>
        <x:v>2025-01-02_9</x:v>
      </x:c>
      <x:c r="AU140" s="19" t="n">
        <x:f>IF(ISBLANK('原始输入与口径'!J142),"",'原始输入与口径'!J142)</x:f>
        <x:v>60</x:v>
      </x:c>
      <x:c r="AV140" s="18" t="str">
        <x:f>IF(ISBLANK('原始输入与口径'!BB142),"",'原始输入与口径'!BB142)</x:f>
        <x:v>OK</x:v>
      </x:c>
    </x:row>
    <x:row r="141" ht="21" customHeight="1">
      <x:c r="A141" s="17" t="n">
        <x:f>45659.395833333336</x:f>
        <x:v>45659.395833333336</x:v>
      </x:c>
      <x:c r="B141" s="23" t="n">
        <x:f>IF(ISNUMBER('原始输入与口径'!H143),'原始输入与口径'!H143,"缺失")</x:f>
        <x:v>129.07</x:v>
      </x:c>
      <x:c r="C141" s="23" t="str">
        <x:f>IF(ISNUMBER('原始输入与口径'!R143),'原始输入与口径'!R143,"缺失")</x:f>
        <x:v>缺失</x:v>
      </x:c>
      <x:c r="D141" s="23" t="n">
        <x:f>IF(ISNUMBER('原始输入与口径'!W143),'原始输入与口径'!W143,"缺失")</x:f>
        <x:v>13.831647936310086</x:v>
      </x:c>
      <x:c r="E141" s="23" t="n">
        <x:f>IF(ISNUMBER('原始输入与口径'!AB143),'原始输入与口径'!AB143,"缺失")</x:f>
        <x:v>14.676021792887155</x:v>
      </x:c>
      <x:c r="F141" s="23" t="n">
        <x:f>IF(ISNUMBER('原始输入与口径'!AG143),'原始输入与口径'!AG143,"缺失")</x:f>
        <x:v>0</x:v>
      </x:c>
      <x:c r="G141" s="23" t="n">
        <x:f>IF(ISNUMBER('原始输入与口径'!AJ143),'原始输入与口径'!AJ143,"缺失")</x:f>
        <x:v>3.4633401017269456</x:v>
      </x:c>
      <x:c r="H141" s="23" t="str">
        <x:f>"未模拟"</x:f>
        <x:v>未模拟</x:v>
      </x:c>
      <x:c r="I141" s="24" t="n">
        <x:f>'原始输入与口径'!BD143</x:f>
        <x:v>150.07494173912986</x:v>
      </x:c>
      <x:c r="J141" s="24" t="n">
        <x:f>'原始输入与口径'!BE143</x:f>
        <x:v>155.93580173912986</x:v>
      </x:c>
      <x:c r="K141" s="24" t="n">
        <x:f>'原始输入与口径'!BF143</x:f>
        <x:v>0</x:v>
      </x:c>
      <x:c r="L141" s="24" t="n">
        <x:f>'原始输入与口径'!BG143</x:f>
        <x:v>0</x:v>
      </x:c>
      <x:c r="M141" s="24" t="n">
        <x:f>'原始输入与口径'!BH143</x:f>
        <x:v>100</x:v>
      </x:c>
      <x:c r="N141" s="24" t="n">
        <x:f>'原始输入与口径'!BI143</x:f>
        <x:v>100</x:v>
      </x:c>
      <x:c r="O141" s="24" t="n">
        <x:f>M141*AE141*AC141</x:f>
        <x:v>0</x:v>
      </x:c>
      <x:c r="P141" s="24" t="n">
        <x:f>N141*AF141*AC141</x:f>
        <x:v>6.3705</x:v>
      </x:c>
      <x:c r="Q141" s="25" t="n">
        <x:f>IF(K141=0,0,IF(ISNUMBER(B141),K141*AC141*B141,NA()))</x:f>
        <x:v>0</x:v>
      </x:c>
      <x:c r="R141" s="25" t="n">
        <x:f>IF(L141=0,0,IF(ISNUMBER(C141),L141*AC141*C141*AD141,NA()))</x:f>
        <x:v>0</x:v>
      </x:c>
      <x:c r="S141" s="25" t="n">
        <x:f>IF(M141=0,0,IF(ISNUMBER(D141),M141*AC141*D141*AD141,NA()))</x:f>
        <x:v>345.7911984077521</x:v>
      </x:c>
      <x:c r="T141" s="25" t="n">
        <x:f>IF(N141=0,0,IF(ISNUMBER(E141),N141*AC141*E141*AD141,NA()))</x:f>
        <x:v>366.90054482217886</x:v>
      </x:c>
      <x:c r="U141" s="25" t="n">
        <x:f>IF(O141=0,0,IF(ISNUMBER(F141),O141*F141,NA()))</x:f>
        <x:v>0</x:v>
      </x:c>
      <x:c r="V141" s="25" t="n">
        <x:f>IF(P141=0,0,IF(ISNUMBER(G141),-P141*G141,NA()))</x:f>
        <x:v>-22.063208118051506</x:v>
      </x:c>
      <x:c r="W141" s="25" t="n">
        <x:f>SUM(Q141:V141)</x:f>
        <x:v>690.6285351118795</x:v>
      </x:c>
      <x:c r="X141" s="18" t="n">
        <x:f>'原始输入与口径'!BR143</x:f>
        <x:v>690.6285351118795</x:v>
      </x:c>
      <x:c r="Y141" s="18" t="n">
        <x:f>W141-X141</x:f>
        <x:v>0</x:v>
      </x:c>
      <x:c r="Z141" s="18" t="str">
        <x:f>"1月2日计划｜本窗新增"</x:f>
        <x:v>1月2日计划｜本窗新增</x:v>
      </x:c>
      <x:c r="AA141" s="19" t="n">
        <x:f>IF('原始输入与口径'!AW143,1,0)</x:f>
        <x:v>1</x:v>
      </x:c>
      <x:c r="AB141" s="19" t="n">
        <x:f>IF('原始输入与口径'!AY143,1,0)</x:f>
        <x:v>0</x:v>
      </x:c>
      <x:c r="AC141" s="18" t="n">
        <x:f>'原始输入与口径'!E143</x:f>
        <x:v>0.25</x:v>
      </x:c>
      <x:c r="AD141" s="20" t="n">
        <x:f>'原始输入与口径'!$F$5</x:f>
        <x:v>1</x:v>
      </x:c>
      <x:c r="AE141" s="20" t="n">
        <x:f>IF(AA141=0,0,AI141/(AG141*AC141))</x:f>
        <x:v>0</x:v>
      </x:c>
      <x:c r="AF141" s="20" t="n">
        <x:f>IF(AA141=0,0,AJ141/(AH141*AC141))</x:f>
        <x:v>0.25482</x:v>
      </x:c>
      <x:c r="AG141" s="18" t="n">
        <x:f>IF(ISNUMBER('原始输入与口径'!T143),'原始输入与口径'!T143,"缺失")</x:f>
        <x:v>200</x:v>
      </x:c>
      <x:c r="AH141" s="18" t="n">
        <x:f>IF(ISNUMBER('原始输入与口径'!Y143),'原始输入与口径'!Y143,"缺失")</x:f>
        <x:v>200</x:v>
      </x:c>
      <x:c r="AI141" s="18" t="n">
        <x:f>IF(ISNUMBER('原始输入与口径'!AI143),'原始输入与口径'!AI143,"缺失")</x:f>
        <x:v>0</x:v>
      </x:c>
      <x:c r="AJ141" s="18" t="n">
        <x:f>IF(ISNUMBER('原始输入与口径'!AL143),'原始输入与口径'!AL143,"缺失")</x:f>
        <x:v>12.741</x:v>
      </x:c>
      <x:c r="AK141" s="18" t="str">
        <x:f>IF(ISNUMBER('原始输入与口径'!O143),'原始输入与口径'!O143,"缺失")</x:f>
        <x:v>缺失</x:v>
      </x:c>
      <x:c r="AL141" s="18" t="n">
        <x:f>SUMIFS('相位SOC复算'!$N$7:$N$443,'相位SOC复算'!$S$7:$S$443,135)</x:f>
        <x:v>0.016280166666666665</x:v>
      </x:c>
      <x:c r="AM141" s="18" t="n">
        <x:f>SUMIFS('相位SOC复算'!$Q$7:$Q$443,'相位SOC复算'!$S$7:$S$443,135)</x:f>
        <x:v>6.3705</x:v>
      </x:c>
      <x:c r="AN141" s="18" t="n">
        <x:f>SUMIFS('相位SOC复算'!$R$7:$R$443,'相位SOC复算'!$S$7:$S$443,135)</x:f>
        <x:v>0</x:v>
      </x:c>
      <x:c r="AO141" s="18" t="n">
        <x:f>'相位SOC复算'!J323</x:f>
        <x:v>155.93580173912986</x:v>
      </x:c>
      <x:c r="AP141" s="18" t="n">
        <x:f>AO141-J141</x:f>
        <x:v>0</x:v>
      </x:c>
      <x:c r="AQ141" s="18" t="n">
        <x:f>IF(ISBLANK('原始输入与口径'!M143),"",'原始输入与口径'!M143)</x:f>
        <x:v>4.9741</x:v>
      </x:c>
      <x:c r="AR141" s="21" t="n">
        <x:f>IF(ISBLANK('原始输入与口径'!L143),"",'原始输入与口径'!L143)</x:f>
        <x:v>45657</x:v>
      </x:c>
      <x:c r="AS141" s="17" t="n">
        <x:f>IF(ISBLANK('原始输入与口径'!A143),"",'原始输入与口径'!A143)</x:f>
        <x:v>45659.3125</x:v>
      </x:c>
      <x:c r="AT141" s="18" t="str">
        <x:f>IF(ISBLANK('原始输入与口径'!I143),"",'原始输入与口径'!I143)</x:f>
        <x:v>2025-01-02_9</x:v>
      </x:c>
      <x:c r="AU141" s="19" t="n">
        <x:f>IF(ISBLANK('原始输入与口径'!J143),"",'原始输入与口径'!J143)</x:f>
        <x:v>60</x:v>
      </x:c>
      <x:c r="AV141" s="18" t="str">
        <x:f>IF(ISBLANK('原始输入与口径'!BB143),"",'原始输入与口径'!BB143)</x:f>
        <x:v>OK</x:v>
      </x:c>
    </x:row>
    <x:row r="142" ht="21" customHeight="1">
      <x:c r="A142" s="17" t="n">
        <x:f>45659.40625</x:f>
        <x:v>45659.40625</x:v>
      </x:c>
      <x:c r="B142" s="23" t="n">
        <x:f>IF(ISNUMBER('原始输入与口径'!H144),'原始输入与口径'!H144,"缺失")</x:f>
        <x:v>129.07</x:v>
      </x:c>
      <x:c r="C142" s="23" t="str">
        <x:f>IF(ISNUMBER('原始输入与口径'!R144),'原始输入与口径'!R144,"缺失")</x:f>
        <x:v>缺失</x:v>
      </x:c>
      <x:c r="D142" s="23" t="n">
        <x:f>IF(ISNUMBER('原始输入与口径'!W144),'原始输入与口径'!W144,"缺失")</x:f>
        <x:v>13.831647936310086</x:v>
      </x:c>
      <x:c r="E142" s="23" t="n">
        <x:f>IF(ISNUMBER('原始输入与口径'!AB144),'原始输入与口径'!AB144,"缺失")</x:f>
        <x:v>14.676021792887155</x:v>
      </x:c>
      <x:c r="F142" s="23" t="n">
        <x:f>IF(ISNUMBER('原始输入与口径'!AG144),'原始输入与口径'!AG144,"缺失")</x:f>
        <x:v>0</x:v>
      </x:c>
      <x:c r="G142" s="23" t="n">
        <x:f>IF(ISNUMBER('原始输入与口径'!AJ144),'原始输入与口径'!AJ144,"缺失")</x:f>
        <x:v>-52.10269194427132</x:v>
      </x:c>
      <x:c r="H142" s="23" t="str">
        <x:f>"未模拟"</x:f>
        <x:v>未模拟</x:v>
      </x:c>
      <x:c r="I142" s="24" t="n">
        <x:f>'原始输入与口径'!BD144</x:f>
        <x:v>155.93580173912986</x:v>
      </x:c>
      <x:c r="J142" s="24" t="n">
        <x:f>'原始输入与口径'!BE144</x:f>
        <x:v>170.71238173912985</x:v>
      </x:c>
      <x:c r="K142" s="24" t="n">
        <x:f>'原始输入与口径'!BF144</x:f>
        <x:v>0</x:v>
      </x:c>
      <x:c r="L142" s="24" t="n">
        <x:f>'原始输入与口径'!BG144</x:f>
        <x:v>0</x:v>
      </x:c>
      <x:c r="M142" s="24" t="n">
        <x:f>'原始输入与口径'!BH144</x:f>
        <x:v>100</x:v>
      </x:c>
      <x:c r="N142" s="24" t="n">
        <x:f>'原始输入与口径'!BI144</x:f>
        <x:v>100</x:v>
      </x:c>
      <x:c r="O142" s="24" t="n">
        <x:f>M142*AE142*AC142</x:f>
        <x:v>0</x:v>
      </x:c>
      <x:c r="P142" s="24" t="n">
        <x:f>N142*AF142*AC142</x:f>
        <x:v>16.0615</x:v>
      </x:c>
      <x:c r="Q142" s="25" t="n">
        <x:f>IF(K142=0,0,IF(ISNUMBER(B142),K142*AC142*B142,NA()))</x:f>
        <x:v>0</x:v>
      </x:c>
      <x:c r="R142" s="25" t="n">
        <x:f>IF(L142=0,0,IF(ISNUMBER(C142),L142*AC142*C142*AD142,NA()))</x:f>
        <x:v>0</x:v>
      </x:c>
      <x:c r="S142" s="25" t="n">
        <x:f>IF(M142=0,0,IF(ISNUMBER(D142),M142*AC142*D142*AD142,NA()))</x:f>
        <x:v>345.7911984077521</x:v>
      </x:c>
      <x:c r="T142" s="25" t="n">
        <x:f>IF(N142=0,0,IF(ISNUMBER(E142),N142*AC142*E142*AD142,NA()))</x:f>
        <x:v>366.90054482217886</x:v>
      </x:c>
      <x:c r="U142" s="25" t="n">
        <x:f>IF(O142=0,0,IF(ISNUMBER(F142),O142*F142,NA()))</x:f>
        <x:v>0</x:v>
      </x:c>
      <x:c r="V142" s="25" t="n">
        <x:f>IF(P142=0,0,IF(ISNUMBER(G142),-P142*G142,NA()))</x:f>
        <x:v>836.8473866629138</x:v>
      </x:c>
      <x:c r="W142" s="25" t="n">
        <x:f>SUM(Q142:V142)</x:f>
        <x:v>1549.5391298928448</x:v>
      </x:c>
      <x:c r="X142" s="18" t="n">
        <x:f>'原始输入与口径'!BR144</x:f>
        <x:v>1549.5391298928448</x:v>
      </x:c>
      <x:c r="Y142" s="18" t="n">
        <x:f>W142-X142</x:f>
        <x:v>0</x:v>
      </x:c>
      <x:c r="Z142" s="18" t="str">
        <x:f>"1月2日计划｜本窗新增"</x:f>
        <x:v>1月2日计划｜本窗新增</x:v>
      </x:c>
      <x:c r="AA142" s="19" t="n">
        <x:f>IF('原始输入与口径'!AW144,1,0)</x:f>
        <x:v>1</x:v>
      </x:c>
      <x:c r="AB142" s="19" t="n">
        <x:f>IF('原始输入与口径'!AY144,1,0)</x:f>
        <x:v>0</x:v>
      </x:c>
      <x:c r="AC142" s="18" t="n">
        <x:f>'原始输入与口径'!E144</x:f>
        <x:v>0.25</x:v>
      </x:c>
      <x:c r="AD142" s="20" t="n">
        <x:f>'原始输入与口径'!$F$5</x:f>
        <x:v>1</x:v>
      </x:c>
      <x:c r="AE142" s="20" t="n">
        <x:f>IF(AA142=0,0,AI142/(AG142*AC142))</x:f>
        <x:v>0</x:v>
      </x:c>
      <x:c r="AF142" s="20" t="n">
        <x:f>IF(AA142=0,0,AJ142/(AH142*AC142))</x:f>
        <x:v>0.6424599999999999</x:v>
      </x:c>
      <x:c r="AG142" s="18" t="n">
        <x:f>IF(ISNUMBER('原始输入与口径'!T144),'原始输入与口径'!T144,"缺失")</x:f>
        <x:v>200</x:v>
      </x:c>
      <x:c r="AH142" s="18" t="n">
        <x:f>IF(ISNUMBER('原始输入与口径'!Y144),'原始输入与口径'!Y144,"缺失")</x:f>
        <x:v>200</x:v>
      </x:c>
      <x:c r="AI142" s="18" t="n">
        <x:f>IF(ISNUMBER('原始输入与口径'!AI144),'原始输入与口径'!AI144,"缺失")</x:f>
        <x:v>0</x:v>
      </x:c>
      <x:c r="AJ142" s="18" t="n">
        <x:f>IF(ISNUMBER('原始输入与口径'!AL144),'原始输入与口径'!AL144,"缺失")</x:f>
        <x:v>32.123</x:v>
      </x:c>
      <x:c r="AK142" s="18" t="str">
        <x:f>IF(ISNUMBER('原始输入与口径'!O144),'原始输入与口径'!O144,"缺失")</x:f>
        <x:v>缺失</x:v>
      </x:c>
      <x:c r="AL142" s="18" t="n">
        <x:f>SUMIFS('相位SOC复算'!$N$7:$N$443,'相位SOC复算'!$S$7:$S$443,136)</x:f>
        <x:v>0.04104605555555555</x:v>
      </x:c>
      <x:c r="AM142" s="18" t="n">
        <x:f>SUMIFS('相位SOC复算'!$Q$7:$Q$443,'相位SOC复算'!$S$7:$S$443,136)</x:f>
        <x:v>16.0615</x:v>
      </x:c>
      <x:c r="AN142" s="18" t="n">
        <x:f>SUMIFS('相位SOC复算'!$R$7:$R$443,'相位SOC复算'!$S$7:$S$443,136)</x:f>
        <x:v>0</x:v>
      </x:c>
      <x:c r="AO142" s="18" t="n">
        <x:f>'相位SOC复算'!J325</x:f>
        <x:v>170.71238173912985</x:v>
      </x:c>
      <x:c r="AP142" s="18" t="n">
        <x:f>AO142-J142</x:f>
        <x:v>0</x:v>
      </x:c>
      <x:c r="AQ142" s="18" t="n">
        <x:f>IF(ISBLANK('原始输入与口径'!M144),"",'原始输入与口径'!M144)</x:f>
        <x:v>4.9741</x:v>
      </x:c>
      <x:c r="AR142" s="21" t="n">
        <x:f>IF(ISBLANK('原始输入与口径'!L144),"",'原始输入与口径'!L144)</x:f>
        <x:v>45657</x:v>
      </x:c>
      <x:c r="AS142" s="17" t="n">
        <x:f>IF(ISBLANK('原始输入与口径'!A144),"",'原始输入与口径'!A144)</x:f>
        <x:v>45659.322916666664</x:v>
      </x:c>
      <x:c r="AT142" s="18" t="str">
        <x:f>IF(ISBLANK('原始输入与口径'!I144),"",'原始输入与口径'!I144)</x:f>
        <x:v>2025-01-02_9</x:v>
      </x:c>
      <x:c r="AU142" s="19" t="n">
        <x:f>IF(ISBLANK('原始输入与口径'!J144),"",'原始输入与口径'!J144)</x:f>
        <x:v>60</x:v>
      </x:c>
      <x:c r="AV142" s="18" t="str">
        <x:f>IF(ISBLANK('原始输入与口径'!BB144),"",'原始输入与口径'!BB144)</x:f>
        <x:v>OK</x:v>
      </x:c>
    </x:row>
    <x:row r="143" ht="21" customHeight="1">
      <x:c r="A143" s="17" t="n">
        <x:f>45659.416666666664</x:f>
        <x:v>45659.416666666664</x:v>
      </x:c>
      <x:c r="B143" s="23" t="n">
        <x:f>IF(ISNUMBER('原始输入与口径'!H145),'原始输入与口径'!H145,"缺失")</x:f>
        <x:v>129.78</x:v>
      </x:c>
      <x:c r="C143" s="23" t="str">
        <x:f>IF(ISNUMBER('原始输入与口径'!R145),'原始输入与口径'!R145,"缺失")</x:f>
        <x:v>缺失</x:v>
      </x:c>
      <x:c r="D143" s="23" t="n">
        <x:f>IF(ISNUMBER('原始输入与口径'!W145),'原始输入与口径'!W145,"缺失")</x:f>
        <x:v>13.831647936310086</x:v>
      </x:c>
      <x:c r="E143" s="23" t="n">
        <x:f>IF(ISNUMBER('原始输入与口径'!AB145),'原始输入与口径'!AB145,"缺失")</x:f>
        <x:v>14.710198829939085</x:v>
      </x:c>
      <x:c r="F143" s="23" t="n">
        <x:f>IF(ISNUMBER('原始输入与口径'!AG145),'原始输入与口径'!AG145,"缺失")</x:f>
        <x:v>0</x:v>
      </x:c>
      <x:c r="G143" s="23" t="n">
        <x:f>IF(ISNUMBER('原始输入与口径'!AJ145),'原始输入与口径'!AJ145,"缺失")</x:f>
        <x:v>8.397499045053378</x:v>
      </x:c>
      <x:c r="H143" s="23" t="str">
        <x:f>"未模拟"</x:f>
        <x:v>未模拟</x:v>
      </x:c>
      <x:c r="I143" s="24" t="n">
        <x:f>'原始输入与口径'!BD145</x:f>
        <x:v>170.71238173912985</x:v>
      </x:c>
      <x:c r="J143" s="24" t="n">
        <x:f>'原始输入与口径'!BE145</x:f>
        <x:v>173.96688173912986</x:v>
      </x:c>
      <x:c r="K143" s="24" t="n">
        <x:f>'原始输入与口径'!BF145</x:f>
        <x:v>0</x:v>
      </x:c>
      <x:c r="L143" s="24" t="n">
        <x:f>'原始输入与口径'!BG145</x:f>
        <x:v>0</x:v>
      </x:c>
      <x:c r="M143" s="24" t="n">
        <x:f>'原始输入与口径'!BH145</x:f>
        <x:v>100</x:v>
      </x:c>
      <x:c r="N143" s="24" t="n">
        <x:f>'原始输入与口径'!BI145</x:f>
        <x:v>100</x:v>
      </x:c>
      <x:c r="O143" s="24" t="n">
        <x:f>M143*AE143*AC143</x:f>
        <x:v>0</x:v>
      </x:c>
      <x:c r="P143" s="24" t="n">
        <x:f>N143*AF143*AC143</x:f>
        <x:v>3.5375000000000005</x:v>
      </x:c>
      <x:c r="Q143" s="25" t="n">
        <x:f>IF(K143=0,0,IF(ISNUMBER(B143),K143*AC143*B143,NA()))</x:f>
        <x:v>0</x:v>
      </x:c>
      <x:c r="R143" s="25" t="n">
        <x:f>IF(L143=0,0,IF(ISNUMBER(C143),L143*AC143*C143*AD143,NA()))</x:f>
        <x:v>0</x:v>
      </x:c>
      <x:c r="S143" s="25" t="n">
        <x:f>IF(M143=0,0,IF(ISNUMBER(D143),M143*AC143*D143*AD143,NA()))</x:f>
        <x:v>345.7911984077521</x:v>
      </x:c>
      <x:c r="T143" s="25" t="n">
        <x:f>IF(N143=0,0,IF(ISNUMBER(E143),N143*AC143*E143*AD143,NA()))</x:f>
        <x:v>367.7549707484771</x:v>
      </x:c>
      <x:c r="U143" s="25" t="n">
        <x:f>IF(O143=0,0,IF(ISNUMBER(F143),O143*F143,NA()))</x:f>
        <x:v>0</x:v>
      </x:c>
      <x:c r="V143" s="25" t="n">
        <x:f>IF(P143=0,0,IF(ISNUMBER(G143),-P143*G143,NA()))</x:f>
        <x:v>-29.706152871876327</x:v>
      </x:c>
      <x:c r="W143" s="25" t="n">
        <x:f>SUM(Q143:V143)</x:f>
        <x:v>683.8400162843529</x:v>
      </x:c>
      <x:c r="X143" s="18" t="n">
        <x:f>'原始输入与口径'!BR145</x:f>
        <x:v>683.8400162843529</x:v>
      </x:c>
      <x:c r="Y143" s="18" t="n">
        <x:f>W143-X143</x:f>
        <x:v>0</x:v>
      </x:c>
      <x:c r="Z143" s="18" t="str">
        <x:f>"1月2日计划｜本窗新增"</x:f>
        <x:v>1月2日计划｜本窗新增</x:v>
      </x:c>
      <x:c r="AA143" s="19" t="n">
        <x:f>IF('原始输入与口径'!AW145,1,0)</x:f>
        <x:v>1</x:v>
      </x:c>
      <x:c r="AB143" s="19" t="n">
        <x:f>IF('原始输入与口径'!AY145,1,0)</x:f>
        <x:v>0</x:v>
      </x:c>
      <x:c r="AC143" s="18" t="n">
        <x:f>'原始输入与口径'!E145</x:f>
        <x:v>0.25</x:v>
      </x:c>
      <x:c r="AD143" s="20" t="n">
        <x:f>'原始输入与口径'!$F$5</x:f>
        <x:v>1</x:v>
      </x:c>
      <x:c r="AE143" s="20" t="n">
        <x:f>IF(AA143=0,0,AI143/(AG143*AC143))</x:f>
        <x:v>0</x:v>
      </x:c>
      <x:c r="AF143" s="20" t="n">
        <x:f>IF(AA143=0,0,AJ143/(AH143*AC143))</x:f>
        <x:v>0.14150000000000001</x:v>
      </x:c>
      <x:c r="AG143" s="18" t="n">
        <x:f>IF(ISNUMBER('原始输入与口径'!T145),'原始输入与口径'!T145,"缺失")</x:f>
        <x:v>200</x:v>
      </x:c>
      <x:c r="AH143" s="18" t="n">
        <x:f>IF(ISNUMBER('原始输入与口径'!Y145),'原始输入与口径'!Y145,"缺失")</x:f>
        <x:v>200</x:v>
      </x:c>
      <x:c r="AI143" s="18" t="n">
        <x:f>IF(ISNUMBER('原始输入与口径'!AI145),'原始输入与口径'!AI145,"缺失")</x:f>
        <x:v>0</x:v>
      </x:c>
      <x:c r="AJ143" s="18" t="n">
        <x:f>IF(ISNUMBER('原始输入与口径'!AL145),'原始输入与口径'!AL145,"缺失")</x:f>
        <x:v>7.075</x:v>
      </x:c>
      <x:c r="AK143" s="18" t="str">
        <x:f>IF(ISNUMBER('原始输入与口径'!O145),'原始输入与口径'!O145,"缺失")</x:f>
        <x:v>缺失</x:v>
      </x:c>
      <x:c r="AL143" s="18" t="n">
        <x:f>SUMIFS('相位SOC复算'!$N$7:$N$443,'相位SOC复算'!$S$7:$S$443,137)</x:f>
        <x:v>0.009040277777777779</x:v>
      </x:c>
      <x:c r="AM143" s="18" t="n">
        <x:f>SUMIFS('相位SOC复算'!$Q$7:$Q$443,'相位SOC复算'!$S$7:$S$443,137)</x:f>
        <x:v>3.5375000000000005</x:v>
      </x:c>
      <x:c r="AN143" s="18" t="n">
        <x:f>SUMIFS('相位SOC复算'!$R$7:$R$443,'相位SOC复算'!$S$7:$S$443,137)</x:f>
        <x:v>0</x:v>
      </x:c>
      <x:c r="AO143" s="18" t="n">
        <x:f>'相位SOC复算'!J327</x:f>
        <x:v>173.96688173912986</x:v>
      </x:c>
      <x:c r="AP143" s="18" t="n">
        <x:f>AO143-J143</x:f>
        <x:v>0</x:v>
      </x:c>
      <x:c r="AQ143" s="18" t="n">
        <x:f>IF(ISBLANK('原始输入与口径'!M145),"",'原始输入与口径'!M145)</x:f>
        <x:v>4.9741</x:v>
      </x:c>
      <x:c r="AR143" s="21" t="n">
        <x:f>IF(ISBLANK('原始输入与口径'!L145),"",'原始输入与口径'!L145)</x:f>
        <x:v>45657</x:v>
      </x:c>
      <x:c r="AS143" s="17" t="n">
        <x:f>IF(ISBLANK('原始输入与口径'!A145),"",'原始输入与口径'!A145)</x:f>
        <x:v>45659.333333333336</x:v>
      </x:c>
      <x:c r="AT143" s="18" t="str">
        <x:f>IF(ISBLANK('原始输入与口径'!I145),"",'原始输入与口径'!I145)</x:f>
        <x:v>2025-01-02_10</x:v>
      </x:c>
      <x:c r="AU143" s="19" t="n">
        <x:f>IF(ISBLANK('原始输入与口径'!J145),"",'原始输入与口径'!J145)</x:f>
        <x:v>60</x:v>
      </x:c>
      <x:c r="AV143" s="18" t="str">
        <x:f>IF(ISBLANK('原始输入与口径'!BB145),"",'原始输入与口径'!BB145)</x:f>
        <x:v>OK</x:v>
      </x:c>
    </x:row>
    <x:row r="144" ht="21" customHeight="1">
      <x:c r="A144" s="17" t="n">
        <x:f>45659.427083333336</x:f>
        <x:v>45659.427083333336</x:v>
      </x:c>
      <x:c r="B144" s="23" t="n">
        <x:f>IF(ISNUMBER('原始输入与口径'!H146),'原始输入与口径'!H146,"缺失")</x:f>
        <x:v>129.78</x:v>
      </x:c>
      <x:c r="C144" s="23" t="str">
        <x:f>IF(ISNUMBER('原始输入与口径'!R146),'原始输入与口径'!R146,"缺失")</x:f>
        <x:v>缺失</x:v>
      </x:c>
      <x:c r="D144" s="23" t="n">
        <x:f>IF(ISNUMBER('原始输入与口径'!W146),'原始输入与口径'!W146,"缺失")</x:f>
        <x:v>13.831647936310086</x:v>
      </x:c>
      <x:c r="E144" s="23" t="n">
        <x:f>IF(ISNUMBER('原始输入与口径'!AB146),'原始输入与口径'!AB146,"缺失")</x:f>
        <x:v>14.710198829939085</x:v>
      </x:c>
      <x:c r="F144" s="23" t="n">
        <x:f>IF(ISNUMBER('原始输入与口径'!AG146),'原始输入与口径'!AG146,"缺失")</x:f>
        <x:v>0</x:v>
      </x:c>
      <x:c r="G144" s="23" t="n">
        <x:f>IF(ISNUMBER('原始输入与口径'!AJ146),'原始输入与口径'!AJ146,"缺失")</x:f>
        <x:v>25.69248708309041</x:v>
      </x:c>
      <x:c r="H144" s="23" t="str">
        <x:f>"未模拟"</x:f>
        <x:v>未模拟</x:v>
      </x:c>
      <x:c r="I144" s="24" t="n">
        <x:f>'原始输入与口径'!BD146</x:f>
        <x:v>173.96688173912986</x:v>
      </x:c>
      <x:c r="J144" s="24" t="n">
        <x:f>'原始输入与口径'!BE146</x:f>
        <x:v>174.87216173912987</x:v>
      </x:c>
      <x:c r="K144" s="24" t="n">
        <x:f>'原始输入与口径'!BF146</x:f>
        <x:v>0</x:v>
      </x:c>
      <x:c r="L144" s="24" t="n">
        <x:f>'原始输入与口径'!BG146</x:f>
        <x:v>0</x:v>
      </x:c>
      <x:c r="M144" s="24" t="n">
        <x:f>'原始输入与口径'!BH146</x:f>
        <x:v>100</x:v>
      </x:c>
      <x:c r="N144" s="24" t="n">
        <x:f>'原始输入与口径'!BI146</x:f>
        <x:v>100</x:v>
      </x:c>
      <x:c r="O144" s="24" t="n">
        <x:f>M144*AE144*AC144</x:f>
        <x:v>0</x:v>
      </x:c>
      <x:c r="P144" s="24" t="n">
        <x:f>N144*AF144*AC144</x:f>
        <x:v>0.984</x:v>
      </x:c>
      <x:c r="Q144" s="25" t="n">
        <x:f>IF(K144=0,0,IF(ISNUMBER(B144),K144*AC144*B144,NA()))</x:f>
        <x:v>0</x:v>
      </x:c>
      <x:c r="R144" s="25" t="n">
        <x:f>IF(L144=0,0,IF(ISNUMBER(C144),L144*AC144*C144*AD144,NA()))</x:f>
        <x:v>0</x:v>
      </x:c>
      <x:c r="S144" s="25" t="n">
        <x:f>IF(M144=0,0,IF(ISNUMBER(D144),M144*AC144*D144*AD144,NA()))</x:f>
        <x:v>345.7911984077521</x:v>
      </x:c>
      <x:c r="T144" s="25" t="n">
        <x:f>IF(N144=0,0,IF(ISNUMBER(E144),N144*AC144*E144*AD144,NA()))</x:f>
        <x:v>367.7549707484771</x:v>
      </x:c>
      <x:c r="U144" s="25" t="n">
        <x:f>IF(O144=0,0,IF(ISNUMBER(F144),O144*F144,NA()))</x:f>
        <x:v>0</x:v>
      </x:c>
      <x:c r="V144" s="25" t="n">
        <x:f>IF(P144=0,0,IF(ISNUMBER(G144),-P144*G144,NA()))</x:f>
        <x:v>-25.281407289760963</x:v>
      </x:c>
      <x:c r="W144" s="25" t="n">
        <x:f>SUM(Q144:V144)</x:f>
        <x:v>688.2647618664682</x:v>
      </x:c>
      <x:c r="X144" s="18" t="n">
        <x:f>'原始输入与口径'!BR146</x:f>
        <x:v>688.2647618664682</x:v>
      </x:c>
      <x:c r="Y144" s="18" t="n">
        <x:f>W144-X144</x:f>
        <x:v>0</x:v>
      </x:c>
      <x:c r="Z144" s="18" t="str">
        <x:f>"1月2日计划｜本窗新增"</x:f>
        <x:v>1月2日计划｜本窗新增</x:v>
      </x:c>
      <x:c r="AA144" s="19" t="n">
        <x:f>IF('原始输入与口径'!AW146,1,0)</x:f>
        <x:v>1</x:v>
      </x:c>
      <x:c r="AB144" s="19" t="n">
        <x:f>IF('原始输入与口径'!AY146,1,0)</x:f>
        <x:v>0</x:v>
      </x:c>
      <x:c r="AC144" s="18" t="n">
        <x:f>'原始输入与口径'!E146</x:f>
        <x:v>0.25</x:v>
      </x:c>
      <x:c r="AD144" s="20" t="n">
        <x:f>'原始输入与口径'!$F$5</x:f>
        <x:v>1</x:v>
      </x:c>
      <x:c r="AE144" s="20" t="n">
        <x:f>IF(AA144=0,0,AI144/(AG144*AC144))</x:f>
        <x:v>0</x:v>
      </x:c>
      <x:c r="AF144" s="20" t="n">
        <x:f>IF(AA144=0,0,AJ144/(AH144*AC144))</x:f>
        <x:v>0.03936</x:v>
      </x:c>
      <x:c r="AG144" s="18" t="n">
        <x:f>IF(ISNUMBER('原始输入与口径'!T146),'原始输入与口径'!T146,"缺失")</x:f>
        <x:v>200</x:v>
      </x:c>
      <x:c r="AH144" s="18" t="n">
        <x:f>IF(ISNUMBER('原始输入与口径'!Y146),'原始输入与口径'!Y146,"缺失")</x:f>
        <x:v>200</x:v>
      </x:c>
      <x:c r="AI144" s="18" t="n">
        <x:f>IF(ISNUMBER('原始输入与口径'!AI146),'原始输入与口径'!AI146,"缺失")</x:f>
        <x:v>0</x:v>
      </x:c>
      <x:c r="AJ144" s="18" t="n">
        <x:f>IF(ISNUMBER('原始输入与口径'!AL146),'原始输入与口径'!AL146,"缺失")</x:f>
        <x:v>1.968</x:v>
      </x:c>
      <x:c r="AK144" s="18" t="str">
        <x:f>IF(ISNUMBER('原始输入与口径'!O146),'原始输入与口径'!O146,"缺失")</x:f>
        <x:v>缺失</x:v>
      </x:c>
      <x:c r="AL144" s="18" t="n">
        <x:f>SUMIFS('相位SOC复算'!$N$7:$N$443,'相位SOC复算'!$S$7:$S$443,138)</x:f>
        <x:v>0.002514666666666667</x:v>
      </x:c>
      <x:c r="AM144" s="18" t="n">
        <x:f>SUMIFS('相位SOC复算'!$Q$7:$Q$443,'相位SOC复算'!$S$7:$S$443,138)</x:f>
        <x:v>0.984</x:v>
      </x:c>
      <x:c r="AN144" s="18" t="n">
        <x:f>SUMIFS('相位SOC复算'!$R$7:$R$443,'相位SOC复算'!$S$7:$S$443,138)</x:f>
        <x:v>0</x:v>
      </x:c>
      <x:c r="AO144" s="18" t="n">
        <x:f>'相位SOC复算'!J329</x:f>
        <x:v>174.87216173912987</x:v>
      </x:c>
      <x:c r="AP144" s="18" t="n">
        <x:f>AO144-J144</x:f>
        <x:v>0</x:v>
      </x:c>
      <x:c r="AQ144" s="18" t="n">
        <x:f>IF(ISBLANK('原始输入与口径'!M146),"",'原始输入与口径'!M146)</x:f>
        <x:v>4.9741</x:v>
      </x:c>
      <x:c r="AR144" s="21" t="n">
        <x:f>IF(ISBLANK('原始输入与口径'!L146),"",'原始输入与口径'!L146)</x:f>
        <x:v>45657</x:v>
      </x:c>
      <x:c r="AS144" s="17" t="n">
        <x:f>IF(ISBLANK('原始输入与口径'!A146),"",'原始输入与口径'!A146)</x:f>
        <x:v>45659.34375</x:v>
      </x:c>
      <x:c r="AT144" s="18" t="str">
        <x:f>IF(ISBLANK('原始输入与口径'!I146),"",'原始输入与口径'!I146)</x:f>
        <x:v>2025-01-02_10</x:v>
      </x:c>
      <x:c r="AU144" s="19" t="n">
        <x:f>IF(ISBLANK('原始输入与口径'!J146),"",'原始输入与口径'!J146)</x:f>
        <x:v>60</x:v>
      </x:c>
      <x:c r="AV144" s="18" t="str">
        <x:f>IF(ISBLANK('原始输入与口径'!BB146),"",'原始输入与口径'!BB146)</x:f>
        <x:v>OK</x:v>
      </x:c>
    </x:row>
    <x:row r="145" ht="21" customHeight="1">
      <x:c r="A145" s="17" t="n">
        <x:f>45659.4375</x:f>
        <x:v>45659.4375</x:v>
      </x:c>
      <x:c r="B145" s="23" t="n">
        <x:f>IF(ISNUMBER('原始输入与口径'!H147),'原始输入与口径'!H147,"缺失")</x:f>
        <x:v>129.78</x:v>
      </x:c>
      <x:c r="C145" s="23" t="str">
        <x:f>IF(ISNUMBER('原始输入与口径'!R147),'原始输入与口径'!R147,"缺失")</x:f>
        <x:v>缺失</x:v>
      </x:c>
      <x:c r="D145" s="23" t="n">
        <x:f>IF(ISNUMBER('原始输入与口径'!W147),'原始输入与口径'!W147,"缺失")</x:f>
        <x:v>13.831647936310086</x:v>
      </x:c>
      <x:c r="E145" s="23" t="n">
        <x:f>IF(ISNUMBER('原始输入与口径'!AB147),'原始输入与口径'!AB147,"缺失")</x:f>
        <x:v>14.710198829939085</x:v>
      </x:c>
      <x:c r="F145" s="23" t="n">
        <x:f>IF(ISNUMBER('原始输入与口径'!AG147),'原始输入与口径'!AG147,"缺失")</x:f>
        <x:v>0</x:v>
      </x:c>
      <x:c r="G145" s="23" t="n">
        <x:f>IF(ISNUMBER('原始输入与口径'!AJ147),'原始输入与口径'!AJ147,"缺失")</x:f>
        <x:v>20.759735429524937</x:v>
      </x:c>
      <x:c r="H145" s="23" t="str">
        <x:f>"未模拟"</x:f>
        <x:v>未模拟</x:v>
      </x:c>
      <x:c r="I145" s="24" t="n">
        <x:f>'原始输入与口径'!BD147</x:f>
        <x:v>174.87216173912987</x:v>
      </x:c>
      <x:c r="J145" s="24" t="n">
        <x:f>'原始输入与口径'!BE147</x:f>
        <x:v>176.61234173912987</x:v>
      </x:c>
      <x:c r="K145" s="24" t="n">
        <x:f>'原始输入与口径'!BF147</x:f>
        <x:v>0</x:v>
      </x:c>
      <x:c r="L145" s="24" t="n">
        <x:f>'原始输入与口径'!BG147</x:f>
        <x:v>0</x:v>
      </x:c>
      <x:c r="M145" s="24" t="n">
        <x:f>'原始输入与口径'!BH147</x:f>
        <x:v>100</x:v>
      </x:c>
      <x:c r="N145" s="24" t="n">
        <x:f>'原始输入与口径'!BI147</x:f>
        <x:v>100</x:v>
      </x:c>
      <x:c r="O145" s="24" t="n">
        <x:f>M145*AE145*AC145</x:f>
        <x:v>0</x:v>
      </x:c>
      <x:c r="P145" s="24" t="n">
        <x:f>N145*AF145*AC145</x:f>
        <x:v>1.8915000000000002</x:v>
      </x:c>
      <x:c r="Q145" s="25" t="n">
        <x:f>IF(K145=0,0,IF(ISNUMBER(B145),K145*AC145*B145,NA()))</x:f>
        <x:v>0</x:v>
      </x:c>
      <x:c r="R145" s="25" t="n">
        <x:f>IF(L145=0,0,IF(ISNUMBER(C145),L145*AC145*C145*AD145,NA()))</x:f>
        <x:v>0</x:v>
      </x:c>
      <x:c r="S145" s="25" t="n">
        <x:f>IF(M145=0,0,IF(ISNUMBER(D145),M145*AC145*D145*AD145,NA()))</x:f>
        <x:v>345.7911984077521</x:v>
      </x:c>
      <x:c r="T145" s="25" t="n">
        <x:f>IF(N145=0,0,IF(ISNUMBER(E145),N145*AC145*E145*AD145,NA()))</x:f>
        <x:v>367.7549707484771</x:v>
      </x:c>
      <x:c r="U145" s="25" t="n">
        <x:f>IF(O145=0,0,IF(ISNUMBER(F145),O145*F145,NA()))</x:f>
        <x:v>0</x:v>
      </x:c>
      <x:c r="V145" s="25" t="n">
        <x:f>IF(P145=0,0,IF(ISNUMBER(G145),-P145*G145,NA()))</x:f>
        <x:v>-39.26703956494642</x:v>
      </x:c>
      <x:c r="W145" s="25" t="n">
        <x:f>SUM(Q145:V145)</x:f>
        <x:v>674.2791295912828</x:v>
      </x:c>
      <x:c r="X145" s="18" t="n">
        <x:f>'原始输入与口径'!BR147</x:f>
        <x:v>674.2791295912828</x:v>
      </x:c>
      <x:c r="Y145" s="18" t="n">
        <x:f>W145-X145</x:f>
        <x:v>0</x:v>
      </x:c>
      <x:c r="Z145" s="18" t="str">
        <x:f>"1月2日计划｜本窗新增"</x:f>
        <x:v>1月2日计划｜本窗新增</x:v>
      </x:c>
      <x:c r="AA145" s="19" t="n">
        <x:f>IF('原始输入与口径'!AW147,1,0)</x:f>
        <x:v>1</x:v>
      </x:c>
      <x:c r="AB145" s="19" t="n">
        <x:f>IF('原始输入与口径'!AY147,1,0)</x:f>
        <x:v>0</x:v>
      </x:c>
      <x:c r="AC145" s="18" t="n">
        <x:f>'原始输入与口径'!E147</x:f>
        <x:v>0.25</x:v>
      </x:c>
      <x:c r="AD145" s="20" t="n">
        <x:f>'原始输入与口径'!$F$5</x:f>
        <x:v>1</x:v>
      </x:c>
      <x:c r="AE145" s="20" t="n">
        <x:f>IF(AA145=0,0,AI145/(AG145*AC145))</x:f>
        <x:v>0</x:v>
      </x:c>
      <x:c r="AF145" s="20" t="n">
        <x:f>IF(AA145=0,0,AJ145/(AH145*AC145))</x:f>
        <x:v>0.07566</x:v>
      </x:c>
      <x:c r="AG145" s="18" t="n">
        <x:f>IF(ISNUMBER('原始输入与口径'!T147),'原始输入与口径'!T147,"缺失")</x:f>
        <x:v>200</x:v>
      </x:c>
      <x:c r="AH145" s="18" t="n">
        <x:f>IF(ISNUMBER('原始输入与口径'!Y147),'原始输入与口径'!Y147,"缺失")</x:f>
        <x:v>200</x:v>
      </x:c>
      <x:c r="AI145" s="18" t="n">
        <x:f>IF(ISNUMBER('原始输入与口径'!AI147),'原始输入与口径'!AI147,"缺失")</x:f>
        <x:v>0</x:v>
      </x:c>
      <x:c r="AJ145" s="18" t="n">
        <x:f>IF(ISNUMBER('原始输入与口径'!AL147),'原始输入与口径'!AL147,"缺失")</x:f>
        <x:v>3.783</x:v>
      </x:c>
      <x:c r="AK145" s="18" t="str">
        <x:f>IF(ISNUMBER('原始输入与口径'!O147),'原始输入与口径'!O147,"缺失")</x:f>
        <x:v>缺失</x:v>
      </x:c>
      <x:c r="AL145" s="18" t="n">
        <x:f>SUMIFS('相位SOC复算'!$N$7:$N$443,'相位SOC复算'!$S$7:$S$443,139)</x:f>
        <x:v>0.004833833333333333</x:v>
      </x:c>
      <x:c r="AM145" s="18" t="n">
        <x:f>SUMIFS('相位SOC复算'!$Q$7:$Q$443,'相位SOC复算'!$S$7:$S$443,139)</x:f>
        <x:v>1.8915000000000002</x:v>
      </x:c>
      <x:c r="AN145" s="18" t="n">
        <x:f>SUMIFS('相位SOC复算'!$R$7:$R$443,'相位SOC复算'!$S$7:$S$443,139)</x:f>
        <x:v>0</x:v>
      </x:c>
      <x:c r="AO145" s="18" t="n">
        <x:f>'相位SOC复算'!J331</x:f>
        <x:v>176.61234173912987</x:v>
      </x:c>
      <x:c r="AP145" s="18" t="n">
        <x:f>AO145-J145</x:f>
        <x:v>0</x:v>
      </x:c>
      <x:c r="AQ145" s="18" t="n">
        <x:f>IF(ISBLANK('原始输入与口径'!M147),"",'原始输入与口径'!M147)</x:f>
        <x:v>4.9741</x:v>
      </x:c>
      <x:c r="AR145" s="21" t="n">
        <x:f>IF(ISBLANK('原始输入与口径'!L147),"",'原始输入与口径'!L147)</x:f>
        <x:v>45657</x:v>
      </x:c>
      <x:c r="AS145" s="17" t="n">
        <x:f>IF(ISBLANK('原始输入与口径'!A147),"",'原始输入与口径'!A147)</x:f>
        <x:v>45659.354166666664</x:v>
      </x:c>
      <x:c r="AT145" s="18" t="str">
        <x:f>IF(ISBLANK('原始输入与口径'!I147),"",'原始输入与口径'!I147)</x:f>
        <x:v>2025-01-02_10</x:v>
      </x:c>
      <x:c r="AU145" s="19" t="n">
        <x:f>IF(ISBLANK('原始输入与口径'!J147),"",'原始输入与口径'!J147)</x:f>
        <x:v>60</x:v>
      </x:c>
      <x:c r="AV145" s="18" t="str">
        <x:f>IF(ISBLANK('原始输入与口径'!BB147),"",'原始输入与口径'!BB147)</x:f>
        <x:v>OK</x:v>
      </x:c>
    </x:row>
    <x:row r="146" ht="21" customHeight="1">
      <x:c r="A146" s="17" t="n">
        <x:f>45659.447916666664</x:f>
        <x:v>45659.447916666664</x:v>
      </x:c>
      <x:c r="B146" s="23" t="n">
        <x:f>IF(ISNUMBER('原始输入与口径'!H148),'原始输入与口径'!H148,"缺失")</x:f>
        <x:v>129.78</x:v>
      </x:c>
      <x:c r="C146" s="23" t="str">
        <x:f>IF(ISNUMBER('原始输入与口径'!R148),'原始输入与口径'!R148,"缺失")</x:f>
        <x:v>缺失</x:v>
      </x:c>
      <x:c r="D146" s="23" t="n">
        <x:f>IF(ISNUMBER('原始输入与口径'!W148),'原始输入与口径'!W148,"缺失")</x:f>
        <x:v>13.831647936310086</x:v>
      </x:c>
      <x:c r="E146" s="23" t="n">
        <x:f>IF(ISNUMBER('原始输入与口径'!AB148),'原始输入与口径'!AB148,"缺失")</x:f>
        <x:v>14.710198829939085</x:v>
      </x:c>
      <x:c r="F146" s="23" t="n">
        <x:f>IF(ISNUMBER('原始输入与口径'!AG148),'原始输入与口径'!AG148,"缺失")</x:f>
        <x:v>0</x:v>
      </x:c>
      <x:c r="G146" s="23" t="n">
        <x:f>IF(ISNUMBER('原始输入与口径'!AJ148),'原始输入与口径'!AJ148,"缺失")</x:f>
        <x:v>19.618423433384933</x:v>
      </x:c>
      <x:c r="H146" s="23" t="str">
        <x:f>"未模拟"</x:f>
        <x:v>未模拟</x:v>
      </x:c>
      <x:c r="I146" s="24" t="n">
        <x:f>'原始输入与口径'!BD148</x:f>
        <x:v>176.61234173912987</x:v>
      </x:c>
      <x:c r="J146" s="24" t="n">
        <x:f>'原始输入与口径'!BE148</x:f>
        <x:v>178.45740173912986</x:v>
      </x:c>
      <x:c r="K146" s="24" t="n">
        <x:f>'原始输入与口径'!BF148</x:f>
        <x:v>0</x:v>
      </x:c>
      <x:c r="L146" s="24" t="n">
        <x:f>'原始输入与口径'!BG148</x:f>
        <x:v>0</x:v>
      </x:c>
      <x:c r="M146" s="24" t="n">
        <x:f>'原始输入与口径'!BH148</x:f>
        <x:v>100</x:v>
      </x:c>
      <x:c r="N146" s="24" t="n">
        <x:f>'原始输入与口径'!BI148</x:f>
        <x:v>100</x:v>
      </x:c>
      <x:c r="O146" s="24" t="n">
        <x:f>M146*AE146*AC146</x:f>
        <x:v>0</x:v>
      </x:c>
      <x:c r="P146" s="24" t="n">
        <x:f>N146*AF146*AC146</x:f>
        <x:v>2.0055</x:v>
      </x:c>
      <x:c r="Q146" s="25" t="n">
        <x:f>IF(K146=0,0,IF(ISNUMBER(B146),K146*AC146*B146,NA()))</x:f>
        <x:v>0</x:v>
      </x:c>
      <x:c r="R146" s="25" t="n">
        <x:f>IF(L146=0,0,IF(ISNUMBER(C146),L146*AC146*C146*AD146,NA()))</x:f>
        <x:v>0</x:v>
      </x:c>
      <x:c r="S146" s="25" t="n">
        <x:f>IF(M146=0,0,IF(ISNUMBER(D146),M146*AC146*D146*AD146,NA()))</x:f>
        <x:v>345.7911984077521</x:v>
      </x:c>
      <x:c r="T146" s="25" t="n">
        <x:f>IF(N146=0,0,IF(ISNUMBER(E146),N146*AC146*E146*AD146,NA()))</x:f>
        <x:v>367.7549707484771</x:v>
      </x:c>
      <x:c r="U146" s="25" t="n">
        <x:f>IF(O146=0,0,IF(ISNUMBER(F146),O146*F146,NA()))</x:f>
        <x:v>0</x:v>
      </x:c>
      <x:c r="V146" s="25" t="n">
        <x:f>IF(P146=0,0,IF(ISNUMBER(G146),-P146*G146,NA()))</x:f>
        <x:v>-39.34474819565349</x:v>
      </x:c>
      <x:c r="W146" s="25" t="n">
        <x:f>SUM(Q146:V146)</x:f>
        <x:v>674.2014209605758</x:v>
      </x:c>
      <x:c r="X146" s="18" t="n">
        <x:f>'原始输入与口径'!BR148</x:f>
        <x:v>674.2014209605758</x:v>
      </x:c>
      <x:c r="Y146" s="18" t="n">
        <x:f>W146-X146</x:f>
        <x:v>0</x:v>
      </x:c>
      <x:c r="Z146" s="18" t="str">
        <x:f>"1月2日计划｜本窗新增"</x:f>
        <x:v>1月2日计划｜本窗新增</x:v>
      </x:c>
      <x:c r="AA146" s="19" t="n">
        <x:f>IF('原始输入与口径'!AW148,1,0)</x:f>
        <x:v>1</x:v>
      </x:c>
      <x:c r="AB146" s="19" t="n">
        <x:f>IF('原始输入与口径'!AY148,1,0)</x:f>
        <x:v>0</x:v>
      </x:c>
      <x:c r="AC146" s="18" t="n">
        <x:f>'原始输入与口径'!E148</x:f>
        <x:v>0.25</x:v>
      </x:c>
      <x:c r="AD146" s="20" t="n">
        <x:f>'原始输入与口径'!$F$5</x:f>
        <x:v>1</x:v>
      </x:c>
      <x:c r="AE146" s="20" t="n">
        <x:f>IF(AA146=0,0,AI146/(AG146*AC146))</x:f>
        <x:v>0</x:v>
      </x:c>
      <x:c r="AF146" s="20" t="n">
        <x:f>IF(AA146=0,0,AJ146/(AH146*AC146))</x:f>
        <x:v>0.08022</x:v>
      </x:c>
      <x:c r="AG146" s="18" t="n">
        <x:f>IF(ISNUMBER('原始输入与口径'!T148),'原始输入与口径'!T148,"缺失")</x:f>
        <x:v>200</x:v>
      </x:c>
      <x:c r="AH146" s="18" t="n">
        <x:f>IF(ISNUMBER('原始输入与口径'!Y148),'原始输入与口径'!Y148,"缺失")</x:f>
        <x:v>200</x:v>
      </x:c>
      <x:c r="AI146" s="18" t="n">
        <x:f>IF(ISNUMBER('原始输入与口径'!AI148),'原始输入与口径'!AI148,"缺失")</x:f>
        <x:v>0</x:v>
      </x:c>
      <x:c r="AJ146" s="18" t="n">
        <x:f>IF(ISNUMBER('原始输入与口径'!AL148),'原始输入与口径'!AL148,"缺失")</x:f>
        <x:v>4.011</x:v>
      </x:c>
      <x:c r="AK146" s="18" t="str">
        <x:f>IF(ISNUMBER('原始输入与口径'!O148),'原始输入与口径'!O148,"缺失")</x:f>
        <x:v>缺失</x:v>
      </x:c>
      <x:c r="AL146" s="18" t="n">
        <x:f>SUMIFS('相位SOC复算'!$N$7:$N$443,'相位SOC复算'!$S$7:$S$443,140)</x:f>
        <x:v>0.005125166666666667</x:v>
      </x:c>
      <x:c r="AM146" s="18" t="n">
        <x:f>SUMIFS('相位SOC复算'!$Q$7:$Q$443,'相位SOC复算'!$S$7:$S$443,140)</x:f>
        <x:v>2.0055</x:v>
      </x:c>
      <x:c r="AN146" s="18" t="n">
        <x:f>SUMIFS('相位SOC复算'!$R$7:$R$443,'相位SOC复算'!$S$7:$S$443,140)</x:f>
        <x:v>0</x:v>
      </x:c>
      <x:c r="AO146" s="18" t="n">
        <x:f>'相位SOC复算'!J333</x:f>
        <x:v>178.45740173912986</x:v>
      </x:c>
      <x:c r="AP146" s="18" t="n">
        <x:f>AO146-J146</x:f>
        <x:v>0</x:v>
      </x:c>
      <x:c r="AQ146" s="18" t="n">
        <x:f>IF(ISBLANK('原始输入与口径'!M148),"",'原始输入与口径'!M148)</x:f>
        <x:v>4.9741</x:v>
      </x:c>
      <x:c r="AR146" s="21" t="n">
        <x:f>IF(ISBLANK('原始输入与口径'!L148),"",'原始输入与口径'!L148)</x:f>
        <x:v>45657</x:v>
      </x:c>
      <x:c r="AS146" s="17" t="n">
        <x:f>IF(ISBLANK('原始输入与口径'!A148),"",'原始输入与口径'!A148)</x:f>
        <x:v>45659.364583333336</x:v>
      </x:c>
      <x:c r="AT146" s="18" t="str">
        <x:f>IF(ISBLANK('原始输入与口径'!I148),"",'原始输入与口径'!I148)</x:f>
        <x:v>2025-01-02_10</x:v>
      </x:c>
      <x:c r="AU146" s="19" t="n">
        <x:f>IF(ISBLANK('原始输入与口径'!J148),"",'原始输入与口径'!J148)</x:f>
        <x:v>60</x:v>
      </x:c>
      <x:c r="AV146" s="18" t="str">
        <x:f>IF(ISBLANK('原始输入与口径'!BB148),"",'原始输入与口径'!BB148)</x:f>
        <x:v>OK</x:v>
      </x:c>
    </x:row>
    <x:row r="147" ht="21" customHeight="1">
      <x:c r="A147" s="17" t="n">
        <x:f>45659.458333333336</x:f>
        <x:v>45659.458333333336</x:v>
      </x:c>
      <x:c r="B147" s="23" t="n">
        <x:f>IF(ISNUMBER('原始输入与口径'!H149),'原始输入与口径'!H149,"缺失")</x:f>
        <x:v>128.35</x:v>
      </x:c>
      <x:c r="C147" s="23" t="str">
        <x:f>IF(ISNUMBER('原始输入与口径'!R149),'原始输入与口径'!R149,"缺失")</x:f>
        <x:v>缺失</x:v>
      </x:c>
      <x:c r="D147" s="23" t="n">
        <x:f>IF(ISNUMBER('原始输入与口径'!W149),'原始输入与口径'!W149,"缺失")</x:f>
        <x:v>13.71102309965622</x:v>
      </x:c>
      <x:c r="E147" s="23" t="n">
        <x:f>IF(ISNUMBER('原始输入与口径'!AB149),'原始输入与口径'!AB149,"缺失")</x:f>
        <x:v>14.710198829939085</x:v>
      </x:c>
      <x:c r="F147" s="23" t="n">
        <x:f>IF(ISNUMBER('原始输入与口径'!AG149),'原始输入与口径'!AG149,"缺失")</x:f>
        <x:v>134.45748979714924</x:v>
      </x:c>
      <x:c r="G147" s="23" t="n">
        <x:f>IF(ISNUMBER('原始输入与口径'!AJ149),'原始输入与口径'!AJ149,"缺失")</x:f>
        <x:v>0</x:v>
      </x:c>
      <x:c r="H147" s="23" t="str">
        <x:f>"未模拟"</x:f>
        <x:v>未模拟</x:v>
      </x:c>
      <x:c r="I147" s="24" t="n">
        <x:f>'原始输入与口径'!BD149</x:f>
        <x:v>178.45740173912986</x:v>
      </x:c>
      <x:c r="J147" s="24" t="n">
        <x:f>'原始输入与口径'!BE149</x:f>
        <x:v>177.79327130434726</x:v>
      </x:c>
      <x:c r="K147" s="24" t="n">
        <x:f>'原始输入与口径'!BF149</x:f>
        <x:v>0</x:v>
      </x:c>
      <x:c r="L147" s="24" t="n">
        <x:f>'原始输入与口径'!BG149</x:f>
        <x:v>0</x:v>
      </x:c>
      <x:c r="M147" s="24" t="n">
        <x:f>'原始输入与口径'!BH149</x:f>
        <x:v>100</x:v>
      </x:c>
      <x:c r="N147" s="24" t="n">
        <x:f>'原始输入与口径'!BI149</x:f>
        <x:v>100</x:v>
      </x:c>
      <x:c r="O147" s="24" t="n">
        <x:f>M147*AE147*AC147</x:f>
        <x:v>0.611</x:v>
      </x:c>
      <x:c r="P147" s="24" t="n">
        <x:f>N147*AF147*AC147</x:f>
        <x:v>0</x:v>
      </x:c>
      <x:c r="Q147" s="25" t="n">
        <x:f>IF(K147=0,0,IF(ISNUMBER(B147),K147*AC147*B147,NA()))</x:f>
        <x:v>0</x:v>
      </x:c>
      <x:c r="R147" s="25" t="n">
        <x:f>IF(L147=0,0,IF(ISNUMBER(C147),L147*AC147*C147*AD147,NA()))</x:f>
        <x:v>0</x:v>
      </x:c>
      <x:c r="S147" s="25" t="n">
        <x:f>IF(M147=0,0,IF(ISNUMBER(D147),M147*AC147*D147*AD147,NA()))</x:f>
        <x:v>342.7755774914055</x:v>
      </x:c>
      <x:c r="T147" s="25" t="n">
        <x:f>IF(N147=0,0,IF(ISNUMBER(E147),N147*AC147*E147*AD147,NA()))</x:f>
        <x:v>367.7549707484771</x:v>
      </x:c>
      <x:c r="U147" s="25" t="n">
        <x:f>IF(O147=0,0,IF(ISNUMBER(F147),O147*F147,NA()))</x:f>
        <x:v>82.15352626605818</x:v>
      </x:c>
      <x:c r="V147" s="25" t="n">
        <x:f>IF(P147=0,0,IF(ISNUMBER(G147),-P147*G147,NA()))</x:f>
        <x:v>0</x:v>
      </x:c>
      <x:c r="W147" s="25" t="n">
        <x:f>SUM(Q147:V147)</x:f>
        <x:v>792.6840745059408</x:v>
      </x:c>
      <x:c r="X147" s="18" t="n">
        <x:f>'原始输入与口径'!BR149</x:f>
        <x:v>792.6840745059408</x:v>
      </x:c>
      <x:c r="Y147" s="18" t="n">
        <x:f>W147-X147</x:f>
        <x:v>0</x:v>
      </x:c>
      <x:c r="Z147" s="18" t="str">
        <x:f>"1月2日计划｜本窗新增"</x:f>
        <x:v>1月2日计划｜本窗新增</x:v>
      </x:c>
      <x:c r="AA147" s="19" t="n">
        <x:f>IF('原始输入与口径'!AW149,1,0)</x:f>
        <x:v>1</x:v>
      </x:c>
      <x:c r="AB147" s="19" t="n">
        <x:f>IF('原始输入与口径'!AY149,1,0)</x:f>
        <x:v>0</x:v>
      </x:c>
      <x:c r="AC147" s="18" t="n">
        <x:f>'原始输入与口径'!E149</x:f>
        <x:v>0.25</x:v>
      </x:c>
      <x:c r="AD147" s="20" t="n">
        <x:f>'原始输入与口径'!$F$5</x:f>
        <x:v>1</x:v>
      </x:c>
      <x:c r="AE147" s="20" t="n">
        <x:f>IF(AA147=0,0,AI147/(AG147*AC147))</x:f>
        <x:v>0.02444</x:v>
      </x:c>
      <x:c r="AF147" s="20" t="n">
        <x:f>IF(AA147=0,0,AJ147/(AH147*AC147))</x:f>
        <x:v>0</x:v>
      </x:c>
      <x:c r="AG147" s="18" t="n">
        <x:f>IF(ISNUMBER('原始输入与口径'!T149),'原始输入与口径'!T149,"缺失")</x:f>
        <x:v>200</x:v>
      </x:c>
      <x:c r="AH147" s="18" t="n">
        <x:f>IF(ISNUMBER('原始输入与口径'!Y149),'原始输入与口径'!Y149,"缺失")</x:f>
        <x:v>200</x:v>
      </x:c>
      <x:c r="AI147" s="18" t="n">
        <x:f>IF(ISNUMBER('原始输入与口径'!AI149),'原始输入与口径'!AI149,"缺失")</x:f>
        <x:v>1.222</x:v>
      </x:c>
      <x:c r="AJ147" s="18" t="n">
        <x:f>IF(ISNUMBER('原始输入与口径'!AL149),'原始输入与口径'!AL149,"缺失")</x:f>
        <x:v>0</x:v>
      </x:c>
      <x:c r="AK147" s="18" t="str">
        <x:f>IF(ISNUMBER('原始输入与口径'!O149),'原始输入与口径'!O149,"缺失")</x:f>
        <x:v>缺失</x:v>
      </x:c>
      <x:c r="AL147" s="18" t="n">
        <x:f>SUMIFS('相位SOC复算'!$N$7:$N$443,'相位SOC复算'!$S$7:$S$443,141)</x:f>
        <x:v>0.0018448067632850238</x:v>
      </x:c>
      <x:c r="AM147" s="18" t="n">
        <x:f>SUMIFS('相位SOC复算'!$Q$7:$Q$443,'相位SOC复算'!$S$7:$S$443,141)</x:f>
        <x:v>0</x:v>
      </x:c>
      <x:c r="AN147" s="18" t="n">
        <x:f>SUMIFS('相位SOC复算'!$R$7:$R$443,'相位SOC复算'!$S$7:$S$443,141)</x:f>
        <x:v>0.611</x:v>
      </x:c>
      <x:c r="AO147" s="18" t="n">
        <x:f>'相位SOC复算'!J335</x:f>
        <x:v>177.79327130434726</x:v>
      </x:c>
      <x:c r="AP147" s="18" t="n">
        <x:f>AO147-J147</x:f>
        <x:v>0</x:v>
      </x:c>
      <x:c r="AQ147" s="18" t="n">
        <x:f>IF(ISBLANK('原始输入与口径'!M149),"",'原始输入与口径'!M149)</x:f>
        <x:v>4.9741</x:v>
      </x:c>
      <x:c r="AR147" s="21" t="n">
        <x:f>IF(ISBLANK('原始输入与口径'!L149),"",'原始输入与口径'!L149)</x:f>
        <x:v>45657</x:v>
      </x:c>
      <x:c r="AS147" s="17" t="n">
        <x:f>IF(ISBLANK('原始输入与口径'!A149),"",'原始输入与口径'!A149)</x:f>
        <x:v>45659.375</x:v>
      </x:c>
      <x:c r="AT147" s="18" t="str">
        <x:f>IF(ISBLANK('原始输入与口径'!I149),"",'原始输入与口径'!I149)</x:f>
        <x:v>2025-01-02_11</x:v>
      </x:c>
      <x:c r="AU147" s="19" t="n">
        <x:f>IF(ISBLANK('原始输入与口径'!J149),"",'原始输入与口径'!J149)</x:f>
        <x:v>60</x:v>
      </x:c>
      <x:c r="AV147" s="18" t="str">
        <x:f>IF(ISBLANK('原始输入与口径'!BB149),"",'原始输入与口径'!BB149)</x:f>
        <x:v>OK</x:v>
      </x:c>
    </x:row>
    <x:row r="148" ht="21" customHeight="1">
      <x:c r="A148" s="17" t="n">
        <x:f>45659.46875</x:f>
        <x:v>45659.46875</x:v>
      </x:c>
      <x:c r="B148" s="23" t="n">
        <x:f>IF(ISNUMBER('原始输入与口径'!H150),'原始输入与口径'!H150,"缺失")</x:f>
        <x:v>128.35</x:v>
      </x:c>
      <x:c r="C148" s="23" t="str">
        <x:f>IF(ISNUMBER('原始输入与口径'!R150),'原始输入与口径'!R150,"缺失")</x:f>
        <x:v>缺失</x:v>
      </x:c>
      <x:c r="D148" s="23" t="n">
        <x:f>IF(ISNUMBER('原始输入与口径'!W150),'原始输入与口径'!W150,"缺失")</x:f>
        <x:v>13.71102309965622</x:v>
      </x:c>
      <x:c r="E148" s="23" t="n">
        <x:f>IF(ISNUMBER('原始输入与口径'!AB150),'原始输入与口径'!AB150,"缺失")</x:f>
        <x:v>14.710198829939085</x:v>
      </x:c>
      <x:c r="F148" s="23" t="n">
        <x:f>IF(ISNUMBER('原始输入与口径'!AG150),'原始输入与口径'!AG150,"缺失")</x:f>
        <x:v>0</x:v>
      </x:c>
      <x:c r="G148" s="23" t="n">
        <x:f>IF(ISNUMBER('原始输入与口径'!AJ150),'原始输入与口径'!AJ150,"缺失")</x:f>
        <x:v>26.47373394181862</x:v>
      </x:c>
      <x:c r="H148" s="23" t="str">
        <x:f>"未模拟"</x:f>
        <x:v>未模拟</x:v>
      </x:c>
      <x:c r="I148" s="24" t="n">
        <x:f>'原始输入与口径'!BD150</x:f>
        <x:v>177.79327130434726</x:v>
      </x:c>
      <x:c r="J148" s="24" t="n">
        <x:f>'原始输入与口径'!BE150</x:f>
        <x:v>178.31813130434725</x:v>
      </x:c>
      <x:c r="K148" s="24" t="n">
        <x:f>'原始输入与口径'!BF150</x:f>
        <x:v>0</x:v>
      </x:c>
      <x:c r="L148" s="24" t="n">
        <x:f>'原始输入与口径'!BG150</x:f>
        <x:v>0</x:v>
      </x:c>
      <x:c r="M148" s="24" t="n">
        <x:f>'原始输入与口径'!BH150</x:f>
        <x:v>100</x:v>
      </x:c>
      <x:c r="N148" s="24" t="n">
        <x:f>'原始输入与口径'!BI150</x:f>
        <x:v>100</x:v>
      </x:c>
      <x:c r="O148" s="24" t="n">
        <x:f>M148*AE148*AC148</x:f>
        <x:v>0</x:v>
      </x:c>
      <x:c r="P148" s="24" t="n">
        <x:f>N148*AF148*AC148</x:f>
        <x:v>0.5705</x:v>
      </x:c>
      <x:c r="Q148" s="25" t="n">
        <x:f>IF(K148=0,0,IF(ISNUMBER(B148),K148*AC148*B148,NA()))</x:f>
        <x:v>0</x:v>
      </x:c>
      <x:c r="R148" s="25" t="n">
        <x:f>IF(L148=0,0,IF(ISNUMBER(C148),L148*AC148*C148*AD148,NA()))</x:f>
        <x:v>0</x:v>
      </x:c>
      <x:c r="S148" s="25" t="n">
        <x:f>IF(M148=0,0,IF(ISNUMBER(D148),M148*AC148*D148*AD148,NA()))</x:f>
        <x:v>342.7755774914055</x:v>
      </x:c>
      <x:c r="T148" s="25" t="n">
        <x:f>IF(N148=0,0,IF(ISNUMBER(E148),N148*AC148*E148*AD148,NA()))</x:f>
        <x:v>367.7549707484771</x:v>
      </x:c>
      <x:c r="U148" s="25" t="n">
        <x:f>IF(O148=0,0,IF(ISNUMBER(F148),O148*F148,NA()))</x:f>
        <x:v>0</x:v>
      </x:c>
      <x:c r="V148" s="25" t="n">
        <x:f>IF(P148=0,0,IF(ISNUMBER(G148),-P148*G148,NA()))</x:f>
        <x:v>-15.103265213807521</x:v>
      </x:c>
      <x:c r="W148" s="25" t="n">
        <x:f>SUM(Q148:V148)</x:f>
        <x:v>695.4272830260751</x:v>
      </x:c>
      <x:c r="X148" s="18" t="n">
        <x:f>'原始输入与口径'!BR150</x:f>
        <x:v>695.4272830260751</x:v>
      </x:c>
      <x:c r="Y148" s="18" t="n">
        <x:f>W148-X148</x:f>
        <x:v>0</x:v>
      </x:c>
      <x:c r="Z148" s="18" t="str">
        <x:f>"1月2日计划｜本窗新增"</x:f>
        <x:v>1月2日计划｜本窗新增</x:v>
      </x:c>
      <x:c r="AA148" s="19" t="n">
        <x:f>IF('原始输入与口径'!AW150,1,0)</x:f>
        <x:v>1</x:v>
      </x:c>
      <x:c r="AB148" s="19" t="n">
        <x:f>IF('原始输入与口径'!AY150,1,0)</x:f>
        <x:v>0</x:v>
      </x:c>
      <x:c r="AC148" s="18" t="n">
        <x:f>'原始输入与口径'!E150</x:f>
        <x:v>0.25</x:v>
      </x:c>
      <x:c r="AD148" s="20" t="n">
        <x:f>'原始输入与口径'!$F$5</x:f>
        <x:v>1</x:v>
      </x:c>
      <x:c r="AE148" s="20" t="n">
        <x:f>IF(AA148=0,0,AI148/(AG148*AC148))</x:f>
        <x:v>0</x:v>
      </x:c>
      <x:c r="AF148" s="20" t="n">
        <x:f>IF(AA148=0,0,AJ148/(AH148*AC148))</x:f>
        <x:v>0.02282</x:v>
      </x:c>
      <x:c r="AG148" s="18" t="n">
        <x:f>IF(ISNUMBER('原始输入与口径'!T150),'原始输入与口径'!T150,"缺失")</x:f>
        <x:v>200</x:v>
      </x:c>
      <x:c r="AH148" s="18" t="n">
        <x:f>IF(ISNUMBER('原始输入与口径'!Y150),'原始输入与口径'!Y150,"缺失")</x:f>
        <x:v>200</x:v>
      </x:c>
      <x:c r="AI148" s="18" t="n">
        <x:f>IF(ISNUMBER('原始输入与口径'!AI150),'原始输入与口径'!AI150,"缺失")</x:f>
        <x:v>0</x:v>
      </x:c>
      <x:c r="AJ148" s="18" t="n">
        <x:f>IF(ISNUMBER('原始输入与口径'!AL150),'原始输入与口径'!AL150,"缺失")</x:f>
        <x:v>1.141</x:v>
      </x:c>
      <x:c r="AK148" s="18" t="str">
        <x:f>IF(ISNUMBER('原始输入与口径'!O150),'原始输入与口径'!O150,"缺失")</x:f>
        <x:v>缺失</x:v>
      </x:c>
      <x:c r="AL148" s="18" t="n">
        <x:f>SUMIFS('相位SOC复算'!$N$7:$N$443,'相位SOC复算'!$S$7:$S$443,142)</x:f>
        <x:v>0.0014579444444444444</x:v>
      </x:c>
      <x:c r="AM148" s="18" t="n">
        <x:f>SUMIFS('相位SOC复算'!$Q$7:$Q$443,'相位SOC复算'!$S$7:$S$443,142)</x:f>
        <x:v>0.5705</x:v>
      </x:c>
      <x:c r="AN148" s="18" t="n">
        <x:f>SUMIFS('相位SOC复算'!$R$7:$R$443,'相位SOC复算'!$S$7:$S$443,142)</x:f>
        <x:v>0</x:v>
      </x:c>
      <x:c r="AO148" s="18" t="n">
        <x:f>'相位SOC复算'!J337</x:f>
        <x:v>178.31813130434725</x:v>
      </x:c>
      <x:c r="AP148" s="18" t="n">
        <x:f>AO148-J148</x:f>
        <x:v>0</x:v>
      </x:c>
      <x:c r="AQ148" s="18" t="n">
        <x:f>IF(ISBLANK('原始输入与口径'!M150),"",'原始输入与口径'!M150)</x:f>
        <x:v>4.9741</x:v>
      </x:c>
      <x:c r="AR148" s="21" t="n">
        <x:f>IF(ISBLANK('原始输入与口径'!L150),"",'原始输入与口径'!L150)</x:f>
        <x:v>45657</x:v>
      </x:c>
      <x:c r="AS148" s="17" t="n">
        <x:f>IF(ISBLANK('原始输入与口径'!A150),"",'原始输入与口径'!A150)</x:f>
        <x:v>45659.385416666664</x:v>
      </x:c>
      <x:c r="AT148" s="18" t="str">
        <x:f>IF(ISBLANK('原始输入与口径'!I150),"",'原始输入与口径'!I150)</x:f>
        <x:v>2025-01-02_11</x:v>
      </x:c>
      <x:c r="AU148" s="19" t="n">
        <x:f>IF(ISBLANK('原始输入与口径'!J150),"",'原始输入与口径'!J150)</x:f>
        <x:v>60</x:v>
      </x:c>
      <x:c r="AV148" s="18" t="str">
        <x:f>IF(ISBLANK('原始输入与口径'!BB150),"",'原始输入与口径'!BB150)</x:f>
        <x:v>OK</x:v>
      </x:c>
    </x:row>
    <x:row r="149" ht="21" customHeight="1">
      <x:c r="A149" s="17" t="n">
        <x:f>45659.479166666664</x:f>
        <x:v>45659.479166666664</x:v>
      </x:c>
      <x:c r="B149" s="23" t="n">
        <x:f>IF(ISNUMBER('原始输入与口径'!H151),'原始输入与口径'!H151,"缺失")</x:f>
        <x:v>128.35</x:v>
      </x:c>
      <x:c r="C149" s="23" t="str">
        <x:f>IF(ISNUMBER('原始输入与口径'!R151),'原始输入与口径'!R151,"缺失")</x:f>
        <x:v>缺失</x:v>
      </x:c>
      <x:c r="D149" s="23" t="n">
        <x:f>IF(ISNUMBER('原始输入与口径'!W151),'原始输入与口径'!W151,"缺失")</x:f>
        <x:v>13.71102309965622</x:v>
      </x:c>
      <x:c r="E149" s="23" t="n">
        <x:f>IF(ISNUMBER('原始输入与口径'!AB151),'原始输入与口径'!AB151,"缺失")</x:f>
        <x:v>14.710198829939085</x:v>
      </x:c>
      <x:c r="F149" s="23" t="n">
        <x:f>IF(ISNUMBER('原始输入与口径'!AG151),'原始输入与口径'!AG151,"缺失")</x:f>
        <x:v>60.31241832693352</x:v>
      </x:c>
      <x:c r="G149" s="23" t="n">
        <x:f>IF(ISNUMBER('原始输入与口径'!AJ151),'原始输入与口径'!AJ151,"缺失")</x:f>
        <x:v>21.478458414587564</x:v>
      </x:c>
      <x:c r="H149" s="23" t="str">
        <x:f>"未模拟"</x:f>
        <x:v>未模拟</x:v>
      </x:c>
      <x:c r="I149" s="24" t="n">
        <x:f>'原始输入与口径'!BD151</x:f>
        <x:v>178.31813130434725</x:v>
      </x:c>
      <x:c r="J149" s="24" t="n">
        <x:f>'原始输入与口径'!BE151</x:f>
        <x:v>179.71674086956463</x:v>
      </x:c>
      <x:c r="K149" s="24" t="n">
        <x:f>'原始输入与口径'!BF151</x:f>
        <x:v>0</x:v>
      </x:c>
      <x:c r="L149" s="24" t="n">
        <x:f>'原始输入与口径'!BG151</x:f>
        <x:v>0</x:v>
      </x:c>
      <x:c r="M149" s="24" t="n">
        <x:f>'原始输入与口径'!BH151</x:f>
        <x:v>100</x:v>
      </x:c>
      <x:c r="N149" s="24" t="n">
        <x:f>'原始输入与口径'!BI151</x:f>
        <x:v>100</x:v>
      </x:c>
      <x:c r="O149" s="24" t="n">
        <x:f>M149*AE149*AC149</x:f>
        <x:v>0.0015</x:v>
      </x:c>
      <x:c r="P149" s="24" t="n">
        <x:f>N149*AF149*AC149</x:f>
        <x:v>1.522</x:v>
      </x:c>
      <x:c r="Q149" s="25" t="n">
        <x:f>IF(K149=0,0,IF(ISNUMBER(B149),K149*AC149*B149,NA()))</x:f>
        <x:v>0</x:v>
      </x:c>
      <x:c r="R149" s="25" t="n">
        <x:f>IF(L149=0,0,IF(ISNUMBER(C149),L149*AC149*C149*AD149,NA()))</x:f>
        <x:v>0</x:v>
      </x:c>
      <x:c r="S149" s="25" t="n">
        <x:f>IF(M149=0,0,IF(ISNUMBER(D149),M149*AC149*D149*AD149,NA()))</x:f>
        <x:v>342.7755774914055</x:v>
      </x:c>
      <x:c r="T149" s="25" t="n">
        <x:f>IF(N149=0,0,IF(ISNUMBER(E149),N149*AC149*E149*AD149,NA()))</x:f>
        <x:v>367.7549707484771</x:v>
      </x:c>
      <x:c r="U149" s="25" t="n">
        <x:f>IF(O149=0,0,IF(ISNUMBER(F149),O149*F149,NA()))</x:f>
        <x:v>0.09046862749040027</x:v>
      </x:c>
      <x:c r="V149" s="25" t="n">
        <x:f>IF(P149=0,0,IF(ISNUMBER(G149),-P149*G149,NA()))</x:f>
        <x:v>-32.69021370700227</x:v>
      </x:c>
      <x:c r="W149" s="25" t="n">
        <x:f>SUM(Q149:V149)</x:f>
        <x:v>677.9308031603707</x:v>
      </x:c>
      <x:c r="X149" s="18" t="n">
        <x:f>'原始输入与口径'!BR151</x:f>
        <x:v>677.9308031603707</x:v>
      </x:c>
      <x:c r="Y149" s="18" t="n">
        <x:f>W149-X149</x:f>
        <x:v>0</x:v>
      </x:c>
      <x:c r="Z149" s="18" t="str">
        <x:f>"1月2日计划｜本窗新增"</x:f>
        <x:v>1月2日计划｜本窗新增</x:v>
      </x:c>
      <x:c r="AA149" s="19" t="n">
        <x:f>IF('原始输入与口径'!AW151,1,0)</x:f>
        <x:v>1</x:v>
      </x:c>
      <x:c r="AB149" s="19" t="n">
        <x:f>IF('原始输入与口径'!AY151,1,0)</x:f>
        <x:v>0</x:v>
      </x:c>
      <x:c r="AC149" s="18" t="n">
        <x:f>'原始输入与口径'!E151</x:f>
        <x:v>0.25</x:v>
      </x:c>
      <x:c r="AD149" s="20" t="n">
        <x:f>'原始输入与口径'!$F$5</x:f>
        <x:v>1</x:v>
      </x:c>
      <x:c r="AE149" s="20" t="n">
        <x:f>IF(AA149=0,0,AI149/(AG149*AC149))</x:f>
        <x:v>0.00006</x:v>
      </x:c>
      <x:c r="AF149" s="20" t="n">
        <x:f>IF(AA149=0,0,AJ149/(AH149*AC149))</x:f>
        <x:v>0.060880000000000004</x:v>
      </x:c>
      <x:c r="AG149" s="18" t="n">
        <x:f>IF(ISNUMBER('原始输入与口径'!T151),'原始输入与口径'!T151,"缺失")</x:f>
        <x:v>200</x:v>
      </x:c>
      <x:c r="AH149" s="18" t="n">
        <x:f>IF(ISNUMBER('原始输入与口径'!Y151),'原始输入与口径'!Y151,"缺失")</x:f>
        <x:v>200</x:v>
      </x:c>
      <x:c r="AI149" s="18" t="n">
        <x:f>IF(ISNUMBER('原始输入与口径'!AI151),'原始输入与口径'!AI151,"缺失")</x:f>
        <x:v>0.003</x:v>
      </x:c>
      <x:c r="AJ149" s="18" t="n">
        <x:f>IF(ISNUMBER('原始输入与口径'!AL151),'原始输入与口径'!AL151,"缺失")</x:f>
        <x:v>3.044</x:v>
      </x:c>
      <x:c r="AK149" s="18" t="str">
        <x:f>IF(ISNUMBER('原始输入与口径'!O151),'原始输入与口径'!O151,"缺失")</x:f>
        <x:v>缺失</x:v>
      </x:c>
      <x:c r="AL149" s="18" t="n">
        <x:f>SUMIFS('相位SOC复算'!$N$7:$N$443,'相位SOC复算'!$S$7:$S$443,143)</x:f>
        <x:v>0.003894084541062802</x:v>
      </x:c>
      <x:c r="AM149" s="18" t="n">
        <x:f>SUMIFS('相位SOC复算'!$Q$7:$Q$443,'相位SOC复算'!$S$7:$S$443,143)</x:f>
        <x:v>1.522</x:v>
      </x:c>
      <x:c r="AN149" s="18" t="n">
        <x:f>SUMIFS('相位SOC复算'!$R$7:$R$443,'相位SOC复算'!$S$7:$S$443,143)</x:f>
        <x:v>0.0015</x:v>
      </x:c>
      <x:c r="AO149" s="18" t="n">
        <x:f>'相位SOC复算'!J340</x:f>
        <x:v>179.71674086956463</x:v>
      </x:c>
      <x:c r="AP149" s="18" t="n">
        <x:f>AO149-J149</x:f>
        <x:v>0</x:v>
      </x:c>
      <x:c r="AQ149" s="18" t="n">
        <x:f>IF(ISBLANK('原始输入与口径'!M151),"",'原始输入与口径'!M151)</x:f>
        <x:v>4.9741</x:v>
      </x:c>
      <x:c r="AR149" s="21" t="n">
        <x:f>IF(ISBLANK('原始输入与口径'!L151),"",'原始输入与口径'!L151)</x:f>
        <x:v>45657</x:v>
      </x:c>
      <x:c r="AS149" s="17" t="n">
        <x:f>IF(ISBLANK('原始输入与口径'!A151),"",'原始输入与口径'!A151)</x:f>
        <x:v>45659.395833333336</x:v>
      </x:c>
      <x:c r="AT149" s="18" t="str">
        <x:f>IF(ISBLANK('原始输入与口径'!I151),"",'原始输入与口径'!I151)</x:f>
        <x:v>2025-01-02_11</x:v>
      </x:c>
      <x:c r="AU149" s="19" t="n">
        <x:f>IF(ISBLANK('原始输入与口径'!J151),"",'原始输入与口径'!J151)</x:f>
        <x:v>60</x:v>
      </x:c>
      <x:c r="AV149" s="18" t="str">
        <x:f>IF(ISBLANK('原始输入与口径'!BB151),"",'原始输入与口径'!BB151)</x:f>
        <x:v>OK</x:v>
      </x:c>
    </x:row>
    <x:row r="150" ht="21" customHeight="1">
      <x:c r="A150" s="17" t="n">
        <x:f>45659.489583333336</x:f>
        <x:v>45659.489583333336</x:v>
      </x:c>
      <x:c r="B150" s="23" t="n">
        <x:f>IF(ISNUMBER('原始输入与口径'!H152),'原始输入与口径'!H152,"缺失")</x:f>
        <x:v>128.35</x:v>
      </x:c>
      <x:c r="C150" s="23" t="str">
        <x:f>IF(ISNUMBER('原始输入与口径'!R152),'原始输入与口径'!R152,"缺失")</x:f>
        <x:v>缺失</x:v>
      </x:c>
      <x:c r="D150" s="23" t="n">
        <x:f>IF(ISNUMBER('原始输入与口径'!W152),'原始输入与口径'!W152,"缺失")</x:f>
        <x:v>13.71102309965622</x:v>
      </x:c>
      <x:c r="E150" s="23" t="n">
        <x:f>IF(ISNUMBER('原始输入与口径'!AB152),'原始输入与口径'!AB152,"缺失")</x:f>
        <x:v>14.710198829939085</x:v>
      </x:c>
      <x:c r="F150" s="23" t="n">
        <x:f>IF(ISNUMBER('原始输入与口径'!AG152),'原始输入与口径'!AG152,"缺失")</x:f>
        <x:v>60.31241832693352</x:v>
      </x:c>
      <x:c r="G150" s="23" t="n">
        <x:f>IF(ISNUMBER('原始输入与口径'!AJ152),'原始输入与口径'!AJ152,"缺失")</x:f>
        <x:v>7.2489495587141395</x:v>
      </x:c>
      <x:c r="H150" s="23" t="str">
        <x:f>"未模拟"</x:f>
        <x:v>未模拟</x:v>
      </x:c>
      <x:c r="I150" s="24" t="n">
        <x:f>'原始输入与口径'!BD152</x:f>
        <x:v>179.71674086956463</x:v>
      </x:c>
      <x:c r="J150" s="24" t="n">
        <x:f>'原始输入与口径'!BE152</x:f>
        <x:v>183.32887043478203</x:v>
      </x:c>
      <x:c r="K150" s="24" t="n">
        <x:f>'原始输入与口径'!BF152</x:f>
        <x:v>0</x:v>
      </x:c>
      <x:c r="L150" s="24" t="n">
        <x:f>'原始输入与口径'!BG152</x:f>
        <x:v>0</x:v>
      </x:c>
      <x:c r="M150" s="24" t="n">
        <x:f>'原始输入与口径'!BH152</x:f>
        <x:v>100</x:v>
      </x:c>
      <x:c r="N150" s="24" t="n">
        <x:f>'原始输入与口径'!BI152</x:f>
        <x:v>100</x:v>
      </x:c>
      <x:c r="O150" s="24" t="n">
        <x:f>M150*AE150*AC150</x:f>
        <x:v>0.0015</x:v>
      </x:c>
      <x:c r="P150" s="24" t="n">
        <x:f>N150*AF150*AC150</x:f>
        <x:v>3.9280000000000004</x:v>
      </x:c>
      <x:c r="Q150" s="25" t="n">
        <x:f>IF(K150=0,0,IF(ISNUMBER(B150),K150*AC150*B150,NA()))</x:f>
        <x:v>0</x:v>
      </x:c>
      <x:c r="R150" s="25" t="n">
        <x:f>IF(L150=0,0,IF(ISNUMBER(C150),L150*AC150*C150*AD150,NA()))</x:f>
        <x:v>0</x:v>
      </x:c>
      <x:c r="S150" s="25" t="n">
        <x:f>IF(M150=0,0,IF(ISNUMBER(D150),M150*AC150*D150*AD150,NA()))</x:f>
        <x:v>342.7755774914055</x:v>
      </x:c>
      <x:c r="T150" s="25" t="n">
        <x:f>IF(N150=0,0,IF(ISNUMBER(E150),N150*AC150*E150*AD150,NA()))</x:f>
        <x:v>367.7549707484771</x:v>
      </x:c>
      <x:c r="U150" s="25" t="n">
        <x:f>IF(O150=0,0,IF(ISNUMBER(F150),O150*F150,NA()))</x:f>
        <x:v>0.09046862749040027</x:v>
      </x:c>
      <x:c r="V150" s="25" t="n">
        <x:f>IF(P150=0,0,IF(ISNUMBER(G150),-P150*G150,NA()))</x:f>
        <x:v>-28.47387386662914</x:v>
      </x:c>
      <x:c r="W150" s="25" t="n">
        <x:f>SUM(Q150:V150)</x:f>
        <x:v>682.1471430007439</x:v>
      </x:c>
      <x:c r="X150" s="18" t="n">
        <x:f>'原始输入与口径'!BR152</x:f>
        <x:v>682.1471430007439</x:v>
      </x:c>
      <x:c r="Y150" s="18" t="n">
        <x:f>W150-X150</x:f>
        <x:v>0</x:v>
      </x:c>
      <x:c r="Z150" s="18" t="str">
        <x:f>"1月2日计划｜本窗新增"</x:f>
        <x:v>1月2日计划｜本窗新增</x:v>
      </x:c>
      <x:c r="AA150" s="19" t="n">
        <x:f>IF('原始输入与口径'!AW152,1,0)</x:f>
        <x:v>1</x:v>
      </x:c>
      <x:c r="AB150" s="19" t="n">
        <x:f>IF('原始输入与口径'!AY152,1,0)</x:f>
        <x:v>0</x:v>
      </x:c>
      <x:c r="AC150" s="18" t="n">
        <x:f>'原始输入与口径'!E152</x:f>
        <x:v>0.25</x:v>
      </x:c>
      <x:c r="AD150" s="20" t="n">
        <x:f>'原始输入与口径'!$F$5</x:f>
        <x:v>1</x:v>
      </x:c>
      <x:c r="AE150" s="20" t="n">
        <x:f>IF(AA150=0,0,AI150/(AG150*AC150))</x:f>
        <x:v>0.00006</x:v>
      </x:c>
      <x:c r="AF150" s="20" t="n">
        <x:f>IF(AA150=0,0,AJ150/(AH150*AC150))</x:f>
        <x:v>0.15712</x:v>
      </x:c>
      <x:c r="AG150" s="18" t="n">
        <x:f>IF(ISNUMBER('原始输入与口径'!T152),'原始输入与口径'!T152,"缺失")</x:f>
        <x:v>200</x:v>
      </x:c>
      <x:c r="AH150" s="18" t="n">
        <x:f>IF(ISNUMBER('原始输入与口径'!Y152),'原始输入与口径'!Y152,"缺失")</x:f>
        <x:v>200</x:v>
      </x:c>
      <x:c r="AI150" s="18" t="n">
        <x:f>IF(ISNUMBER('原始输入与口径'!AI152),'原始输入与口径'!AI152,"缺失")</x:f>
        <x:v>0.003</x:v>
      </x:c>
      <x:c r="AJ150" s="18" t="n">
        <x:f>IF(ISNUMBER('原始输入与口径'!AL152),'原始输入与口径'!AL152,"缺失")</x:f>
        <x:v>7.856</x:v>
      </x:c>
      <x:c r="AK150" s="18" t="str">
        <x:f>IF(ISNUMBER('原始输入与口径'!O152),'原始输入与口径'!O152,"缺失")</x:f>
        <x:v>缺失</x:v>
      </x:c>
      <x:c r="AL150" s="18" t="n">
        <x:f>SUMIFS('相位SOC复算'!$N$7:$N$443,'相位SOC复算'!$S$7:$S$443,144)</x:f>
        <x:v>0.01004275120772947</x:v>
      </x:c>
      <x:c r="AM150" s="18" t="n">
        <x:f>SUMIFS('相位SOC复算'!$Q$7:$Q$443,'相位SOC复算'!$S$7:$S$443,144)</x:f>
        <x:v>3.9280000000000004</x:v>
      </x:c>
      <x:c r="AN150" s="18" t="n">
        <x:f>SUMIFS('相位SOC复算'!$R$7:$R$443,'相位SOC复算'!$S$7:$S$443,144)</x:f>
        <x:v>0.0015</x:v>
      </x:c>
      <x:c r="AO150" s="18" t="n">
        <x:f>'相位SOC复算'!J343</x:f>
        <x:v>183.32887043478203</x:v>
      </x:c>
      <x:c r="AP150" s="18" t="n">
        <x:f>AO150-J150</x:f>
        <x:v>0</x:v>
      </x:c>
      <x:c r="AQ150" s="18" t="n">
        <x:f>IF(ISBLANK('原始输入与口径'!M152),"",'原始输入与口径'!M152)</x:f>
        <x:v>4.9741</x:v>
      </x:c>
      <x:c r="AR150" s="21" t="n">
        <x:f>IF(ISBLANK('原始输入与口径'!L152),"",'原始输入与口径'!L152)</x:f>
        <x:v>45657</x:v>
      </x:c>
      <x:c r="AS150" s="17" t="n">
        <x:f>IF(ISBLANK('原始输入与口径'!A152),"",'原始输入与口径'!A152)</x:f>
        <x:v>45659.40625</x:v>
      </x:c>
      <x:c r="AT150" s="18" t="str">
        <x:f>IF(ISBLANK('原始输入与口径'!I152),"",'原始输入与口径'!I152)</x:f>
        <x:v>2025-01-02_11</x:v>
      </x:c>
      <x:c r="AU150" s="19" t="n">
        <x:f>IF(ISBLANK('原始输入与口径'!J152),"",'原始输入与口径'!J152)</x:f>
        <x:v>60</x:v>
      </x:c>
      <x:c r="AV150" s="18" t="str">
        <x:f>IF(ISBLANK('原始输入与口径'!BB152),"",'原始输入与口径'!BB152)</x:f>
        <x:v>OK</x:v>
      </x:c>
    </x:row>
    <x:row r="151" ht="21" customHeight="1">
      <x:c r="A151" s="17" t="n">
        <x:f>45659.5</x:f>
        <x:v>45659.5</x:v>
      </x:c>
      <x:c r="B151" s="23" t="n">
        <x:f>IF(ISNUMBER('原始输入与口径'!H153),'原始输入与口径'!H153,"缺失")</x:f>
        <x:v>123.15</x:v>
      </x:c>
      <x:c r="C151" s="23" t="str">
        <x:f>IF(ISNUMBER('原始输入与口径'!R153),'原始输入与口径'!R153,"缺失")</x:f>
        <x:v>缺失</x:v>
      </x:c>
      <x:c r="D151" s="23" t="n">
        <x:f>IF(ISNUMBER('原始输入与口径'!W153),'原始输入与口径'!W153,"缺失")</x:f>
        <x:v>13.71102309965622</x:v>
      </x:c>
      <x:c r="E151" s="23" t="n">
        <x:f>IF(ISNUMBER('原始输入与口径'!AB153),'原始输入与口径'!AB153,"缺失")</x:f>
        <x:v>14.710198829939085</x:v>
      </x:c>
      <x:c r="F151" s="23" t="n">
        <x:f>IF(ISNUMBER('原始输入与口径'!AG153),'原始输入与口径'!AG153,"缺失")</x:f>
        <x:v>0</x:v>
      </x:c>
      <x:c r="G151" s="23" t="n">
        <x:f>IF(ISNUMBER('原始输入与口径'!AJ153),'原始输入与口径'!AJ153,"缺失")</x:f>
        <x:v>13.630003417703705</x:v>
      </x:c>
      <x:c r="H151" s="23" t="str">
        <x:f>"未模拟"</x:f>
        <x:v>未模拟</x:v>
      </x:c>
      <x:c r="I151" s="24" t="n">
        <x:f>'原始输入与口径'!BD153</x:f>
        <x:v>183.32887043478203</x:v>
      </x:c>
      <x:c r="J151" s="24" t="n">
        <x:f>'原始输入与口径'!BE153</x:f>
        <x:v>185.62059043478203</x:v>
      </x:c>
      <x:c r="K151" s="24" t="n">
        <x:f>'原始输入与口径'!BF153</x:f>
        <x:v>0</x:v>
      </x:c>
      <x:c r="L151" s="24" t="n">
        <x:f>'原始输入与口径'!BG153</x:f>
        <x:v>0</x:v>
      </x:c>
      <x:c r="M151" s="24" t="n">
        <x:f>'原始输入与口径'!BH153</x:f>
        <x:v>100</x:v>
      </x:c>
      <x:c r="N151" s="24" t="n">
        <x:f>'原始输入与口径'!BI153</x:f>
        <x:v>100</x:v>
      </x:c>
      <x:c r="O151" s="24" t="n">
        <x:f>M151*AE151*AC151</x:f>
        <x:v>0</x:v>
      </x:c>
      <x:c r="P151" s="24" t="n">
        <x:f>N151*AF151*AC151</x:f>
        <x:v>2.491</x:v>
      </x:c>
      <x:c r="Q151" s="25" t="n">
        <x:f>IF(K151=0,0,IF(ISNUMBER(B151),K151*AC151*B151,NA()))</x:f>
        <x:v>0</x:v>
      </x:c>
      <x:c r="R151" s="25" t="n">
        <x:f>IF(L151=0,0,IF(ISNUMBER(C151),L151*AC151*C151*AD151,NA()))</x:f>
        <x:v>0</x:v>
      </x:c>
      <x:c r="S151" s="25" t="n">
        <x:f>IF(M151=0,0,IF(ISNUMBER(D151),M151*AC151*D151*AD151,NA()))</x:f>
        <x:v>342.7755774914055</x:v>
      </x:c>
      <x:c r="T151" s="25" t="n">
        <x:f>IF(N151=0,0,IF(ISNUMBER(E151),N151*AC151*E151*AD151,NA()))</x:f>
        <x:v>367.7549707484771</x:v>
      </x:c>
      <x:c r="U151" s="25" t="n">
        <x:f>IF(O151=0,0,IF(ISNUMBER(F151),O151*F151,NA()))</x:f>
        <x:v>0</x:v>
      </x:c>
      <x:c r="V151" s="25" t="n">
        <x:f>IF(P151=0,0,IF(ISNUMBER(G151),-P151*G151,NA()))</x:f>
        <x:v>-33.95233851349993</x:v>
      </x:c>
      <x:c r="W151" s="25" t="n">
        <x:f>SUM(Q151:V151)</x:f>
        <x:v>676.5782097263826</x:v>
      </x:c>
      <x:c r="X151" s="18" t="n">
        <x:f>'原始输入与口径'!BR153</x:f>
        <x:v>676.5782097263826</x:v>
      </x:c>
      <x:c r="Y151" s="18" t="n">
        <x:f>W151-X151</x:f>
        <x:v>0</x:v>
      </x:c>
      <x:c r="Z151" s="18" t="str">
        <x:f>"1月2日计划｜本窗新增"</x:f>
        <x:v>1月2日计划｜本窗新增</x:v>
      </x:c>
      <x:c r="AA151" s="19" t="n">
        <x:f>IF('原始输入与口径'!AW153,1,0)</x:f>
        <x:v>1</x:v>
      </x:c>
      <x:c r="AB151" s="19" t="n">
        <x:f>IF('原始输入与口径'!AY153,1,0)</x:f>
        <x:v>0</x:v>
      </x:c>
      <x:c r="AC151" s="18" t="n">
        <x:f>'原始输入与口径'!E153</x:f>
        <x:v>0.25</x:v>
      </x:c>
      <x:c r="AD151" s="20" t="n">
        <x:f>'原始输入与口径'!$F$5</x:f>
        <x:v>1</x:v>
      </x:c>
      <x:c r="AE151" s="20" t="n">
        <x:f>IF(AA151=0,0,AI151/(AG151*AC151))</x:f>
        <x:v>0</x:v>
      </x:c>
      <x:c r="AF151" s="20" t="n">
        <x:f>IF(AA151=0,0,AJ151/(AH151*AC151))</x:f>
        <x:v>0.09964</x:v>
      </x:c>
      <x:c r="AG151" s="18" t="n">
        <x:f>IF(ISNUMBER('原始输入与口径'!T153),'原始输入与口径'!T153,"缺失")</x:f>
        <x:v>200</x:v>
      </x:c>
      <x:c r="AH151" s="18" t="n">
        <x:f>IF(ISNUMBER('原始输入与口径'!Y153),'原始输入与口径'!Y153,"缺失")</x:f>
        <x:v>200</x:v>
      </x:c>
      <x:c r="AI151" s="18" t="n">
        <x:f>IF(ISNUMBER('原始输入与口径'!AI153),'原始输入与口径'!AI153,"缺失")</x:f>
        <x:v>0</x:v>
      </x:c>
      <x:c r="AJ151" s="18" t="n">
        <x:f>IF(ISNUMBER('原始输入与口径'!AL153),'原始输入与口径'!AL153,"缺失")</x:f>
        <x:v>4.982</x:v>
      </x:c>
      <x:c r="AK151" s="18" t="str">
        <x:f>IF(ISNUMBER('原始输入与口径'!O153),'原始输入与口径'!O153,"缺失")</x:f>
        <x:v>缺失</x:v>
      </x:c>
      <x:c r="AL151" s="18" t="n">
        <x:f>SUMIFS('相位SOC复算'!$N$7:$N$443,'相位SOC复算'!$S$7:$S$443,145)</x:f>
        <x:v>0.00636588888888889</x:v>
      </x:c>
      <x:c r="AM151" s="18" t="n">
        <x:f>SUMIFS('相位SOC复算'!$Q$7:$Q$443,'相位SOC复算'!$S$7:$S$443,145)</x:f>
        <x:v>2.491</x:v>
      </x:c>
      <x:c r="AN151" s="18" t="n">
        <x:f>SUMIFS('相位SOC复算'!$R$7:$R$443,'相位SOC复算'!$S$7:$S$443,145)</x:f>
        <x:v>0</x:v>
      </x:c>
      <x:c r="AO151" s="18" t="n">
        <x:f>'相位SOC复算'!J345</x:f>
        <x:v>185.62059043478203</x:v>
      </x:c>
      <x:c r="AP151" s="18" t="n">
        <x:f>AO151-J151</x:f>
        <x:v>0</x:v>
      </x:c>
      <x:c r="AQ151" s="18" t="n">
        <x:f>IF(ISBLANK('原始输入与口径'!M153),"",'原始输入与口径'!M153)</x:f>
        <x:v>4.9741</x:v>
      </x:c>
      <x:c r="AR151" s="21" t="n">
        <x:f>IF(ISBLANK('原始输入与口径'!L153),"",'原始输入与口径'!L153)</x:f>
        <x:v>45657</x:v>
      </x:c>
      <x:c r="AS151" s="17" t="n">
        <x:f>IF(ISBLANK('原始输入与口径'!A153),"",'原始输入与口径'!A153)</x:f>
        <x:v>45659.416666666664</x:v>
      </x:c>
      <x:c r="AT151" s="18" t="str">
        <x:f>IF(ISBLANK('原始输入与口径'!I153),"",'原始输入与口径'!I153)</x:f>
        <x:v>2025-01-02_12</x:v>
      </x:c>
      <x:c r="AU151" s="19" t="n">
        <x:f>IF(ISBLANK('原始输入与口径'!J153),"",'原始输入与口径'!J153)</x:f>
        <x:v>60</x:v>
      </x:c>
      <x:c r="AV151" s="18" t="str">
        <x:f>IF(ISBLANK('原始输入与口径'!BB153),"",'原始输入与口径'!BB153)</x:f>
        <x:v>OK</x:v>
      </x:c>
    </x:row>
    <x:row r="152" ht="21" customHeight="1">
      <x:c r="A152" s="17" t="n">
        <x:f>45659.510416666664</x:f>
        <x:v>45659.510416666664</x:v>
      </x:c>
      <x:c r="B152" s="23" t="n">
        <x:f>IF(ISNUMBER('原始输入与口径'!H154),'原始输入与口径'!H154,"缺失")</x:f>
        <x:v>123.15</x:v>
      </x:c>
      <x:c r="C152" s="23" t="str">
        <x:f>IF(ISNUMBER('原始输入与口径'!R154),'原始输入与口径'!R154,"缺失")</x:f>
        <x:v>缺失</x:v>
      </x:c>
      <x:c r="D152" s="23" t="n">
        <x:f>IF(ISNUMBER('原始输入与口径'!W154),'原始输入与口径'!W154,"缺失")</x:f>
        <x:v>13.71102309965622</x:v>
      </x:c>
      <x:c r="E152" s="23" t="n">
        <x:f>IF(ISNUMBER('原始输入与口径'!AB154),'原始输入与口径'!AB154,"缺失")</x:f>
        <x:v>14.710198829939085</x:v>
      </x:c>
      <x:c r="F152" s="23" t="n">
        <x:f>IF(ISNUMBER('原始输入与口径'!AG154),'原始输入与口径'!AG154,"缺失")</x:f>
        <x:v>60.31241832693352</x:v>
      </x:c>
      <x:c r="G152" s="23" t="n">
        <x:f>IF(ISNUMBER('原始输入与口径'!AJ154),'原始输入与口径'!AJ154,"缺失")</x:f>
        <x:v>23.90985303874068</x:v>
      </x:c>
      <x:c r="H152" s="23" t="str">
        <x:f>"未模拟"</x:f>
        <x:v>未模拟</x:v>
      </x:c>
      <x:c r="I152" s="24" t="n">
        <x:f>'原始输入与口径'!BD154</x:f>
        <x:v>185.62059043478203</x:v>
      </x:c>
      <x:c r="J152" s="24" t="n">
        <x:f>'原始输入与口径'!BE154</x:f>
        <x:v>186.4290199999994</x:v>
      </x:c>
      <x:c r="K152" s="24" t="n">
        <x:f>'原始输入与口径'!BF154</x:f>
        <x:v>0</x:v>
      </x:c>
      <x:c r="L152" s="24" t="n">
        <x:f>'原始输入与口径'!BG154</x:f>
        <x:v>0</x:v>
      </x:c>
      <x:c r="M152" s="24" t="n">
        <x:f>'原始输入与口径'!BH154</x:f>
        <x:v>100</x:v>
      </x:c>
      <x:c r="N152" s="24" t="n">
        <x:f>'原始输入与口径'!BI154</x:f>
        <x:v>100</x:v>
      </x:c>
      <x:c r="O152" s="24" t="n">
        <x:f>M152*AE152*AC152</x:f>
        <x:v>0.0015</x:v>
      </x:c>
      <x:c r="P152" s="24" t="n">
        <x:f>N152*AF152*AC152</x:f>
        <x:v>0.8805000000000001</x:v>
      </x:c>
      <x:c r="Q152" s="25" t="n">
        <x:f>IF(K152=0,0,IF(ISNUMBER(B152),K152*AC152*B152,NA()))</x:f>
        <x:v>0</x:v>
      </x:c>
      <x:c r="R152" s="25" t="n">
        <x:f>IF(L152=0,0,IF(ISNUMBER(C152),L152*AC152*C152*AD152,NA()))</x:f>
        <x:v>0</x:v>
      </x:c>
      <x:c r="S152" s="25" t="n">
        <x:f>IF(M152=0,0,IF(ISNUMBER(D152),M152*AC152*D152*AD152,NA()))</x:f>
        <x:v>342.7755774914055</x:v>
      </x:c>
      <x:c r="T152" s="25" t="n">
        <x:f>IF(N152=0,0,IF(ISNUMBER(E152),N152*AC152*E152*AD152,NA()))</x:f>
        <x:v>367.7549707484771</x:v>
      </x:c>
      <x:c r="U152" s="25" t="n">
        <x:f>IF(O152=0,0,IF(ISNUMBER(F152),O152*F152,NA()))</x:f>
        <x:v>0.09046862749040027</x:v>
      </x:c>
      <x:c r="V152" s="25" t="n">
        <x:f>IF(P152=0,0,IF(ISNUMBER(G152),-P152*G152,NA()))</x:f>
        <x:v>-21.05262560061117</x:v>
      </x:c>
      <x:c r="W152" s="25" t="n">
        <x:f>SUM(Q152:V152)</x:f>
        <x:v>689.5683912667619</x:v>
      </x:c>
      <x:c r="X152" s="18" t="n">
        <x:f>'原始输入与口径'!BR154</x:f>
        <x:v>689.5683912667619</x:v>
      </x:c>
      <x:c r="Y152" s="18" t="n">
        <x:f>W152-X152</x:f>
        <x:v>0</x:v>
      </x:c>
      <x:c r="Z152" s="18" t="str">
        <x:f>"1月2日计划｜本窗新增"</x:f>
        <x:v>1月2日计划｜本窗新增</x:v>
      </x:c>
      <x:c r="AA152" s="19" t="n">
        <x:f>IF('原始输入与口径'!AW154,1,0)</x:f>
        <x:v>1</x:v>
      </x:c>
      <x:c r="AB152" s="19" t="n">
        <x:f>IF('原始输入与口径'!AY154,1,0)</x:f>
        <x:v>0</x:v>
      </x:c>
      <x:c r="AC152" s="18" t="n">
        <x:f>'原始输入与口径'!E154</x:f>
        <x:v>0.25</x:v>
      </x:c>
      <x:c r="AD152" s="20" t="n">
        <x:f>'原始输入与口径'!$F$5</x:f>
        <x:v>1</x:v>
      </x:c>
      <x:c r="AE152" s="20" t="n">
        <x:f>IF(AA152=0,0,AI152/(AG152*AC152))</x:f>
        <x:v>0.00006</x:v>
      </x:c>
      <x:c r="AF152" s="20" t="n">
        <x:f>IF(AA152=0,0,AJ152/(AH152*AC152))</x:f>
        <x:v>0.03522</x:v>
      </x:c>
      <x:c r="AG152" s="18" t="n">
        <x:f>IF(ISNUMBER('原始输入与口径'!T154),'原始输入与口径'!T154,"缺失")</x:f>
        <x:v>200</x:v>
      </x:c>
      <x:c r="AH152" s="18" t="n">
        <x:f>IF(ISNUMBER('原始输入与口径'!Y154),'原始输入与口径'!Y154,"缺失")</x:f>
        <x:v>200</x:v>
      </x:c>
      <x:c r="AI152" s="18" t="n">
        <x:f>IF(ISNUMBER('原始输入与口径'!AI154),'原始输入与口径'!AI154,"缺失")</x:f>
        <x:v>0.003</x:v>
      </x:c>
      <x:c r="AJ152" s="18" t="n">
        <x:f>IF(ISNUMBER('原始输入与口径'!AL154),'原始输入与口径'!AL154,"缺失")</x:f>
        <x:v>1.761</x:v>
      </x:c>
      <x:c r="AK152" s="18" t="str">
        <x:f>IF(ISNUMBER('原始输入与口径'!O154),'原始输入与口径'!O154,"缺失")</x:f>
        <x:v>缺失</x:v>
      </x:c>
      <x:c r="AL152" s="18" t="n">
        <x:f>SUMIFS('相位SOC复算'!$N$7:$N$443,'相位SOC复算'!$S$7:$S$443,146)</x:f>
        <x:v>0.002254695652173913</x:v>
      </x:c>
      <x:c r="AM152" s="18" t="n">
        <x:f>SUMIFS('相位SOC复算'!$Q$7:$Q$443,'相位SOC复算'!$S$7:$S$443,146)</x:f>
        <x:v>0.8805000000000001</x:v>
      </x:c>
      <x:c r="AN152" s="18" t="n">
        <x:f>SUMIFS('相位SOC复算'!$R$7:$R$443,'相位SOC复算'!$S$7:$S$443,146)</x:f>
        <x:v>0.0015</x:v>
      </x:c>
      <x:c r="AO152" s="18" t="n">
        <x:f>'相位SOC复算'!J348</x:f>
        <x:v>186.4290199999994</x:v>
      </x:c>
      <x:c r="AP152" s="18" t="n">
        <x:f>AO152-J152</x:f>
        <x:v>0</x:v>
      </x:c>
      <x:c r="AQ152" s="18" t="n">
        <x:f>IF(ISBLANK('原始输入与口径'!M154),"",'原始输入与口径'!M154)</x:f>
        <x:v>4.9741</x:v>
      </x:c>
      <x:c r="AR152" s="21" t="n">
        <x:f>IF(ISBLANK('原始输入与口径'!L154),"",'原始输入与口径'!L154)</x:f>
        <x:v>45657</x:v>
      </x:c>
      <x:c r="AS152" s="17" t="n">
        <x:f>IF(ISBLANK('原始输入与口径'!A154),"",'原始输入与口径'!A154)</x:f>
        <x:v>45659.427083333336</x:v>
      </x:c>
      <x:c r="AT152" s="18" t="str">
        <x:f>IF(ISBLANK('原始输入与口径'!I154),"",'原始输入与口径'!I154)</x:f>
        <x:v>2025-01-02_12</x:v>
      </x:c>
      <x:c r="AU152" s="19" t="n">
        <x:f>IF(ISBLANK('原始输入与口径'!J154),"",'原始输入与口径'!J154)</x:f>
        <x:v>60</x:v>
      </x:c>
      <x:c r="AV152" s="18" t="str">
        <x:f>IF(ISBLANK('原始输入与口径'!BB154),"",'原始输入与口径'!BB154)</x:f>
        <x:v>OK</x:v>
      </x:c>
    </x:row>
    <x:row r="153" ht="21" customHeight="1">
      <x:c r="A153" s="17" t="n">
        <x:f>45659.520833333336</x:f>
        <x:v>45659.520833333336</x:v>
      </x:c>
      <x:c r="B153" s="23" t="n">
        <x:f>IF(ISNUMBER('原始输入与口径'!H155),'原始输入与口径'!H155,"缺失")</x:f>
        <x:v>123.15</x:v>
      </x:c>
      <x:c r="C153" s="23" t="str">
        <x:f>IF(ISNUMBER('原始输入与口径'!R155),'原始输入与口径'!R155,"缺失")</x:f>
        <x:v>缺失</x:v>
      </x:c>
      <x:c r="D153" s="23" t="n">
        <x:f>IF(ISNUMBER('原始输入与口径'!W155),'原始输入与口径'!W155,"缺失")</x:f>
        <x:v>13.71102309965622</x:v>
      </x:c>
      <x:c r="E153" s="23" t="n">
        <x:f>IF(ISNUMBER('原始输入与口径'!AB155),'原始输入与口径'!AB155,"缺失")</x:f>
        <x:v>14.710198829939085</x:v>
      </x:c>
      <x:c r="F153" s="23" t="n">
        <x:f>IF(ISNUMBER('原始输入与口径'!AG155),'原始输入与口径'!AG155,"缺失")</x:f>
        <x:v>0</x:v>
      </x:c>
      <x:c r="G153" s="23" t="n">
        <x:f>IF(ISNUMBER('原始输入与口径'!AJ155),'原始输入与口径'!AJ155,"缺失")</x:f>
        <x:v>20.302165215817936</x:v>
      </x:c>
      <x:c r="H153" s="23" t="str">
        <x:f>"未模拟"</x:f>
        <x:v>未模拟</x:v>
      </x:c>
      <x:c r="I153" s="24" t="n">
        <x:f>'原始输入与口径'!BD155</x:f>
        <x:v>186.4290199999994</x:v>
      </x:c>
      <x:c r="J153" s="24" t="n">
        <x:f>'原始输入与口径'!BE155</x:f>
        <x:v>189.63613999999941</x:v>
      </x:c>
      <x:c r="K153" s="24" t="n">
        <x:f>'原始输入与口径'!BF155</x:f>
        <x:v>0</x:v>
      </x:c>
      <x:c r="L153" s="24" t="n">
        <x:f>'原始输入与口径'!BG155</x:f>
        <x:v>0</x:v>
      </x:c>
      <x:c r="M153" s="24" t="n">
        <x:f>'原始输入与口径'!BH155</x:f>
        <x:v>100</x:v>
      </x:c>
      <x:c r="N153" s="24" t="n">
        <x:f>'原始输入与口径'!BI155</x:f>
        <x:v>100</x:v>
      </x:c>
      <x:c r="O153" s="24" t="n">
        <x:f>M153*AE153*AC153</x:f>
        <x:v>0</x:v>
      </x:c>
      <x:c r="P153" s="24" t="n">
        <x:f>N153*AF153*AC153</x:f>
        <x:v>3.486</x:v>
      </x:c>
      <x:c r="Q153" s="25" t="n">
        <x:f>IF(K153=0,0,IF(ISNUMBER(B153),K153*AC153*B153,NA()))</x:f>
        <x:v>0</x:v>
      </x:c>
      <x:c r="R153" s="25" t="n">
        <x:f>IF(L153=0,0,IF(ISNUMBER(C153),L153*AC153*C153*AD153,NA()))</x:f>
        <x:v>0</x:v>
      </x:c>
      <x:c r="S153" s="25" t="n">
        <x:f>IF(M153=0,0,IF(ISNUMBER(D153),M153*AC153*D153*AD153,NA()))</x:f>
        <x:v>342.7755774914055</x:v>
      </x:c>
      <x:c r="T153" s="25" t="n">
        <x:f>IF(N153=0,0,IF(ISNUMBER(E153),N153*AC153*E153*AD153,NA()))</x:f>
        <x:v>367.7549707484771</x:v>
      </x:c>
      <x:c r="U153" s="25" t="n">
        <x:f>IF(O153=0,0,IF(ISNUMBER(F153),O153*F153,NA()))</x:f>
        <x:v>0</x:v>
      </x:c>
      <x:c r="V153" s="25" t="n">
        <x:f>IF(P153=0,0,IF(ISNUMBER(G153),-P153*G153,NA()))</x:f>
        <x:v>-70.77334794234133</x:v>
      </x:c>
      <x:c r="W153" s="25" t="n">
        <x:f>SUM(Q153:V153)</x:f>
        <x:v>639.7572002975412</x:v>
      </x:c>
      <x:c r="X153" s="18" t="n">
        <x:f>'原始输入与口径'!BR155</x:f>
        <x:v>639.7572002975412</x:v>
      </x:c>
      <x:c r="Y153" s="18" t="n">
        <x:f>W153-X153</x:f>
        <x:v>0</x:v>
      </x:c>
      <x:c r="Z153" s="18" t="str">
        <x:f>"1月2日计划｜本窗新增"</x:f>
        <x:v>1月2日计划｜本窗新增</x:v>
      </x:c>
      <x:c r="AA153" s="19" t="n">
        <x:f>IF('原始输入与口径'!AW155,1,0)</x:f>
        <x:v>1</x:v>
      </x:c>
      <x:c r="AB153" s="19" t="n">
        <x:f>IF('原始输入与口径'!AY155,1,0)</x:f>
        <x:v>0</x:v>
      </x:c>
      <x:c r="AC153" s="18" t="n">
        <x:f>'原始输入与口径'!E155</x:f>
        <x:v>0.25</x:v>
      </x:c>
      <x:c r="AD153" s="20" t="n">
        <x:f>'原始输入与口径'!$F$5</x:f>
        <x:v>1</x:v>
      </x:c>
      <x:c r="AE153" s="20" t="n">
        <x:f>IF(AA153=0,0,AI153/(AG153*AC153))</x:f>
        <x:v>0</x:v>
      </x:c>
      <x:c r="AF153" s="20" t="n">
        <x:f>IF(AA153=0,0,AJ153/(AH153*AC153))</x:f>
        <x:v>0.13944</x:v>
      </x:c>
      <x:c r="AG153" s="18" t="n">
        <x:f>IF(ISNUMBER('原始输入与口径'!T155),'原始输入与口径'!T155,"缺失")</x:f>
        <x:v>200</x:v>
      </x:c>
      <x:c r="AH153" s="18" t="n">
        <x:f>IF(ISNUMBER('原始输入与口径'!Y155),'原始输入与口径'!Y155,"缺失")</x:f>
        <x:v>200</x:v>
      </x:c>
      <x:c r="AI153" s="18" t="n">
        <x:f>IF(ISNUMBER('原始输入与口径'!AI155),'原始输入与口径'!AI155,"缺失")</x:f>
        <x:v>0</x:v>
      </x:c>
      <x:c r="AJ153" s="18" t="n">
        <x:f>IF(ISNUMBER('原始输入与口径'!AL155),'原始输入与口径'!AL155,"缺失")</x:f>
        <x:v>6.972</x:v>
      </x:c>
      <x:c r="AK153" s="18" t="str">
        <x:f>IF(ISNUMBER('原始输入与口径'!O155),'原始输入与口径'!O155,"缺失")</x:f>
        <x:v>缺失</x:v>
      </x:c>
      <x:c r="AL153" s="18" t="n">
        <x:f>SUMIFS('相位SOC复算'!$N$7:$N$443,'相位SOC复算'!$S$7:$S$443,147)</x:f>
        <x:v>0.008908666666666667</x:v>
      </x:c>
      <x:c r="AM153" s="18" t="n">
        <x:f>SUMIFS('相位SOC复算'!$Q$7:$Q$443,'相位SOC复算'!$S$7:$S$443,147)</x:f>
        <x:v>3.486</x:v>
      </x:c>
      <x:c r="AN153" s="18" t="n">
        <x:f>SUMIFS('相位SOC复算'!$R$7:$R$443,'相位SOC复算'!$S$7:$S$443,147)</x:f>
        <x:v>0</x:v>
      </x:c>
      <x:c r="AO153" s="18" t="n">
        <x:f>'相位SOC复算'!J350</x:f>
        <x:v>189.63613999999941</x:v>
      </x:c>
      <x:c r="AP153" s="18" t="n">
        <x:f>AO153-J153</x:f>
        <x:v>0</x:v>
      </x:c>
      <x:c r="AQ153" s="18" t="n">
        <x:f>IF(ISBLANK('原始输入与口径'!M155),"",'原始输入与口径'!M155)</x:f>
        <x:v>4.9741</x:v>
      </x:c>
      <x:c r="AR153" s="21" t="n">
        <x:f>IF(ISBLANK('原始输入与口径'!L155),"",'原始输入与口径'!L155)</x:f>
        <x:v>45657</x:v>
      </x:c>
      <x:c r="AS153" s="17" t="n">
        <x:f>IF(ISBLANK('原始输入与口径'!A155),"",'原始输入与口径'!A155)</x:f>
        <x:v>45659.4375</x:v>
      </x:c>
      <x:c r="AT153" s="18" t="str">
        <x:f>IF(ISBLANK('原始输入与口径'!I155),"",'原始输入与口径'!I155)</x:f>
        <x:v>2025-01-02_12</x:v>
      </x:c>
      <x:c r="AU153" s="19" t="n">
        <x:f>IF(ISBLANK('原始输入与口径'!J155),"",'原始输入与口径'!J155)</x:f>
        <x:v>60</x:v>
      </x:c>
      <x:c r="AV153" s="18" t="str">
        <x:f>IF(ISBLANK('原始输入与口径'!BB155),"",'原始输入与口径'!BB155)</x:f>
        <x:v>OK</x:v>
      </x:c>
    </x:row>
    <x:row r="154" ht="21" customHeight="1">
      <x:c r="A154" s="17" t="n">
        <x:f>45659.53125</x:f>
        <x:v>45659.53125</x:v>
      </x:c>
      <x:c r="B154" s="23" t="n">
        <x:f>IF(ISNUMBER('原始输入与口径'!H156),'原始输入与口径'!H156,"缺失")</x:f>
        <x:v>123.15</x:v>
      </x:c>
      <x:c r="C154" s="23" t="str">
        <x:f>IF(ISNUMBER('原始输入与口径'!R156),'原始输入与口径'!R156,"缺失")</x:f>
        <x:v>缺失</x:v>
      </x:c>
      <x:c r="D154" s="23" t="n">
        <x:f>IF(ISNUMBER('原始输入与口径'!W156),'原始输入与口径'!W156,"缺失")</x:f>
        <x:v>13.71102309965622</x:v>
      </x:c>
      <x:c r="E154" s="23" t="n">
        <x:f>IF(ISNUMBER('原始输入与口径'!AB156),'原始输入与口径'!AB156,"缺失")</x:f>
        <x:v>14.710198829939085</x:v>
      </x:c>
      <x:c r="F154" s="23" t="n">
        <x:f>IF(ISNUMBER('原始输入与口径'!AG156),'原始输入与口径'!AG156,"缺失")</x:f>
        <x:v>136.70814820771596</x:v>
      </x:c>
      <x:c r="G154" s="23" t="n">
        <x:f>IF(ISNUMBER('原始输入与口径'!AJ156),'原始输入与口径'!AJ156,"缺失")</x:f>
        <x:v>36.87400735811504</x:v>
      </x:c>
      <x:c r="H154" s="23" t="str">
        <x:f>"未模拟"</x:f>
        <x:v>未模拟</x:v>
      </x:c>
      <x:c r="I154" s="24" t="n">
        <x:f>'原始输入与口径'!BD156</x:f>
        <x:v>189.63613999999941</x:v>
      </x:c>
      <x:c r="J154" s="24" t="n">
        <x:f>'原始输入与口径'!BE156</x:f>
        <x:v>189.58423913043418</x:v>
      </x:c>
      <x:c r="K154" s="24" t="n">
        <x:f>'原始输入与口径'!BF156</x:f>
        <x:v>0</x:v>
      </x:c>
      <x:c r="L154" s="24" t="n">
        <x:f>'原始输入与口径'!BG156</x:f>
        <x:v>0</x:v>
      </x:c>
      <x:c r="M154" s="24" t="n">
        <x:f>'原始输入与口径'!BH156</x:f>
        <x:v>100</x:v>
      </x:c>
      <x:c r="N154" s="24" t="n">
        <x:f>'原始输入与口径'!BI156</x:f>
        <x:v>100</x:v>
      </x:c>
      <x:c r="O154" s="24" t="n">
        <x:f>M154*AE154*AC154</x:f>
        <x:v>0.3825</x:v>
      </x:c>
      <x:c r="P154" s="24" t="n">
        <x:f>N154*AF154*AC154</x:f>
        <x:v>0.3955</x:v>
      </x:c>
      <x:c r="Q154" s="25" t="n">
        <x:f>IF(K154=0,0,IF(ISNUMBER(B154),K154*AC154*B154,NA()))</x:f>
        <x:v>0</x:v>
      </x:c>
      <x:c r="R154" s="25" t="n">
        <x:f>IF(L154=0,0,IF(ISNUMBER(C154),L154*AC154*C154*AD154,NA()))</x:f>
        <x:v>0</x:v>
      </x:c>
      <x:c r="S154" s="25" t="n">
        <x:f>IF(M154=0,0,IF(ISNUMBER(D154),M154*AC154*D154*AD154,NA()))</x:f>
        <x:v>342.7755774914055</x:v>
      </x:c>
      <x:c r="T154" s="25" t="n">
        <x:f>IF(N154=0,0,IF(ISNUMBER(E154),N154*AC154*E154*AD154,NA()))</x:f>
        <x:v>367.7549707484771</x:v>
      </x:c>
      <x:c r="U154" s="25" t="n">
        <x:f>IF(O154=0,0,IF(ISNUMBER(F154),O154*F154,NA()))</x:f>
        <x:v>52.290866689451356</x:v>
      </x:c>
      <x:c r="V154" s="25" t="n">
        <x:f>IF(P154=0,0,IF(ISNUMBER(G154),-P154*G154,NA()))</x:f>
        <x:v>-14.583669910134498</x:v>
      </x:c>
      <x:c r="W154" s="25" t="n">
        <x:f>SUM(Q154:V154)</x:f>
        <x:v>748.2377450191995</x:v>
      </x:c>
      <x:c r="X154" s="18" t="n">
        <x:f>'原始输入与口径'!BR156</x:f>
        <x:v>748.2377450191995</x:v>
      </x:c>
      <x:c r="Y154" s="18" t="n">
        <x:f>W154-X154</x:f>
        <x:v>0</x:v>
      </x:c>
      <x:c r="Z154" s="18" t="str">
        <x:f>"1月2日计划｜本窗新增"</x:f>
        <x:v>1月2日计划｜本窗新增</x:v>
      </x:c>
      <x:c r="AA154" s="19" t="n">
        <x:f>IF('原始输入与口径'!AW156,1,0)</x:f>
        <x:v>1</x:v>
      </x:c>
      <x:c r="AB154" s="19" t="n">
        <x:f>IF('原始输入与口径'!AY156,1,0)</x:f>
        <x:v>0</x:v>
      </x:c>
      <x:c r="AC154" s="18" t="n">
        <x:f>'原始输入与口径'!E156</x:f>
        <x:v>0.25</x:v>
      </x:c>
      <x:c r="AD154" s="20" t="n">
        <x:f>'原始输入与口径'!$F$5</x:f>
        <x:v>1</x:v>
      </x:c>
      <x:c r="AE154" s="20" t="n">
        <x:f>IF(AA154=0,0,AI154/(AG154*AC154))</x:f>
        <x:v>0.015300000000000001</x:v>
      </x:c>
      <x:c r="AF154" s="20" t="n">
        <x:f>IF(AA154=0,0,AJ154/(AH154*AC154))</x:f>
        <x:v>0.01582</x:v>
      </x:c>
      <x:c r="AG154" s="18" t="n">
        <x:f>IF(ISNUMBER('原始输入与口径'!T156),'原始输入与口径'!T156,"缺失")</x:f>
        <x:v>200</x:v>
      </x:c>
      <x:c r="AH154" s="18" t="n">
        <x:f>IF(ISNUMBER('原始输入与口径'!Y156),'原始输入与口径'!Y156,"缺失")</x:f>
        <x:v>200</x:v>
      </x:c>
      <x:c r="AI154" s="18" t="n">
        <x:f>IF(ISNUMBER('原始输入与口径'!AI156),'原始输入与口径'!AI156,"缺失")</x:f>
        <x:v>0.765</x:v>
      </x:c>
      <x:c r="AJ154" s="18" t="n">
        <x:f>IF(ISNUMBER('原始输入与口径'!AL156),'原始输入与口径'!AL156,"缺失")</x:f>
        <x:v>0.791</x:v>
      </x:c>
      <x:c r="AK154" s="18" t="str">
        <x:f>IF(ISNUMBER('原始输入与口径'!O156),'原始输入与口径'!O156,"缺失")</x:f>
        <x:v>缺失</x:v>
      </x:c>
      <x:c r="AL154" s="18" t="n">
        <x:f>SUMIFS('相位SOC复算'!$N$7:$N$443,'相位SOC复算'!$S$7:$S$443,148)</x:f>
        <x:v>0.0021656135265700482</x:v>
      </x:c>
      <x:c r="AM154" s="18" t="n">
        <x:f>SUMIFS('相位SOC复算'!$Q$7:$Q$443,'相位SOC复算'!$S$7:$S$443,148)</x:f>
        <x:v>0.3955</x:v>
      </x:c>
      <x:c r="AN154" s="18" t="n">
        <x:f>SUMIFS('相位SOC复算'!$R$7:$R$443,'相位SOC复算'!$S$7:$S$443,148)</x:f>
        <x:v>0.3825</x:v>
      </x:c>
      <x:c r="AO154" s="18" t="n">
        <x:f>'相位SOC复算'!J353</x:f>
        <x:v>189.58423913043418</x:v>
      </x:c>
      <x:c r="AP154" s="18" t="n">
        <x:f>AO154-J154</x:f>
        <x:v>0</x:v>
      </x:c>
      <x:c r="AQ154" s="18" t="n">
        <x:f>IF(ISBLANK('原始输入与口径'!M156),"",'原始输入与口径'!M156)</x:f>
        <x:v>4.9741</x:v>
      </x:c>
      <x:c r="AR154" s="21" t="n">
        <x:f>IF(ISBLANK('原始输入与口径'!L156),"",'原始输入与口径'!L156)</x:f>
        <x:v>45657</x:v>
      </x:c>
      <x:c r="AS154" s="17" t="n">
        <x:f>IF(ISBLANK('原始输入与口径'!A156),"",'原始输入与口径'!A156)</x:f>
        <x:v>45659.447916666664</x:v>
      </x:c>
      <x:c r="AT154" s="18" t="str">
        <x:f>IF(ISBLANK('原始输入与口径'!I156),"",'原始输入与口径'!I156)</x:f>
        <x:v>2025-01-02_12</x:v>
      </x:c>
      <x:c r="AU154" s="19" t="n">
        <x:f>IF(ISBLANK('原始输入与口径'!J156),"",'原始输入与口径'!J156)</x:f>
        <x:v>60</x:v>
      </x:c>
      <x:c r="AV154" s="18" t="str">
        <x:f>IF(ISBLANK('原始输入与口径'!BB156),"",'原始输入与口径'!BB156)</x:f>
        <x:v>OK</x:v>
      </x:c>
    </x:row>
    <x:row r="155" ht="21" customHeight="1">
      <x:c r="A155" s="17" t="n">
        <x:f>45659.541666666664</x:f>
        <x:v>45659.541666666664</x:v>
      </x:c>
      <x:c r="B155" s="23" t="n">
        <x:f>IF(ISNUMBER('原始输入与口径'!H157),'原始输入与口径'!H157,"缺失")</x:f>
        <x:v>121.94</x:v>
      </x:c>
      <x:c r="C155" s="23" t="str">
        <x:f>IF(ISNUMBER('原始输入与口径'!R157),'原始输入与口径'!R157,"缺失")</x:f>
        <x:v>缺失</x:v>
      </x:c>
      <x:c r="D155" s="23" t="n">
        <x:f>IF(ISNUMBER('原始输入与口径'!W157),'原始输入与口径'!W157,"缺失")</x:f>
        <x:v>13.71102309965622</x:v>
      </x:c>
      <x:c r="E155" s="23" t="n">
        <x:f>IF(ISNUMBER('原始输入与口径'!AB157),'原始输入与口径'!AB157,"缺失")</x:f>
        <x:v>14.710198829939085</x:v>
      </x:c>
      <x:c r="F155" s="23" t="n">
        <x:f>IF(ISNUMBER('原始输入与口径'!AG157),'原始输入与口径'!AG157,"缺失")</x:f>
        <x:v>210.52230554271128</x:v>
      </x:c>
      <x:c r="G155" s="23" t="n">
        <x:f>IF(ISNUMBER('原始输入与口径'!AJ157),'原始输入与口径'!AJ157,"缺失")</x:f>
        <x:v>0</x:v>
      </x:c>
      <x:c r="H155" s="23" t="str">
        <x:f>"未模拟"</x:f>
        <x:v>未模拟</x:v>
      </x:c>
      <x:c r="I155" s="24" t="n">
        <x:f>'原始输入与口径'!BD157</x:f>
        <x:v>189.58423913043418</x:v>
      </x:c>
      <x:c r="J155" s="24" t="n">
        <x:f>'原始输入与口径'!BE157</x:f>
        <x:v>181.00434782608636</x:v>
      </x:c>
      <x:c r="K155" s="24" t="n">
        <x:f>'原始输入与口径'!BF157</x:f>
        <x:v>0</x:v>
      </x:c>
      <x:c r="L155" s="24" t="n">
        <x:f>'原始输入与口径'!BG157</x:f>
        <x:v>0</x:v>
      </x:c>
      <x:c r="M155" s="24" t="n">
        <x:f>'原始输入与口径'!BH157</x:f>
        <x:v>100</x:v>
      </x:c>
      <x:c r="N155" s="24" t="n">
        <x:f>'原始输入与口径'!BI157</x:f>
        <x:v>100</x:v>
      </x:c>
      <x:c r="O155" s="24" t="n">
        <x:f>M155*AE155*AC155</x:f>
        <x:v>7.8935</x:v>
      </x:c>
      <x:c r="P155" s="24" t="n">
        <x:f>N155*AF155*AC155</x:f>
        <x:v>0</x:v>
      </x:c>
      <x:c r="Q155" s="25" t="n">
        <x:f>IF(K155=0,0,IF(ISNUMBER(B155),K155*AC155*B155,NA()))</x:f>
        <x:v>0</x:v>
      </x:c>
      <x:c r="R155" s="25" t="n">
        <x:f>IF(L155=0,0,IF(ISNUMBER(C155),L155*AC155*C155*AD155,NA()))</x:f>
        <x:v>0</x:v>
      </x:c>
      <x:c r="S155" s="25" t="n">
        <x:f>IF(M155=0,0,IF(ISNUMBER(D155),M155*AC155*D155*AD155,NA()))</x:f>
        <x:v>342.7755774914055</x:v>
      </x:c>
      <x:c r="T155" s="25" t="n">
        <x:f>IF(N155=0,0,IF(ISNUMBER(E155),N155*AC155*E155*AD155,NA()))</x:f>
        <x:v>367.7549707484771</x:v>
      </x:c>
      <x:c r="U155" s="25" t="n">
        <x:f>IF(O155=0,0,IF(ISNUMBER(F155),O155*F155,NA()))</x:f>
        <x:v>1661.7578188013915</x:v>
      </x:c>
      <x:c r="V155" s="25" t="n">
        <x:f>IF(P155=0,0,IF(ISNUMBER(G155),-P155*G155,NA()))</x:f>
        <x:v>0</x:v>
      </x:c>
      <x:c r="W155" s="25" t="n">
        <x:f>SUM(Q155:V155)</x:f>
        <x:v>2372.288367041274</x:v>
      </x:c>
      <x:c r="X155" s="18" t="n">
        <x:f>'原始输入与口径'!BR157</x:f>
        <x:v>2372.288367041274</x:v>
      </x:c>
      <x:c r="Y155" s="18" t="n">
        <x:f>W155-X155</x:f>
        <x:v>0</x:v>
      </x:c>
      <x:c r="Z155" s="18" t="str">
        <x:f>"1月2日计划｜本窗新增"</x:f>
        <x:v>1月2日计划｜本窗新增</x:v>
      </x:c>
      <x:c r="AA155" s="19" t="n">
        <x:f>IF('原始输入与口径'!AW157,1,0)</x:f>
        <x:v>1</x:v>
      </x:c>
      <x:c r="AB155" s="19" t="n">
        <x:f>IF('原始输入与口径'!AY157,1,0)</x:f>
        <x:v>0</x:v>
      </x:c>
      <x:c r="AC155" s="18" t="n">
        <x:f>'原始输入与口径'!E157</x:f>
        <x:v>0.25</x:v>
      </x:c>
      <x:c r="AD155" s="20" t="n">
        <x:f>'原始输入与口径'!$F$5</x:f>
        <x:v>1</x:v>
      </x:c>
      <x:c r="AE155" s="20" t="n">
        <x:f>IF(AA155=0,0,AI155/(AG155*AC155))</x:f>
        <x:v>0.31574</x:v>
      </x:c>
      <x:c r="AF155" s="20" t="n">
        <x:f>IF(AA155=0,0,AJ155/(AH155*AC155))</x:f>
        <x:v>0</x:v>
      </x:c>
      <x:c r="AG155" s="18" t="n">
        <x:f>IF(ISNUMBER('原始输入与口径'!T157),'原始输入与口径'!T157,"缺失")</x:f>
        <x:v>200</x:v>
      </x:c>
      <x:c r="AH155" s="18" t="n">
        <x:f>IF(ISNUMBER('原始输入与口径'!Y157),'原始输入与口径'!Y157,"缺失")</x:f>
        <x:v>200</x:v>
      </x:c>
      <x:c r="AI155" s="18" t="n">
        <x:f>IF(ISNUMBER('原始输入与口径'!AI157),'原始输入与口径'!AI157,"缺失")</x:f>
        <x:v>15.787</x:v>
      </x:c>
      <x:c r="AJ155" s="18" t="n">
        <x:f>IF(ISNUMBER('原始输入与口径'!AL157),'原始输入与口径'!AL157,"缺失")</x:f>
        <x:v>0</x:v>
      </x:c>
      <x:c r="AK155" s="18" t="str">
        <x:f>IF(ISNUMBER('原始输入与口径'!O157),'原始输入与口径'!O157,"缺失")</x:f>
        <x:v>缺失</x:v>
      </x:c>
      <x:c r="AL155" s="18" t="n">
        <x:f>SUMIFS('相位SOC复算'!$N$7:$N$443,'相位SOC复算'!$S$7:$S$443,149)</x:f>
        <x:v>0.02383303140096618</x:v>
      </x:c>
      <x:c r="AM155" s="18" t="n">
        <x:f>SUMIFS('相位SOC复算'!$Q$7:$Q$443,'相位SOC复算'!$S$7:$S$443,149)</x:f>
        <x:v>0</x:v>
      </x:c>
      <x:c r="AN155" s="18" t="n">
        <x:f>SUMIFS('相位SOC复算'!$R$7:$R$443,'相位SOC复算'!$S$7:$S$443,149)</x:f>
        <x:v>7.8935</x:v>
      </x:c>
      <x:c r="AO155" s="18" t="n">
        <x:f>'相位SOC复算'!J355</x:f>
        <x:v>181.00434782608636</x:v>
      </x:c>
      <x:c r="AP155" s="18" t="n">
        <x:f>AO155-J155</x:f>
        <x:v>0</x:v>
      </x:c>
      <x:c r="AQ155" s="18" t="n">
        <x:f>IF(ISBLANK('原始输入与口径'!M157),"",'原始输入与口径'!M157)</x:f>
        <x:v>4.9741</x:v>
      </x:c>
      <x:c r="AR155" s="21" t="n">
        <x:f>IF(ISBLANK('原始输入与口径'!L157),"",'原始输入与口径'!L157)</x:f>
        <x:v>45657</x:v>
      </x:c>
      <x:c r="AS155" s="17" t="n">
        <x:f>IF(ISBLANK('原始输入与口径'!A157),"",'原始输入与口径'!A157)</x:f>
        <x:v>45659.458333333336</x:v>
      </x:c>
      <x:c r="AT155" s="18" t="str">
        <x:f>IF(ISBLANK('原始输入与口径'!I157),"",'原始输入与口径'!I157)</x:f>
        <x:v>2025-01-02_13</x:v>
      </x:c>
      <x:c r="AU155" s="19" t="n">
        <x:f>IF(ISBLANK('原始输入与口径'!J157),"",'原始输入与口径'!J157)</x:f>
        <x:v>60</x:v>
      </x:c>
      <x:c r="AV155" s="18" t="str">
        <x:f>IF(ISBLANK('原始输入与口径'!BB157),"",'原始输入与口径'!BB157)</x:f>
        <x:v>OK</x:v>
      </x:c>
    </x:row>
    <x:row r="156" ht="21" customHeight="1">
      <x:c r="A156" s="17" t="n">
        <x:f>45659.552083333336</x:f>
        <x:v>45659.552083333336</x:v>
      </x:c>
      <x:c r="B156" s="23" t="n">
        <x:f>IF(ISNUMBER('原始输入与口径'!H158),'原始输入与口径'!H158,"缺失")</x:f>
        <x:v>121.94</x:v>
      </x:c>
      <x:c r="C156" s="23" t="str">
        <x:f>IF(ISNUMBER('原始输入与口径'!R158),'原始输入与口径'!R158,"缺失")</x:f>
        <x:v>缺失</x:v>
      </x:c>
      <x:c r="D156" s="23" t="n">
        <x:f>IF(ISNUMBER('原始输入与口径'!W158),'原始输入与口径'!W158,"缺失")</x:f>
        <x:v>13.71102309965622</x:v>
      </x:c>
      <x:c r="E156" s="23" t="n">
        <x:f>IF(ISNUMBER('原始输入与口径'!AB158),'原始输入与口径'!AB158,"缺失")</x:f>
        <x:v>14.710198829939085</x:v>
      </x:c>
      <x:c r="F156" s="23" t="n">
        <x:f>IF(ISNUMBER('原始输入与口径'!AG158),'原始输入与口径'!AG158,"缺失")</x:f>
        <x:v>169.49277256187048</x:v>
      </x:c>
      <x:c r="G156" s="23" t="n">
        <x:f>IF(ISNUMBER('原始输入与口径'!AJ158),'原始输入与口径'!AJ158,"缺失")</x:f>
        <x:v>0</x:v>
      </x:c>
      <x:c r="H156" s="23" t="str">
        <x:f>"未模拟"</x:f>
        <x:v>未模拟</x:v>
      </x:c>
      <x:c r="I156" s="24" t="n">
        <x:f>'原始输入与口径'!BD158</x:f>
        <x:v>181.00434782608636</x:v>
      </x:c>
      <x:c r="J156" s="24" t="n">
        <x:f>'原始输入与口径'!BE158</x:f>
        <x:v>178.91793478260809</x:v>
      </x:c>
      <x:c r="K156" s="24" t="n">
        <x:f>'原始输入与口径'!BF158</x:f>
        <x:v>0</x:v>
      </x:c>
      <x:c r="L156" s="24" t="n">
        <x:f>'原始输入与口径'!BG158</x:f>
        <x:v>0</x:v>
      </x:c>
      <x:c r="M156" s="24" t="n">
        <x:f>'原始输入与口径'!BH158</x:f>
        <x:v>100</x:v>
      </x:c>
      <x:c r="N156" s="24" t="n">
        <x:f>'原始输入与口径'!BI158</x:f>
        <x:v>100</x:v>
      </x:c>
      <x:c r="O156" s="24" t="n">
        <x:f>M156*AE156*AC156</x:f>
        <x:v>1.9195</x:v>
      </x:c>
      <x:c r="P156" s="24" t="n">
        <x:f>N156*AF156*AC156</x:f>
        <x:v>0</x:v>
      </x:c>
      <x:c r="Q156" s="25" t="n">
        <x:f>IF(K156=0,0,IF(ISNUMBER(B156),K156*AC156*B156,NA()))</x:f>
        <x:v>0</x:v>
      </x:c>
      <x:c r="R156" s="25" t="n">
        <x:f>IF(L156=0,0,IF(ISNUMBER(C156),L156*AC156*C156*AD156,NA()))</x:f>
        <x:v>0</x:v>
      </x:c>
      <x:c r="S156" s="25" t="n">
        <x:f>IF(M156=0,0,IF(ISNUMBER(D156),M156*AC156*D156*AD156,NA()))</x:f>
        <x:v>342.7755774914055</x:v>
      </x:c>
      <x:c r="T156" s="25" t="n">
        <x:f>IF(N156=0,0,IF(ISNUMBER(E156),N156*AC156*E156*AD156,NA()))</x:f>
        <x:v>367.7549707484771</x:v>
      </x:c>
      <x:c r="U156" s="25" t="n">
        <x:f>IF(O156=0,0,IF(ISNUMBER(F156),O156*F156,NA()))</x:f>
        <x:v>325.3413769325104</x:v>
      </x:c>
      <x:c r="V156" s="25" t="n">
        <x:f>IF(P156=0,0,IF(ISNUMBER(G156),-P156*G156,NA()))</x:f>
        <x:v>0</x:v>
      </x:c>
      <x:c r="W156" s="25" t="n">
        <x:f>SUM(Q156:V156)</x:f>
        <x:v>1035.871925172393</x:v>
      </x:c>
      <x:c r="X156" s="18" t="n">
        <x:f>'原始输入与口径'!BR158</x:f>
        <x:v>1035.871925172393</x:v>
      </x:c>
      <x:c r="Y156" s="18" t="n">
        <x:f>W156-X156</x:f>
        <x:v>0</x:v>
      </x:c>
      <x:c r="Z156" s="18" t="str">
        <x:f>"1月2日计划｜本窗新增"</x:f>
        <x:v>1月2日计划｜本窗新增</x:v>
      </x:c>
      <x:c r="AA156" s="19" t="n">
        <x:f>IF('原始输入与口径'!AW158,1,0)</x:f>
        <x:v>1</x:v>
      </x:c>
      <x:c r="AB156" s="19" t="n">
        <x:f>IF('原始输入与口径'!AY158,1,0)</x:f>
        <x:v>0</x:v>
      </x:c>
      <x:c r="AC156" s="18" t="n">
        <x:f>'原始输入与口径'!E158</x:f>
        <x:v>0.25</x:v>
      </x:c>
      <x:c r="AD156" s="20" t="n">
        <x:f>'原始输入与口径'!$F$5</x:f>
        <x:v>1</x:v>
      </x:c>
      <x:c r="AE156" s="20" t="n">
        <x:f>IF(AA156=0,0,AI156/(AG156*AC156))</x:f>
        <x:v>0.07678</x:v>
      </x:c>
      <x:c r="AF156" s="20" t="n">
        <x:f>IF(AA156=0,0,AJ156/(AH156*AC156))</x:f>
        <x:v>0</x:v>
      </x:c>
      <x:c r="AG156" s="18" t="n">
        <x:f>IF(ISNUMBER('原始输入与口径'!T158),'原始输入与口径'!T158,"缺失")</x:f>
        <x:v>200</x:v>
      </x:c>
      <x:c r="AH156" s="18" t="n">
        <x:f>IF(ISNUMBER('原始输入与口径'!Y158),'原始输入与口径'!Y158,"缺失")</x:f>
        <x:v>200</x:v>
      </x:c>
      <x:c r="AI156" s="18" t="n">
        <x:f>IF(ISNUMBER('原始输入与口径'!AI158),'原始输入与口径'!AI158,"缺失")</x:f>
        <x:v>3.839</x:v>
      </x:c>
      <x:c r="AJ156" s="18" t="n">
        <x:f>IF(ISNUMBER('原始输入与口径'!AL158),'原始输入与口径'!AL158,"缺失")</x:f>
        <x:v>0</x:v>
      </x:c>
      <x:c r="AK156" s="18" t="str">
        <x:f>IF(ISNUMBER('原始输入与口径'!O158),'原始输入与口径'!O158,"缺失")</x:f>
        <x:v>缺失</x:v>
      </x:c>
      <x:c r="AL156" s="18" t="n">
        <x:f>SUMIFS('相位SOC复算'!$N$7:$N$443,'相位SOC复算'!$S$7:$S$443,150)</x:f>
        <x:v>0.005795591787439614</x:v>
      </x:c>
      <x:c r="AM156" s="18" t="n">
        <x:f>SUMIFS('相位SOC复算'!$Q$7:$Q$443,'相位SOC复算'!$S$7:$S$443,150)</x:f>
        <x:v>0</x:v>
      </x:c>
      <x:c r="AN156" s="18" t="n">
        <x:f>SUMIFS('相位SOC复算'!$R$7:$R$443,'相位SOC复算'!$S$7:$S$443,150)</x:f>
        <x:v>1.9195</x:v>
      </x:c>
      <x:c r="AO156" s="18" t="n">
        <x:f>'相位SOC复算'!J357</x:f>
        <x:v>178.91793478260809</x:v>
      </x:c>
      <x:c r="AP156" s="18" t="n">
        <x:f>AO156-J156</x:f>
        <x:v>0</x:v>
      </x:c>
      <x:c r="AQ156" s="18" t="n">
        <x:f>IF(ISBLANK('原始输入与口径'!M158),"",'原始输入与口径'!M158)</x:f>
        <x:v>4.9741</x:v>
      </x:c>
      <x:c r="AR156" s="21" t="n">
        <x:f>IF(ISBLANK('原始输入与口径'!L158),"",'原始输入与口径'!L158)</x:f>
        <x:v>45657</x:v>
      </x:c>
      <x:c r="AS156" s="17" t="n">
        <x:f>IF(ISBLANK('原始输入与口径'!A158),"",'原始输入与口径'!A158)</x:f>
        <x:v>45659.46875</x:v>
      </x:c>
      <x:c r="AT156" s="18" t="str">
        <x:f>IF(ISBLANK('原始输入与口径'!I158),"",'原始输入与口径'!I158)</x:f>
        <x:v>2025-01-02_13</x:v>
      </x:c>
      <x:c r="AU156" s="19" t="n">
        <x:f>IF(ISBLANK('原始输入与口径'!J158),"",'原始输入与口径'!J158)</x:f>
        <x:v>60</x:v>
      </x:c>
      <x:c r="AV156" s="18" t="str">
        <x:f>IF(ISBLANK('原始输入与口径'!BB158),"",'原始输入与口径'!BB158)</x:f>
        <x:v>OK</x:v>
      </x:c>
    </x:row>
    <x:row r="157" ht="21" customHeight="1">
      <x:c r="A157" s="17" t="n">
        <x:f>45659.5625</x:f>
        <x:v>45659.5625</x:v>
      </x:c>
      <x:c r="B157" s="23" t="n">
        <x:f>IF(ISNUMBER('原始输入与口径'!H159),'原始输入与口径'!H159,"缺失")</x:f>
        <x:v>121.94</x:v>
      </x:c>
      <x:c r="C157" s="23" t="str">
        <x:f>IF(ISNUMBER('原始输入与口径'!R159),'原始输入与口径'!R159,"缺失")</x:f>
        <x:v>缺失</x:v>
      </x:c>
      <x:c r="D157" s="23" t="n">
        <x:f>IF(ISNUMBER('原始输入与口径'!W159),'原始输入与口径'!W159,"缺失")</x:f>
        <x:v>13.71102309965622</x:v>
      </x:c>
      <x:c r="E157" s="23" t="n">
        <x:f>IF(ISNUMBER('原始输入与口径'!AB159),'原始输入与口径'!AB159,"缺失")</x:f>
        <x:v>14.710198829939085</x:v>
      </x:c>
      <x:c r="F157" s="23" t="n">
        <x:f>IF(ISNUMBER('原始输入与口径'!AG159),'原始输入与口径'!AG159,"缺失")</x:f>
        <x:v>132.54980800546832</x:v>
      </x:c>
      <x:c r="G157" s="23" t="n">
        <x:f>IF(ISNUMBER('原始输入与口径'!AJ159),'原始输入与口径'!AJ159,"缺失")</x:f>
        <x:v>0</x:v>
      </x:c>
      <x:c r="H157" s="23" t="str">
        <x:f>"未模拟"</x:f>
        <x:v>未模拟</x:v>
      </x:c>
      <x:c r="I157" s="24" t="n">
        <x:f>'原始输入与口径'!BD159</x:f>
        <x:v>178.91793478260809</x:v>
      </x:c>
      <x:c r="J157" s="24" t="n">
        <x:f>'原始输入与口径'!BE159</x:f>
        <x:v>178.56847826086894</x:v>
      </x:c>
      <x:c r="K157" s="24" t="n">
        <x:f>'原始输入与口径'!BF159</x:f>
        <x:v>0</x:v>
      </x:c>
      <x:c r="L157" s="24" t="n">
        <x:f>'原始输入与口径'!BG159</x:f>
        <x:v>0</x:v>
      </x:c>
      <x:c r="M157" s="24" t="n">
        <x:f>'原始输入与口径'!BH159</x:f>
        <x:v>100</x:v>
      </x:c>
      <x:c r="N157" s="24" t="n">
        <x:f>'原始输入与口径'!BI159</x:f>
        <x:v>100</x:v>
      </x:c>
      <x:c r="O157" s="24" t="n">
        <x:f>M157*AE157*AC157</x:f>
        <x:v>0.3215</x:v>
      </x:c>
      <x:c r="P157" s="24" t="n">
        <x:f>N157*AF157*AC157</x:f>
        <x:v>0</x:v>
      </x:c>
      <x:c r="Q157" s="25" t="n">
        <x:f>IF(K157=0,0,IF(ISNUMBER(B157),K157*AC157*B157,NA()))</x:f>
        <x:v>0</x:v>
      </x:c>
      <x:c r="R157" s="25" t="n">
        <x:f>IF(L157=0,0,IF(ISNUMBER(C157),L157*AC157*C157*AD157,NA()))</x:f>
        <x:v>0</x:v>
      </x:c>
      <x:c r="S157" s="25" t="n">
        <x:f>IF(M157=0,0,IF(ISNUMBER(D157),M157*AC157*D157*AD157,NA()))</x:f>
        <x:v>342.7755774914055</x:v>
      </x:c>
      <x:c r="T157" s="25" t="n">
        <x:f>IF(N157=0,0,IF(ISNUMBER(E157),N157*AC157*E157*AD157,NA()))</x:f>
        <x:v>367.7549707484771</x:v>
      </x:c>
      <x:c r="U157" s="25" t="n">
        <x:f>IF(O157=0,0,IF(ISNUMBER(F157),O157*F157,NA()))</x:f>
        <x:v>42.614763273758065</x:v>
      </x:c>
      <x:c r="V157" s="25" t="n">
        <x:f>IF(P157=0,0,IF(ISNUMBER(G157),-P157*G157,NA()))</x:f>
        <x:v>0</x:v>
      </x:c>
      <x:c r="W157" s="25" t="n">
        <x:f>SUM(Q157:V157)</x:f>
        <x:v>753.1453115136406</x:v>
      </x:c>
      <x:c r="X157" s="18" t="n">
        <x:f>'原始输入与口径'!BR159</x:f>
        <x:v>753.1453115136406</x:v>
      </x:c>
      <x:c r="Y157" s="18" t="n">
        <x:f>W157-X157</x:f>
        <x:v>0</x:v>
      </x:c>
      <x:c r="Z157" s="18" t="str">
        <x:f>"1月2日计划｜本窗新增"</x:f>
        <x:v>1月2日计划｜本窗新增</x:v>
      </x:c>
      <x:c r="AA157" s="19" t="n">
        <x:f>IF('原始输入与口径'!AW159,1,0)</x:f>
        <x:v>1</x:v>
      </x:c>
      <x:c r="AB157" s="19" t="n">
        <x:f>IF('原始输入与口径'!AY159,1,0)</x:f>
        <x:v>0</x:v>
      </x:c>
      <x:c r="AC157" s="18" t="n">
        <x:f>'原始输入与口径'!E159</x:f>
        <x:v>0.25</x:v>
      </x:c>
      <x:c r="AD157" s="20" t="n">
        <x:f>'原始输入与口径'!$F$5</x:f>
        <x:v>1</x:v>
      </x:c>
      <x:c r="AE157" s="20" t="n">
        <x:f>IF(AA157=0,0,AI157/(AG157*AC157))</x:f>
        <x:v>0.01286</x:v>
      </x:c>
      <x:c r="AF157" s="20" t="n">
        <x:f>IF(AA157=0,0,AJ157/(AH157*AC157))</x:f>
        <x:v>0</x:v>
      </x:c>
      <x:c r="AG157" s="18" t="n">
        <x:f>IF(ISNUMBER('原始输入与口径'!T159),'原始输入与口径'!T159,"缺失")</x:f>
        <x:v>200</x:v>
      </x:c>
      <x:c r="AH157" s="18" t="n">
        <x:f>IF(ISNUMBER('原始输入与口径'!Y159),'原始输入与口径'!Y159,"缺失")</x:f>
        <x:v>200</x:v>
      </x:c>
      <x:c r="AI157" s="18" t="n">
        <x:f>IF(ISNUMBER('原始输入与口径'!AI159),'原始输入与口径'!AI159,"缺失")</x:f>
        <x:v>0.643</x:v>
      </x:c>
      <x:c r="AJ157" s="18" t="n">
        <x:f>IF(ISNUMBER('原始输入与口径'!AL159),'原始输入与口径'!AL159,"缺失")</x:f>
        <x:v>0</x:v>
      </x:c>
      <x:c r="AK157" s="18" t="str">
        <x:f>IF(ISNUMBER('原始输入与口径'!O159),'原始输入与口径'!O159,"缺失")</x:f>
        <x:v>缺失</x:v>
      </x:c>
      <x:c r="AL157" s="18" t="n">
        <x:f>SUMIFS('相位SOC复算'!$N$7:$N$443,'相位SOC复算'!$S$7:$S$443,151)</x:f>
        <x:v>0.0009707125603864733</x:v>
      </x:c>
      <x:c r="AM157" s="18" t="n">
        <x:f>SUMIFS('相位SOC复算'!$Q$7:$Q$443,'相位SOC复算'!$S$7:$S$443,151)</x:f>
        <x:v>0</x:v>
      </x:c>
      <x:c r="AN157" s="18" t="n">
        <x:f>SUMIFS('相位SOC复算'!$R$7:$R$443,'相位SOC复算'!$S$7:$S$443,151)</x:f>
        <x:v>0.3215</x:v>
      </x:c>
      <x:c r="AO157" s="18" t="n">
        <x:f>'相位SOC复算'!J359</x:f>
        <x:v>178.56847826086894</x:v>
      </x:c>
      <x:c r="AP157" s="18" t="n">
        <x:f>AO157-J157</x:f>
        <x:v>0</x:v>
      </x:c>
      <x:c r="AQ157" s="18" t="n">
        <x:f>IF(ISBLANK('原始输入与口径'!M159),"",'原始输入与口径'!M159)</x:f>
        <x:v>4.9741</x:v>
      </x:c>
      <x:c r="AR157" s="21" t="n">
        <x:f>IF(ISBLANK('原始输入与口径'!L159),"",'原始输入与口径'!L159)</x:f>
        <x:v>45657</x:v>
      </x:c>
      <x:c r="AS157" s="17" t="n">
        <x:f>IF(ISBLANK('原始输入与口径'!A159),"",'原始输入与口径'!A159)</x:f>
        <x:v>45659.479166666664</x:v>
      </x:c>
      <x:c r="AT157" s="18" t="str">
        <x:f>IF(ISBLANK('原始输入与口径'!I159),"",'原始输入与口径'!I159)</x:f>
        <x:v>2025-01-02_13</x:v>
      </x:c>
      <x:c r="AU157" s="19" t="n">
        <x:f>IF(ISBLANK('原始输入与口径'!J159),"",'原始输入与口径'!J159)</x:f>
        <x:v>60</x:v>
      </x:c>
      <x:c r="AV157" s="18" t="str">
        <x:f>IF(ISBLANK('原始输入与口径'!BB159),"",'原始输入与口径'!BB159)</x:f>
        <x:v>OK</x:v>
      </x:c>
    </x:row>
    <x:row r="158" ht="21" customHeight="1">
      <x:c r="A158" s="17" t="n">
        <x:f>45659.572916666664</x:f>
        <x:v>45659.572916666664</x:v>
      </x:c>
      <x:c r="B158" s="23" t="n">
        <x:f>IF(ISNUMBER('原始输入与口径'!H160),'原始输入与口径'!H160,"缺失")</x:f>
        <x:v>121.94</x:v>
      </x:c>
      <x:c r="C158" s="23" t="str">
        <x:f>IF(ISNUMBER('原始输入与口径'!R160),'原始输入与口径'!R160,"缺失")</x:f>
        <x:v>缺失</x:v>
      </x:c>
      <x:c r="D158" s="23" t="n">
        <x:f>IF(ISNUMBER('原始输入与口径'!W160),'原始输入与口径'!W160,"缺失")</x:f>
        <x:v>13.71102309965622</x:v>
      </x:c>
      <x:c r="E158" s="23" t="n">
        <x:f>IF(ISNUMBER('原始输入与口径'!AB160),'原始输入与口径'!AB160,"缺失")</x:f>
        <x:v>14.710198829939085</x:v>
      </x:c>
      <x:c r="F158" s="23" t="n">
        <x:f>IF(ISNUMBER('原始输入与口径'!AG160),'原始输入与口径'!AG160,"缺失")</x:f>
        <x:v>136.70814820771596</x:v>
      </x:c>
      <x:c r="G158" s="23" t="n">
        <x:f>IF(ISNUMBER('原始输入与口径'!AJ160),'原始输入与口径'!AJ160,"缺失")</x:f>
        <x:v>26.079893850143744</x:v>
      </x:c>
      <x:c r="H158" s="23" t="str">
        <x:f>"未模拟"</x:f>
        <x:v>未模拟</x:v>
      </x:c>
      <x:c r="I158" s="24" t="n">
        <x:f>'原始输入与口径'!BD160</x:f>
        <x:v>178.56847826086894</x:v>
      </x:c>
      <x:c r="J158" s="24" t="n">
        <x:f>'原始输入与口径'!BE160</x:f>
        <x:v>178.5976869565211</x:v>
      </x:c>
      <x:c r="K158" s="24" t="n">
        <x:f>'原始输入与口径'!BF160</x:f>
        <x:v>0</x:v>
      </x:c>
      <x:c r="L158" s="24" t="n">
        <x:f>'原始输入与口径'!BG160</x:f>
        <x:v>0</x:v>
      </x:c>
      <x:c r="M158" s="24" t="n">
        <x:f>'原始输入与口径'!BH160</x:f>
        <x:v>100</x:v>
      </x:c>
      <x:c r="N158" s="24" t="n">
        <x:f>'原始输入与口径'!BI160</x:f>
        <x:v>100</x:v>
      </x:c>
      <x:c r="O158" s="24" t="n">
        <x:f>M158*AE158*AC158</x:f>
        <x:v>0.062</x:v>
      </x:c>
      <x:c r="P158" s="24" t="n">
        <x:f>N158*AF158*AC158</x:f>
        <x:v>0.105</x:v>
      </x:c>
      <x:c r="Q158" s="25" t="n">
        <x:f>IF(K158=0,0,IF(ISNUMBER(B158),K158*AC158*B158,NA()))</x:f>
        <x:v>0</x:v>
      </x:c>
      <x:c r="R158" s="25" t="n">
        <x:f>IF(L158=0,0,IF(ISNUMBER(C158),L158*AC158*C158*AD158,NA()))</x:f>
        <x:v>0</x:v>
      </x:c>
      <x:c r="S158" s="25" t="n">
        <x:f>IF(M158=0,0,IF(ISNUMBER(D158),M158*AC158*D158*AD158,NA()))</x:f>
        <x:v>342.7755774914055</x:v>
      </x:c>
      <x:c r="T158" s="25" t="n">
        <x:f>IF(N158=0,0,IF(ISNUMBER(E158),N158*AC158*E158*AD158,NA()))</x:f>
        <x:v>367.7549707484771</x:v>
      </x:c>
      <x:c r="U158" s="25" t="n">
        <x:f>IF(O158=0,0,IF(ISNUMBER(F158),O158*F158,NA()))</x:f>
        <x:v>8.47590518887839</x:v>
      </x:c>
      <x:c r="V158" s="25" t="n">
        <x:f>IF(P158=0,0,IF(ISNUMBER(G158),-P158*G158,NA()))</x:f>
        <x:v>-2.738388854265093</x:v>
      </x:c>
      <x:c r="W158" s="25" t="n">
        <x:f>SUM(Q158:V158)</x:f>
        <x:v>716.268064574496</x:v>
      </x:c>
      <x:c r="X158" s="18" t="n">
        <x:f>'原始输入与口径'!BR160</x:f>
        <x:v>716.2680645744958</x:v>
      </x:c>
      <x:c r="Y158" s="18" t="n">
        <x:f>W158-X158</x:f>
        <x:v>1.1368683772161603e-13</x:v>
      </x:c>
      <x:c r="Z158" s="18" t="str">
        <x:f>"1月2日计划｜本窗新增"</x:f>
        <x:v>1月2日计划｜本窗新增</x:v>
      </x:c>
      <x:c r="AA158" s="19" t="n">
        <x:f>IF('原始输入与口径'!AW160,1,0)</x:f>
        <x:v>1</x:v>
      </x:c>
      <x:c r="AB158" s="19" t="n">
        <x:f>IF('原始输入与口径'!AY160,1,0)</x:f>
        <x:v>0</x:v>
      </x:c>
      <x:c r="AC158" s="18" t="n">
        <x:f>'原始输入与口径'!E160</x:f>
        <x:v>0.25</x:v>
      </x:c>
      <x:c r="AD158" s="20" t="n">
        <x:f>'原始输入与口径'!$F$5</x:f>
        <x:v>1</x:v>
      </x:c>
      <x:c r="AE158" s="20" t="n">
        <x:f>IF(AA158=0,0,AI158/(AG158*AC158))</x:f>
        <x:v>0.00248</x:v>
      </x:c>
      <x:c r="AF158" s="20" t="n">
        <x:f>IF(AA158=0,0,AJ158/(AH158*AC158))</x:f>
        <x:v>0.0042</x:v>
      </x:c>
      <x:c r="AG158" s="18" t="n">
        <x:f>IF(ISNUMBER('原始输入与口径'!T160),'原始输入与口径'!T160,"缺失")</x:f>
        <x:v>200</x:v>
      </x:c>
      <x:c r="AH158" s="18" t="n">
        <x:f>IF(ISNUMBER('原始输入与口径'!Y160),'原始输入与口径'!Y160,"缺失")</x:f>
        <x:v>200</x:v>
      </x:c>
      <x:c r="AI158" s="18" t="n">
        <x:f>IF(ISNUMBER('原始输入与口径'!AI160),'原始输入与口径'!AI160,"缺失")</x:f>
        <x:v>0.124</x:v>
      </x:c>
      <x:c r="AJ158" s="18" t="n">
        <x:f>IF(ISNUMBER('原始输入与口径'!AL160),'原始输入与口径'!AL160,"缺失")</x:f>
        <x:v>0.21</x:v>
      </x:c>
      <x:c r="AK158" s="18" t="str">
        <x:f>IF(ISNUMBER('原始输入与口径'!O160),'原始输入与口径'!O160,"缺失")</x:f>
        <x:v>缺失</x:v>
      </x:c>
      <x:c r="AL158" s="18" t="n">
        <x:f>SUMIFS('相位SOC复算'!$N$7:$N$443,'相位SOC复算'!$S$7:$S$443,152)</x:f>
        <x:v>0.00045553140096618355</x:v>
      </x:c>
      <x:c r="AM158" s="18" t="n">
        <x:f>SUMIFS('相位SOC复算'!$Q$7:$Q$443,'相位SOC复算'!$S$7:$S$443,152)</x:f>
        <x:v>0.105</x:v>
      </x:c>
      <x:c r="AN158" s="18" t="n">
        <x:f>SUMIFS('相位SOC复算'!$R$7:$R$443,'相位SOC复算'!$S$7:$S$443,152)</x:f>
        <x:v>0.062</x:v>
      </x:c>
      <x:c r="AO158" s="18" t="n">
        <x:f>'相位SOC复算'!J362</x:f>
        <x:v>178.5976869565211</x:v>
      </x:c>
      <x:c r="AP158" s="18" t="n">
        <x:f>AO158-J158</x:f>
        <x:v>0</x:v>
      </x:c>
      <x:c r="AQ158" s="18" t="n">
        <x:f>IF(ISBLANK('原始输入与口径'!M160),"",'原始输入与口径'!M160)</x:f>
        <x:v>4.9741</x:v>
      </x:c>
      <x:c r="AR158" s="21" t="n">
        <x:f>IF(ISBLANK('原始输入与口径'!L160),"",'原始输入与口径'!L160)</x:f>
        <x:v>45657</x:v>
      </x:c>
      <x:c r="AS158" s="17" t="n">
        <x:f>IF(ISBLANK('原始输入与口径'!A160),"",'原始输入与口径'!A160)</x:f>
        <x:v>45659.489583333336</x:v>
      </x:c>
      <x:c r="AT158" s="18" t="str">
        <x:f>IF(ISBLANK('原始输入与口径'!I160),"",'原始输入与口径'!I160)</x:f>
        <x:v>2025-01-02_13</x:v>
      </x:c>
      <x:c r="AU158" s="19" t="n">
        <x:f>IF(ISBLANK('原始输入与口径'!J160),"",'原始输入与口径'!J160)</x:f>
        <x:v>60</x:v>
      </x:c>
      <x:c r="AV158" s="18" t="str">
        <x:f>IF(ISBLANK('原始输入与口径'!BB160),"",'原始输入与口径'!BB160)</x:f>
        <x:v>OK</x:v>
      </x:c>
    </x:row>
    <x:row r="159" ht="21" customHeight="1">
      <x:c r="A159" s="17" t="n">
        <x:f>45659.583333333336</x:f>
        <x:v>45659.583333333336</x:v>
      </x:c>
      <x:c r="B159" s="23" t="n">
        <x:f>IF(ISNUMBER('原始输入与口径'!H161),'原始输入与口径'!H161,"缺失")</x:f>
        <x:v>116.3</x:v>
      </x:c>
      <x:c r="C159" s="23" t="str">
        <x:f>IF(ISNUMBER('原始输入与口径'!R161),'原始输入与口径'!R161,"缺失")</x:f>
        <x:v>缺失</x:v>
      </x:c>
      <x:c r="D159" s="23" t="n">
        <x:f>IF(ISNUMBER('原始输入与口径'!W161),'原始输入与口径'!W161,"缺失")</x:f>
        <x:v>13.71102309965622</x:v>
      </x:c>
      <x:c r="E159" s="23" t="n">
        <x:f>IF(ISNUMBER('原始输入与口径'!AB161),'原始输入与口径'!AB161,"缺失")</x:f>
        <x:v>14.710198829939085</x:v>
      </x:c>
      <x:c r="F159" s="23" t="n">
        <x:f>IF(ISNUMBER('原始输入与口径'!AG161),'原始输入与口径'!AG161,"缺失")</x:f>
        <x:v>0</x:v>
      </x:c>
      <x:c r="G159" s="23" t="n">
        <x:f>IF(ISNUMBER('原始输入与口径'!AJ161),'原始输入与口径'!AJ161,"缺失")</x:f>
        <x:v>31.699000824269717</x:v>
      </x:c>
      <x:c r="H159" s="23" t="str">
        <x:f>"未模拟"</x:f>
        <x:v>未模拟</x:v>
      </x:c>
      <x:c r="I159" s="24" t="n">
        <x:f>'原始输入与口径'!BD161</x:f>
        <x:v>178.5976869565211</x:v>
      </x:c>
      <x:c r="J159" s="24" t="n">
        <x:f>'原始输入与口径'!BE161</x:f>
        <x:v>184.7851469565209</x:v>
      </x:c>
      <x:c r="K159" s="24" t="n">
        <x:f>'原始输入与口径'!BF161</x:f>
        <x:v>-24.999999999999062</x:v>
      </x:c>
      <x:c r="L159" s="24" t="n">
        <x:f>'原始输入与口径'!BG161</x:f>
        <x:v>0</x:v>
      </x:c>
      <x:c r="M159" s="24" t="n">
        <x:f>'原始输入与口径'!BH161</x:f>
        <x:v>100</x:v>
      </x:c>
      <x:c r="N159" s="24" t="n">
        <x:f>'原始输入与口径'!BI161</x:f>
        <x:v>75</x:v>
      </x:c>
      <x:c r="O159" s="24" t="n">
        <x:f>M159*AE159*AC159</x:f>
        <x:v>0</x:v>
      </x:c>
      <x:c r="P159" s="24" t="n">
        <x:f>N159*AF159*AC159</x:f>
        <x:v>0.47550000000000003</x:v>
      </x:c>
      <x:c r="Q159" s="25" t="n">
        <x:f>IF(K159=0,0,IF(ISNUMBER(B159),K159*AC159*B159,NA()))</x:f>
        <x:v>-726.8749999999727</x:v>
      </x:c>
      <x:c r="R159" s="25" t="n">
        <x:f>IF(L159=0,0,IF(ISNUMBER(C159),L159*AC159*C159*AD159,NA()))</x:f>
        <x:v>0</x:v>
      </x:c>
      <x:c r="S159" s="25" t="n">
        <x:f>IF(M159=0,0,IF(ISNUMBER(D159),M159*AC159*D159*AD159,NA()))</x:f>
        <x:v>342.7755774914055</x:v>
      </x:c>
      <x:c r="T159" s="25" t="n">
        <x:f>IF(N159=0,0,IF(ISNUMBER(E159),N159*AC159*E159*AD159,NA()))</x:f>
        <x:v>275.81622806135783</x:v>
      </x:c>
      <x:c r="U159" s="25" t="n">
        <x:f>IF(O159=0,0,IF(ISNUMBER(F159),O159*F159,NA()))</x:f>
        <x:v>0</x:v>
      </x:c>
      <x:c r="V159" s="25" t="n">
        <x:f>IF(P159=0,0,IF(ISNUMBER(G159),-P159*G159,NA()))</x:f>
        <x:v>-15.072874891940252</x:v>
      </x:c>
      <x:c r="W159" s="25" t="n">
        <x:f>SUM(Q159:V159)</x:f>
        <x:v>-123.35606933914963</x:v>
      </x:c>
      <x:c r="X159" s="18" t="n">
        <x:f>'原始输入与口径'!BR161</x:f>
        <x:v>-123.35606933914963</x:v>
      </x:c>
      <x:c r="Y159" s="18" t="n">
        <x:f>W159-X159</x:f>
        <x:v>0</x:v>
      </x:c>
      <x:c r="Z159" s="18" t="str">
        <x:f>"1月2日计划｜本窗新增"</x:f>
        <x:v>1月2日计划｜本窗新增</x:v>
      </x:c>
      <x:c r="AA159" s="19" t="n">
        <x:f>IF('原始输入与口径'!AW161,1,0)</x:f>
        <x:v>1</x:v>
      </x:c>
      <x:c r="AB159" s="19" t="n">
        <x:f>IF('原始输入与口径'!AY161,1,0)</x:f>
        <x:v>0</x:v>
      </x:c>
      <x:c r="AC159" s="18" t="n">
        <x:f>'原始输入与口径'!E161</x:f>
        <x:v>0.25</x:v>
      </x:c>
      <x:c r="AD159" s="20" t="n">
        <x:f>'原始输入与口径'!$F$5</x:f>
        <x:v>1</x:v>
      </x:c>
      <x:c r="AE159" s="20" t="n">
        <x:f>IF(AA159=0,0,AI159/(AG159*AC159))</x:f>
        <x:v>0</x:v>
      </x:c>
      <x:c r="AF159" s="20" t="n">
        <x:f>IF(AA159=0,0,AJ159/(AH159*AC159))</x:f>
        <x:v>0.02536</x:v>
      </x:c>
      <x:c r="AG159" s="18" t="n">
        <x:f>IF(ISNUMBER('原始输入与口径'!T161),'原始输入与口径'!T161,"缺失")</x:f>
        <x:v>200</x:v>
      </x:c>
      <x:c r="AH159" s="18" t="n">
        <x:f>IF(ISNUMBER('原始输入与口径'!Y161),'原始输入与口径'!Y161,"缺失")</x:f>
        <x:v>200</x:v>
      </x:c>
      <x:c r="AI159" s="18" t="n">
        <x:f>IF(ISNUMBER('原始输入与口径'!AI161),'原始输入与口径'!AI161,"缺失")</x:f>
        <x:v>0</x:v>
      </x:c>
      <x:c r="AJ159" s="18" t="n">
        <x:f>IF(ISNUMBER('原始输入与口径'!AL161),'原始输入与口径'!AL161,"缺失")</x:f>
        <x:v>1.268</x:v>
      </x:c>
      <x:c r="AK159" s="18" t="str">
        <x:f>IF(ISNUMBER('原始输入与口径'!O161),'原始输入与口径'!O161,"缺失")</x:f>
        <x:v>缺失</x:v>
      </x:c>
      <x:c r="AL159" s="18" t="n">
        <x:f>SUMIFS('相位SOC复算'!$N$7:$N$443,'相位SOC复算'!$S$7:$S$443,153)</x:f>
        <x:v>0.017187388888888287</x:v>
      </x:c>
      <x:c r="AM159" s="18" t="n">
        <x:f>SUMIFS('相位SOC复算'!$Q$7:$Q$443,'相位SOC复算'!$S$7:$S$443,153)</x:f>
        <x:v>6.725499999999765</x:v>
      </x:c>
      <x:c r="AN159" s="18" t="n">
        <x:f>SUMIFS('相位SOC复算'!$R$7:$R$443,'相位SOC复算'!$S$7:$S$443,153)</x:f>
        <x:v>0</x:v>
      </x:c>
      <x:c r="AO159" s="18" t="n">
        <x:f>'相位SOC复算'!J364</x:f>
        <x:v>184.7851469565209</x:v>
      </x:c>
      <x:c r="AP159" s="18" t="n">
        <x:f>AO159-J159</x:f>
        <x:v>0</x:v>
      </x:c>
      <x:c r="AQ159" s="18" t="n">
        <x:f>IF(ISBLANK('原始输入与口径'!M161),"",'原始输入与口径'!M161)</x:f>
        <x:v>4.9741</x:v>
      </x:c>
      <x:c r="AR159" s="21" t="n">
        <x:f>IF(ISBLANK('原始输入与口径'!L161),"",'原始输入与口径'!L161)</x:f>
        <x:v>45657</x:v>
      </x:c>
      <x:c r="AS159" s="17" t="n">
        <x:f>IF(ISBLANK('原始输入与口径'!A161),"",'原始输入与口径'!A161)</x:f>
        <x:v>45659.5</x:v>
      </x:c>
      <x:c r="AT159" s="18" t="str">
        <x:f>IF(ISBLANK('原始输入与口径'!I161),"",'原始输入与口径'!I161)</x:f>
        <x:v>2025-01-02_14</x:v>
      </x:c>
      <x:c r="AU159" s="19" t="n">
        <x:f>IF(ISBLANK('原始输入与口径'!J161),"",'原始输入与口径'!J161)</x:f>
        <x:v>60</x:v>
      </x:c>
      <x:c r="AV159" s="18" t="str">
        <x:f>IF(ISBLANK('原始输入与口径'!BB161),"",'原始输入与口径'!BB161)</x:f>
        <x:v>OK</x:v>
      </x:c>
    </x:row>
    <x:row r="160" ht="21" customHeight="1">
      <x:c r="A160" s="17" t="n">
        <x:f>45659.59375</x:f>
        <x:v>45659.59375</x:v>
      </x:c>
      <x:c r="B160" s="23" t="n">
        <x:f>IF(ISNUMBER('原始输入与口径'!H162),'原始输入与口径'!H162,"缺失")</x:f>
        <x:v>116.3</x:v>
      </x:c>
      <x:c r="C160" s="23" t="str">
        <x:f>IF(ISNUMBER('原始输入与口径'!R162),'原始输入与口径'!R162,"缺失")</x:f>
        <x:v>缺失</x:v>
      </x:c>
      <x:c r="D160" s="23" t="n">
        <x:f>IF(ISNUMBER('原始输入与口径'!W162),'原始输入与口径'!W162,"缺失")</x:f>
        <x:v>13.71102309965622</x:v>
      </x:c>
      <x:c r="E160" s="23" t="n">
        <x:f>IF(ISNUMBER('原始输入与口径'!AB162),'原始输入与口径'!AB162,"缺失")</x:f>
        <x:v>14.710198829939085</x:v>
      </x:c>
      <x:c r="F160" s="23" t="n">
        <x:f>IF(ISNUMBER('原始输入与口径'!AG162),'原始输入与口径'!AG162,"缺失")</x:f>
        <x:v>136.70814820771596</x:v>
      </x:c>
      <x:c r="G160" s="23" t="n">
        <x:f>IF(ISNUMBER('原始输入与口径'!AJ162),'原始输入与口径'!AJ162,"缺失")</x:f>
        <x:v>58.3020043827024</x:v>
      </x:c>
      <x:c r="H160" s="23" t="str">
        <x:f>"未模拟"</x:f>
        <x:v>未模拟</x:v>
      </x:c>
      <x:c r="I160" s="24" t="n">
        <x:f>'原始输入与口径'!BD162</x:f>
        <x:v>184.7851469565209</x:v>
      </x:c>
      <x:c r="J160" s="24" t="n">
        <x:f>'原始输入与口径'!BE162</x:f>
        <x:v>189.91249130434676</x:v>
      </x:c>
      <x:c r="K160" s="24" t="n">
        <x:f>'原始输入与口径'!BF162</x:f>
        <x:v>-24.999999999999062</x:v>
      </x:c>
      <x:c r="L160" s="24" t="n">
        <x:f>'原始输入与口径'!BG162</x:f>
        <x:v>0</x:v>
      </x:c>
      <x:c r="M160" s="24" t="n">
        <x:f>'原始输入与口径'!BH162</x:f>
        <x:v>100</x:v>
      </x:c>
      <x:c r="N160" s="24" t="n">
        <x:f>'原始输入与口径'!BI162</x:f>
        <x:v>75</x:v>
      </x:c>
      <x:c r="O160" s="24" t="n">
        <x:f>M160*AE160*AC160</x:f>
        <x:v>0.601</x:v>
      </x:c>
      <x:c r="P160" s="24" t="n">
        <x:f>N160*AF160*AC160</x:f>
        <x:v>0.006</x:v>
      </x:c>
      <x:c r="Q160" s="25" t="n">
        <x:f>IF(K160=0,0,IF(ISNUMBER(B160),K160*AC160*B160,NA()))</x:f>
        <x:v>-726.8749999999727</x:v>
      </x:c>
      <x:c r="R160" s="25" t="n">
        <x:f>IF(L160=0,0,IF(ISNUMBER(C160),L160*AC160*C160*AD160,NA()))</x:f>
        <x:v>0</x:v>
      </x:c>
      <x:c r="S160" s="25" t="n">
        <x:f>IF(M160=0,0,IF(ISNUMBER(D160),M160*AC160*D160*AD160,NA()))</x:f>
        <x:v>342.7755774914055</x:v>
      </x:c>
      <x:c r="T160" s="25" t="n">
        <x:f>IF(N160=0,0,IF(ISNUMBER(E160),N160*AC160*E160*AD160,NA()))</x:f>
        <x:v>275.81622806135783</x:v>
      </x:c>
      <x:c r="U160" s="25" t="n">
        <x:f>IF(O160=0,0,IF(ISNUMBER(F160),O160*F160,NA()))</x:f>
        <x:v>82.1615970728373</x:v>
      </x:c>
      <x:c r="V160" s="25" t="n">
        <x:f>IF(P160=0,0,IF(ISNUMBER(G160),-P160*G160,NA()))</x:f>
        <x:v>-0.3498120262962144</x:v>
      </x:c>
      <x:c r="W160" s="25" t="n">
        <x:f>SUM(Q160:V160)</x:f>
        <x:v>-26.4714094006683</x:v>
      </x:c>
      <x:c r="X160" s="18" t="n">
        <x:f>'原始输入与口径'!BR162</x:f>
        <x:v>-26.4714094006683</x:v>
      </x:c>
      <x:c r="Y160" s="18" t="n">
        <x:f>W160-X160</x:f>
        <x:v>0</x:v>
      </x:c>
      <x:c r="Z160" s="18" t="str">
        <x:f>"1月2日计划｜本窗新增"</x:f>
        <x:v>1月2日计划｜本窗新增</x:v>
      </x:c>
      <x:c r="AA160" s="19" t="n">
        <x:f>IF('原始输入与口径'!AW162,1,0)</x:f>
        <x:v>1</x:v>
      </x:c>
      <x:c r="AB160" s="19" t="n">
        <x:f>IF('原始输入与口径'!AY162,1,0)</x:f>
        <x:v>0</x:v>
      </x:c>
      <x:c r="AC160" s="18" t="n">
        <x:f>'原始输入与口径'!E162</x:f>
        <x:v>0.25</x:v>
      </x:c>
      <x:c r="AD160" s="20" t="n">
        <x:f>'原始输入与口径'!$F$5</x:f>
        <x:v>1</x:v>
      </x:c>
      <x:c r="AE160" s="20" t="n">
        <x:f>IF(AA160=0,0,AI160/(AG160*AC160))</x:f>
        <x:v>0.02404</x:v>
      </x:c>
      <x:c r="AF160" s="20" t="n">
        <x:f>IF(AA160=0,0,AJ160/(AH160*AC160))</x:f>
        <x:v>0.00032</x:v>
      </x:c>
      <x:c r="AG160" s="18" t="n">
        <x:f>IF(ISNUMBER('原始输入与口径'!T162),'原始输入与口径'!T162,"缺失")</x:f>
        <x:v>200</x:v>
      </x:c>
      <x:c r="AH160" s="18" t="n">
        <x:f>IF(ISNUMBER('原始输入与口径'!Y162),'原始输入与口径'!Y162,"缺失")</x:f>
        <x:v>200</x:v>
      </x:c>
      <x:c r="AI160" s="18" t="n">
        <x:f>IF(ISNUMBER('原始输入与口径'!AI162),'原始输入与口径'!AI162,"缺失")</x:f>
        <x:v>1.202</x:v>
      </x:c>
      <x:c r="AJ160" s="18" t="n">
        <x:f>IF(ISNUMBER('原始输入与口径'!AL162),'原始输入与口径'!AL162,"缺失")</x:f>
        <x:v>0.016</x:v>
      </x:c>
      <x:c r="AK160" s="18" t="str">
        <x:f>IF(ISNUMBER('原始输入与口径'!O162),'原始输入与口径'!O162,"缺失")</x:f>
        <x:v>缺失</x:v>
      </x:c>
      <x:c r="AL160" s="18" t="n">
        <x:f>SUMIFS('相位SOC复算'!$N$7:$N$443,'相位SOC复算'!$S$7:$S$443,154)</x:f>
        <x:v>0.0169645434782603</x:v>
      </x:c>
      <x:c r="AM160" s="18" t="n">
        <x:f>SUMIFS('相位SOC复算'!$Q$7:$Q$443,'相位SOC复算'!$S$7:$S$443,154)</x:f>
        <x:v>6.105749999999771</x:v>
      </x:c>
      <x:c r="AN160" s="18" t="n">
        <x:f>SUMIFS('相位SOC复算'!$R$7:$R$443,'相位SOC复算'!$S$7:$S$443,154)</x:f>
        <x:v>0.4507500000000056</x:v>
      </x:c>
      <x:c r="AO160" s="18" t="n">
        <x:f>'相位SOC复算'!J367</x:f>
        <x:v>189.91249130434676</x:v>
      </x:c>
      <x:c r="AP160" s="18" t="n">
        <x:f>AO160-J160</x:f>
        <x:v>0</x:v>
      </x:c>
      <x:c r="AQ160" s="18" t="n">
        <x:f>IF(ISBLANK('原始输入与口径'!M162),"",'原始输入与口径'!M162)</x:f>
        <x:v>4.9741</x:v>
      </x:c>
      <x:c r="AR160" s="21" t="n">
        <x:f>IF(ISBLANK('原始输入与口径'!L162),"",'原始输入与口径'!L162)</x:f>
        <x:v>45657</x:v>
      </x:c>
      <x:c r="AS160" s="17" t="n">
        <x:f>IF(ISBLANK('原始输入与口径'!A162),"",'原始输入与口径'!A162)</x:f>
        <x:v>45659.510416666664</x:v>
      </x:c>
      <x:c r="AT160" s="18" t="str">
        <x:f>IF(ISBLANK('原始输入与口径'!I162),"",'原始输入与口径'!I162)</x:f>
        <x:v>2025-01-02_14</x:v>
      </x:c>
      <x:c r="AU160" s="19" t="n">
        <x:f>IF(ISBLANK('原始输入与口径'!J162),"",'原始输入与口径'!J162)</x:f>
        <x:v>60</x:v>
      </x:c>
      <x:c r="AV160" s="18" t="str">
        <x:f>IF(ISBLANK('原始输入与口径'!BB162),"",'原始输入与口径'!BB162)</x:f>
        <x:v>OK</x:v>
      </x:c>
    </x:row>
    <x:row r="161" ht="21" customHeight="1">
      <x:c r="A161" s="17" t="n">
        <x:f>45659.604166666664</x:f>
        <x:v>45659.604166666664</x:v>
      </x:c>
      <x:c r="B161" s="23" t="n">
        <x:f>IF(ISNUMBER('原始输入与口径'!H163),'原始输入与口径'!H163,"缺失")</x:f>
        <x:v>116.3</x:v>
      </x:c>
      <x:c r="C161" s="23" t="str">
        <x:f>IF(ISNUMBER('原始输入与口径'!R163),'原始输入与口径'!R163,"缺失")</x:f>
        <x:v>缺失</x:v>
      </x:c>
      <x:c r="D161" s="23" t="n">
        <x:f>IF(ISNUMBER('原始输入与口径'!W163),'原始输入与口径'!W163,"缺失")</x:f>
        <x:v>13.71102309965622</x:v>
      </x:c>
      <x:c r="E161" s="23" t="n">
        <x:f>IF(ISNUMBER('原始输入与口径'!AB163),'原始输入与口径'!AB163,"缺失")</x:f>
        <x:v>14.710198829939085</x:v>
      </x:c>
      <x:c r="F161" s="23" t="n">
        <x:f>IF(ISNUMBER('原始输入与口径'!AG163),'原始输入与口径'!AG163,"缺失")</x:f>
        <x:v>200.47465873223297</x:v>
      </x:c>
      <x:c r="G161" s="23" t="n">
        <x:f>IF(ISNUMBER('原始输入与口径'!AJ163),'原始输入与口径'!AJ163,"缺失")</x:f>
        <x:v>0</x:v>
      </x:c>
      <x:c r="H161" s="23" t="str">
        <x:f>"未模拟"</x:f>
        <x:v>未模拟</x:v>
      </x:c>
      <x:c r="I161" s="24" t="n">
        <x:f>'原始输入与口径'!BD163</x:f>
        <x:v>189.91249130434676</x:v>
      </x:c>
      <x:c r="J161" s="24" t="n">
        <x:f>'原始输入与口径'!BE163</x:f>
        <x:v>187.32583739130305</x:v>
      </x:c>
      <x:c r="K161" s="24" t="n">
        <x:f>'原始输入与口径'!BF163</x:f>
        <x:v>-24.999999999999062</x:v>
      </x:c>
      <x:c r="L161" s="24" t="n">
        <x:f>'原始输入与口径'!BG163</x:f>
        <x:v>0</x:v>
      </x:c>
      <x:c r="M161" s="24" t="n">
        <x:f>'原始输入与口径'!BH163</x:f>
        <x:v>100</x:v>
      </x:c>
      <x:c r="N161" s="24" t="n">
        <x:f>'原始输入与口径'!BI163</x:f>
        <x:v>75</x:v>
      </x:c>
      <x:c r="O161" s="24" t="n">
        <x:f>M161*AE161*AC161</x:f>
        <x:v>7.976</x:v>
      </x:c>
      <x:c r="P161" s="24" t="n">
        <x:f>N161*AF161*AC161</x:f>
        <x:v>0</x:v>
      </x:c>
      <x:c r="Q161" s="25" t="n">
        <x:f>IF(K161=0,0,IF(ISNUMBER(B161),K161*AC161*B161,NA()))</x:f>
        <x:v>-726.8749999999727</x:v>
      </x:c>
      <x:c r="R161" s="25" t="n">
        <x:f>IF(L161=0,0,IF(ISNUMBER(C161),L161*AC161*C161*AD161,NA()))</x:f>
        <x:v>0</x:v>
      </x:c>
      <x:c r="S161" s="25" t="n">
        <x:f>IF(M161=0,0,IF(ISNUMBER(D161),M161*AC161*D161*AD161,NA()))</x:f>
        <x:v>342.7755774914055</x:v>
      </x:c>
      <x:c r="T161" s="25" t="n">
        <x:f>IF(N161=0,0,IF(ISNUMBER(E161),N161*AC161*E161*AD161,NA()))</x:f>
        <x:v>275.81622806135783</x:v>
      </x:c>
      <x:c r="U161" s="25" t="n">
        <x:f>IF(O161=0,0,IF(ISNUMBER(F161),O161*F161,NA()))</x:f>
        <x:v>1598.98587804829</x:v>
      </x:c>
      <x:c r="V161" s="25" t="n">
        <x:f>IF(P161=0,0,IF(ISNUMBER(G161),-P161*G161,NA()))</x:f>
        <x:v>0</x:v>
      </x:c>
      <x:c r="W161" s="25" t="n">
        <x:f>SUM(Q161:V161)</x:f>
        <x:v>1490.7026836010807</x:v>
      </x:c>
      <x:c r="X161" s="18" t="n">
        <x:f>'原始输入与口径'!BR163</x:f>
        <x:v>1490.7026836010807</x:v>
      </x:c>
      <x:c r="Y161" s="18" t="n">
        <x:f>W161-X161</x:f>
        <x:v>0</x:v>
      </x:c>
      <x:c r="Z161" s="18" t="str">
        <x:f>"1月2日计划｜本窗新增"</x:f>
        <x:v>1月2日计划｜本窗新增</x:v>
      </x:c>
      <x:c r="AA161" s="19" t="n">
        <x:f>IF('原始输入与口径'!AW163,1,0)</x:f>
        <x:v>1</x:v>
      </x:c>
      <x:c r="AB161" s="19" t="n">
        <x:f>IF('原始输入与口径'!AY163,1,0)</x:f>
        <x:v>0</x:v>
      </x:c>
      <x:c r="AC161" s="18" t="n">
        <x:f>'原始输入与口径'!E163</x:f>
        <x:v>0.25</x:v>
      </x:c>
      <x:c r="AD161" s="20" t="n">
        <x:f>'原始输入与口径'!$F$5</x:f>
        <x:v>1</x:v>
      </x:c>
      <x:c r="AE161" s="20" t="n">
        <x:f>IF(AA161=0,0,AI161/(AG161*AC161))</x:f>
        <x:v>0.31904</x:v>
      </x:c>
      <x:c r="AF161" s="20" t="n">
        <x:f>IF(AA161=0,0,AJ161/(AH161*AC161))</x:f>
        <x:v>0</x:v>
      </x:c>
      <x:c r="AG161" s="18" t="n">
        <x:f>IF(ISNUMBER('原始输入与口径'!T163),'原始输入与口径'!T163,"缺失")</x:f>
        <x:v>200</x:v>
      </x:c>
      <x:c r="AH161" s="18" t="n">
        <x:f>IF(ISNUMBER('原始输入与口径'!Y163),'原始输入与口径'!Y163,"缺失")</x:f>
        <x:v>200</x:v>
      </x:c>
      <x:c r="AI161" s="18" t="n">
        <x:f>IF(ISNUMBER('原始输入与口径'!AI163),'原始输入与口径'!AI163,"缺失")</x:f>
        <x:v>15.952</x:v>
      </x:c>
      <x:c r="AJ161" s="18" t="n">
        <x:f>IF(ISNUMBER('原始输入与口径'!AL163),'原始输入与口径'!AL163,"缺失")</x:f>
        <x:v>0</x:v>
      </x:c>
      <x:c r="AK161" s="18" t="str">
        <x:f>IF(ISNUMBER('原始输入与口径'!O163),'原始输入与口径'!O163,"缺失")</x:f>
        <x:v>缺失</x:v>
      </x:c>
      <x:c r="AL161" s="18" t="n">
        <x:f>SUMIFS('相位SOC复算'!$N$7:$N$443,'相位SOC复算'!$S$7:$S$443,155)</x:f>
        <x:v>0.028938038647342814</x:v>
      </x:c>
      <x:c r="AM161" s="18" t="n">
        <x:f>SUMIFS('相位SOC复算'!$Q$7:$Q$443,'相位SOC复算'!$S$7:$S$443,155)</x:f>
        <x:v>4.25599999999984</x:v>
      </x:c>
      <x:c r="AN161" s="18" t="n">
        <x:f>SUMIFS('相位SOC复算'!$R$7:$R$443,'相位SOC复算'!$S$7:$S$443,155)</x:f>
        <x:v>5.982000000000075</x:v>
      </x:c>
      <x:c r="AO161" s="18" t="n">
        <x:f>'相位SOC复算'!J369</x:f>
        <x:v>187.32583739130305</x:v>
      </x:c>
      <x:c r="AP161" s="18" t="n">
        <x:f>AO161-J161</x:f>
        <x:v>0</x:v>
      </x:c>
      <x:c r="AQ161" s="18" t="n">
        <x:f>IF(ISBLANK('原始输入与口径'!M163),"",'原始输入与口径'!M163)</x:f>
        <x:v>4.9741</x:v>
      </x:c>
      <x:c r="AR161" s="21" t="n">
        <x:f>IF(ISBLANK('原始输入与口径'!L163),"",'原始输入与口径'!L163)</x:f>
        <x:v>45657</x:v>
      </x:c>
      <x:c r="AS161" s="17" t="n">
        <x:f>IF(ISBLANK('原始输入与口径'!A163),"",'原始输入与口径'!A163)</x:f>
        <x:v>45659.520833333336</x:v>
      </x:c>
      <x:c r="AT161" s="18" t="str">
        <x:f>IF(ISBLANK('原始输入与口径'!I163),"",'原始输入与口径'!I163)</x:f>
        <x:v>2025-01-02_14</x:v>
      </x:c>
      <x:c r="AU161" s="19" t="n">
        <x:f>IF(ISBLANK('原始输入与口径'!J163),"",'原始输入与口径'!J163)</x:f>
        <x:v>60</x:v>
      </x:c>
      <x:c r="AV161" s="18" t="str">
        <x:f>IF(ISBLANK('原始输入与口径'!BB163),"",'原始输入与口径'!BB163)</x:f>
        <x:v>OK</x:v>
      </x:c>
    </x:row>
    <x:row r="162" ht="21" customHeight="1">
      <x:c r="A162" s="17" t="n">
        <x:f>45659.614583333336</x:f>
        <x:v>45659.614583333336</x:v>
      </x:c>
      <x:c r="B162" s="23" t="n">
        <x:f>IF(ISNUMBER('原始输入与口径'!H164),'原始输入与口径'!H164,"缺失")</x:f>
        <x:v>116.3</x:v>
      </x:c>
      <x:c r="C162" s="23" t="str">
        <x:f>IF(ISNUMBER('原始输入与口径'!R164),'原始输入与口径'!R164,"缺失")</x:f>
        <x:v>缺失</x:v>
      </x:c>
      <x:c r="D162" s="23" t="n">
        <x:f>IF(ISNUMBER('原始输入与口径'!W164),'原始输入与口径'!W164,"缺失")</x:f>
        <x:v>13.71102309965622</x:v>
      </x:c>
      <x:c r="E162" s="23" t="n">
        <x:f>IF(ISNUMBER('原始输入与口径'!AB164),'原始输入与口径'!AB164,"缺失")</x:f>
        <x:v>14.710198829939085</x:v>
      </x:c>
      <x:c r="F162" s="23" t="n">
        <x:f>IF(ISNUMBER('原始输入与口径'!AG164),'原始输入与口径'!AG164,"缺失")</x:f>
        <x:v>727.1645121730564</x:v>
      </x:c>
      <x:c r="G162" s="23" t="n">
        <x:f>IF(ISNUMBER('原始输入与口径'!AJ164),'原始输入与口径'!AJ164,"缺失")</x:f>
        <x:v>0</x:v>
      </x:c>
      <x:c r="H162" s="23" t="str">
        <x:f>"未模拟"</x:f>
        <x:v>未模拟</x:v>
      </x:c>
      <x:c r="I162" s="24" t="n">
        <x:f>'原始输入与口径'!BD164</x:f>
        <x:v>187.32583739130305</x:v>
      </x:c>
      <x:c r="J162" s="24" t="n">
        <x:f>'原始输入与口径'!BE164</x:f>
        <x:v>169.1440173913028</x:v>
      </x:c>
      <x:c r="K162" s="24" t="n">
        <x:f>'原始输入与口径'!BF164</x:f>
        <x:v>-24.999999999999062</x:v>
      </x:c>
      <x:c r="L162" s="24" t="n">
        <x:f>'原始输入与口径'!BG164</x:f>
        <x:v>0</x:v>
      </x:c>
      <x:c r="M162" s="24" t="n">
        <x:f>'原始输入与口径'!BH164</x:f>
        <x:v>100</x:v>
      </x:c>
      <x:c r="N162" s="24" t="n">
        <x:f>'原始输入与口径'!BI164</x:f>
        <x:v>75</x:v>
      </x:c>
      <x:c r="O162" s="24" t="n">
        <x:f>M162*AE162*AC162</x:f>
        <x:v>22.8965</x:v>
      </x:c>
      <x:c r="P162" s="24" t="n">
        <x:f>N162*AF162*AC162</x:f>
        <x:v>0</x:v>
      </x:c>
      <x:c r="Q162" s="25" t="n">
        <x:f>IF(K162=0,0,IF(ISNUMBER(B162),K162*AC162*B162,NA()))</x:f>
        <x:v>-726.8749999999727</x:v>
      </x:c>
      <x:c r="R162" s="25" t="n">
        <x:f>IF(L162=0,0,IF(ISNUMBER(C162),L162*AC162*C162*AD162,NA()))</x:f>
        <x:v>0</x:v>
      </x:c>
      <x:c r="S162" s="25" t="n">
        <x:f>IF(M162=0,0,IF(ISNUMBER(D162),M162*AC162*D162*AD162,NA()))</x:f>
        <x:v>342.7755774914055</x:v>
      </x:c>
      <x:c r="T162" s="25" t="n">
        <x:f>IF(N162=0,0,IF(ISNUMBER(E162),N162*AC162*E162*AD162,NA()))</x:f>
        <x:v>275.81622806135783</x:v>
      </x:c>
      <x:c r="U162" s="25" t="n">
        <x:f>IF(O162=0,0,IF(ISNUMBER(F162),O162*F162,NA()))</x:f>
        <x:v>16649.522252970386</x:v>
      </x:c>
      <x:c r="V162" s="25" t="n">
        <x:f>IF(P162=0,0,IF(ISNUMBER(G162),-P162*G162,NA()))</x:f>
        <x:v>0</x:v>
      </x:c>
      <x:c r="W162" s="25" t="n">
        <x:f>SUM(Q162:V162)</x:f>
        <x:v>16541.239058523177</x:v>
      </x:c>
      <x:c r="X162" s="18" t="n">
        <x:f>'原始输入与口径'!BR164</x:f>
        <x:v>16541.239058523177</x:v>
      </x:c>
      <x:c r="Y162" s="18" t="n">
        <x:f>W162-X162</x:f>
        <x:v>0</x:v>
      </x:c>
      <x:c r="Z162" s="18" t="str">
        <x:f>"1月2日计划｜本窗新增"</x:f>
        <x:v>1月2日计划｜本窗新增</x:v>
      </x:c>
      <x:c r="AA162" s="19" t="n">
        <x:f>IF('原始输入与口径'!AW164,1,0)</x:f>
        <x:v>1</x:v>
      </x:c>
      <x:c r="AB162" s="19" t="n">
        <x:f>IF('原始输入与口径'!AY164,1,0)</x:f>
        <x:v>0</x:v>
      </x:c>
      <x:c r="AC162" s="18" t="n">
        <x:f>'原始输入与口径'!E164</x:f>
        <x:v>0.25</x:v>
      </x:c>
      <x:c r="AD162" s="20" t="n">
        <x:f>'原始输入与口径'!$F$5</x:f>
        <x:v>1</x:v>
      </x:c>
      <x:c r="AE162" s="20" t="n">
        <x:f>IF(AA162=0,0,AI162/(AG162*AC162))</x:f>
        <x:v>0.91586</x:v>
      </x:c>
      <x:c r="AF162" s="20" t="n">
        <x:f>IF(AA162=0,0,AJ162/(AH162*AC162))</x:f>
        <x:v>0</x:v>
      </x:c>
      <x:c r="AG162" s="18" t="n">
        <x:f>IF(ISNUMBER('原始输入与口径'!T164),'原始输入与口径'!T164,"缺失")</x:f>
        <x:v>200</x:v>
      </x:c>
      <x:c r="AH162" s="18" t="n">
        <x:f>IF(ISNUMBER('原始输入与口径'!Y164),'原始输入与口径'!Y164,"缺失")</x:f>
        <x:v>200</x:v>
      </x:c>
      <x:c r="AI162" s="18" t="n">
        <x:f>IF(ISNUMBER('原始输入与口径'!AI164),'原始输入与口径'!AI164,"缺失")</x:f>
        <x:v>45.793</x:v>
      </x:c>
      <x:c r="AJ162" s="18" t="n">
        <x:f>IF(ISNUMBER('原始输入与口径'!AL164),'原始输入与口径'!AL164,"缺失")</x:f>
        <x:v>0</x:v>
      </x:c>
      <x:c r="AK162" s="18" t="str">
        <x:f>IF(ISNUMBER('原始输入与口径'!O164),'原始输入与口径'!O164,"缺失")</x:f>
        <x:v>缺失</x:v>
      </x:c>
      <x:c r="AL162" s="18" t="n">
        <x:f>SUMIFS('相位SOC复算'!$N$7:$N$443,'相位SOC复算'!$S$7:$S$443,156)</x:f>
        <x:v>0.053192861111111704</x:v>
      </x:c>
      <x:c r="AM162" s="18" t="n">
        <x:f>SUMIFS('相位SOC复算'!$Q$7:$Q$443,'相位SOC复算'!$S$7:$S$443,156)</x:f>
        <x:v>0.5258749999999802</x:v>
      </x:c>
      <x:c r="AN162" s="18" t="n">
        <x:f>SUMIFS('相位SOC复算'!$R$7:$R$443,'相位SOC复算'!$S$7:$S$443,156)</x:f>
        <x:v>17.172375000000216</x:v>
      </x:c>
      <x:c r="AO162" s="18" t="n">
        <x:f>'相位SOC复算'!J371</x:f>
        <x:v>169.1440173913028</x:v>
      </x:c>
      <x:c r="AP162" s="18" t="n">
        <x:f>AO162-J162</x:f>
        <x:v>0</x:v>
      </x:c>
      <x:c r="AQ162" s="18" t="n">
        <x:f>IF(ISBLANK('原始输入与口径'!M164),"",'原始输入与口径'!M164)</x:f>
        <x:v>4.9741</x:v>
      </x:c>
      <x:c r="AR162" s="21" t="n">
        <x:f>IF(ISBLANK('原始输入与口径'!L164),"",'原始输入与口径'!L164)</x:f>
        <x:v>45657</x:v>
      </x:c>
      <x:c r="AS162" s="17" t="n">
        <x:f>IF(ISBLANK('原始输入与口径'!A164),"",'原始输入与口径'!A164)</x:f>
        <x:v>45659.53125</x:v>
      </x:c>
      <x:c r="AT162" s="18" t="str">
        <x:f>IF(ISBLANK('原始输入与口径'!I164),"",'原始输入与口径'!I164)</x:f>
        <x:v>2025-01-02_14</x:v>
      </x:c>
      <x:c r="AU162" s="19" t="n">
        <x:f>IF(ISBLANK('原始输入与口径'!J164),"",'原始输入与口径'!J164)</x:f>
        <x:v>60</x:v>
      </x:c>
      <x:c r="AV162" s="18" t="str">
        <x:f>IF(ISBLANK('原始输入与口径'!BB164),"",'原始输入与口径'!BB164)</x:f>
        <x:v>OK</x:v>
      </x:c>
    </x:row>
    <x:row r="163" ht="21" customHeight="1">
      <x:c r="A163" s="17" t="n">
        <x:f>45659.625</x:f>
        <x:v>45659.625</x:v>
      </x:c>
      <x:c r="B163" s="23" t="n">
        <x:f>IF(ISNUMBER('原始输入与口径'!H165),'原始输入与口径'!H165,"缺失")</x:f>
        <x:v>124.51</x:v>
      </x:c>
      <x:c r="C163" s="23" t="str">
        <x:f>IF(ISNUMBER('原始输入与口径'!R165),'原始输入与口径'!R165,"缺失")</x:f>
        <x:v>缺失</x:v>
      </x:c>
      <x:c r="D163" s="23" t="n">
        <x:f>IF(ISNUMBER('原始输入与口径'!W165),'原始输入与口径'!W165,"缺失")</x:f>
        <x:v>13.831647936310086</x:v>
      </x:c>
      <x:c r="E163" s="23" t="n">
        <x:f>IF(ISNUMBER('原始输入与口径'!AB165),'原始输入与口径'!AB165,"缺失")</x:f>
        <x:v>14.710198829939085</x:v>
      </x:c>
      <x:c r="F163" s="23" t="n">
        <x:f>IF(ISNUMBER('原始输入与口径'!AG165),'原始输入与口径'!AG165,"缺失")</x:f>
        <x:v>198.8038037031825</x:v>
      </x:c>
      <x:c r="G163" s="23" t="n">
        <x:f>IF(ISNUMBER('原始输入与口径'!AJ165),'原始输入与口径'!AJ165,"缺失")</x:f>
        <x:v>0</x:v>
      </x:c>
      <x:c r="H163" s="23" t="str">
        <x:f>"未模拟"</x:f>
        <x:v>未模拟</x:v>
      </x:c>
      <x:c r="I163" s="24" t="n">
        <x:f>'原始输入与口径'!BD165</x:f>
        <x:v>169.1440173913028</x:v>
      </x:c>
      <x:c r="J163" s="24" t="n">
        <x:f>'原始输入与口径'!BE165</x:f>
        <x:v>174.34954837391177</x:v>
      </x:c>
      <x:c r="K163" s="24" t="n">
        <x:f>'原始输入与口径'!BF165</x:f>
        <x:v>-22.632743402647662</x:v>
      </x:c>
      <x:c r="L163" s="24" t="n">
        <x:f>'原始输入与口径'!BG165</x:f>
        <x:v>0</x:v>
      </x:c>
      <x:c r="M163" s="24" t="n">
        <x:f>'原始输入与口径'!BH165</x:f>
        <x:v>0</x:v>
      </x:c>
      <x:c r="N163" s="24" t="n">
        <x:f>'原始输入与口径'!BI165</x:f>
        <x:v>0</x:v>
      </x:c>
      <x:c r="O163" s="24" t="n">
        <x:f>M163*AE163*AC163</x:f>
        <x:v>0</x:v>
      </x:c>
      <x:c r="P163" s="24" t="n">
        <x:f>N163*AF163*AC163</x:f>
        <x:v>0</x:v>
      </x:c>
      <x:c r="Q163" s="25" t="n">
        <x:f>IF(K163=0,0,IF(ISNUMBER(B163),K163*AC163*B163,NA()))</x:f>
        <x:v>-704.5007202659151</x:v>
      </x:c>
      <x:c r="R163" s="25" t="n">
        <x:f>IF(L163=0,0,IF(ISNUMBER(C163),L163*AC163*C163*AD163,NA()))</x:f>
        <x:v>0</x:v>
      </x:c>
      <x:c r="S163" s="25" t="n">
        <x:f>IF(M163=0,0,IF(ISNUMBER(D163),M163*AC163*D163*AD163,NA()))</x:f>
        <x:v>0</x:v>
      </x:c>
      <x:c r="T163" s="25" t="n">
        <x:f>IF(N163=0,0,IF(ISNUMBER(E163),N163*AC163*E163*AD163,NA()))</x:f>
        <x:v>0</x:v>
      </x:c>
      <x:c r="U163" s="25" t="n">
        <x:f>IF(O163=0,0,IF(ISNUMBER(F163),O163*F163,NA()))</x:f>
        <x:v>0</x:v>
      </x:c>
      <x:c r="V163" s="25" t="n">
        <x:f>IF(P163=0,0,IF(ISNUMBER(G163),-P163*G163,NA()))</x:f>
        <x:v>0</x:v>
      </x:c>
      <x:c r="W163" s="25" t="n">
        <x:f>SUM(Q163:V163)</x:f>
        <x:v>-704.5007202659151</x:v>
      </x:c>
      <x:c r="X163" s="18" t="n">
        <x:f>'原始输入与口径'!BR165</x:f>
        <x:v>-704.5007202659151</x:v>
      </x:c>
      <x:c r="Y163" s="18" t="n">
        <x:f>W163-X163</x:f>
        <x:v>0</x:v>
      </x:c>
      <x:c r="Z163" s="18" t="str">
        <x:f>"1月2日计划｜本窗新增"</x:f>
        <x:v>1月2日计划｜本窗新增</x:v>
      </x:c>
      <x:c r="AA163" s="19" t="n">
        <x:f>IF('原始输入与口径'!AW165,1,0)</x:f>
        <x:v>0</x:v>
      </x:c>
      <x:c r="AB163" s="19" t="n">
        <x:f>IF('原始输入与口径'!AY165,1,0)</x:f>
        <x:v>0</x:v>
      </x:c>
      <x:c r="AC163" s="18" t="n">
        <x:f>'原始输入与口径'!E165</x:f>
        <x:v>0.25</x:v>
      </x:c>
      <x:c r="AD163" s="20" t="n">
        <x:f>'原始输入与口径'!$F$5</x:f>
        <x:v>1</x:v>
      </x:c>
      <x:c r="AE163" s="20" t="n">
        <x:f>IF(AA163=0,0,AI163/(AG163*AC163))</x:f>
        <x:v>0</x:v>
      </x:c>
      <x:c r="AF163" s="20" t="n">
        <x:f>IF(AA163=0,0,AJ163/(AH163*AC163))</x:f>
        <x:v>0</x:v>
      </x:c>
      <x:c r="AG163" s="18" t="n">
        <x:f>IF(ISNUMBER('原始输入与口径'!T165),'原始输入与口径'!T165,"缺失")</x:f>
        <x:v>200</x:v>
      </x:c>
      <x:c r="AH163" s="18" t="n">
        <x:f>IF(ISNUMBER('原始输入与口径'!Y165),'原始输入与口径'!Y165,"缺失")</x:f>
        <x:v>200</x:v>
      </x:c>
      <x:c r="AI163" s="18" t="n">
        <x:f>IF(ISNUMBER('原始输入与口径'!AI165),'原始输入与口径'!AI165,"缺失")</x:f>
        <x:v>9.887</x:v>
      </x:c>
      <x:c r="AJ163" s="18" t="n">
        <x:f>IF(ISNUMBER('原始输入与口径'!AL165),'原始输入与口径'!AL165,"缺失")</x:f>
        <x:v>0</x:v>
      </x:c>
      <x:c r="AK163" s="18" t="str">
        <x:f>IF(ISNUMBER('原始输入与口径'!O165),'原始输入与口径'!O165,"缺失")</x:f>
        <x:v>缺失</x:v>
      </x:c>
      <x:c r="AL163" s="18" t="n">
        <x:f>SUMIFS('相位SOC复算'!$N$7:$N$443,'相位SOC复算'!$S$7:$S$443,157)</x:f>
        <x:v>0.014459808285024895</x:v>
      </x:c>
      <x:c r="AM163" s="18" t="n">
        <x:f>SUMIFS('相位SOC复算'!$Q$7:$Q$443,'相位SOC复算'!$S$7:$S$443,157)</x:f>
        <x:v>5.658185850661916</x:v>
      </x:c>
      <x:c r="AN163" s="18" t="n">
        <x:f>SUMIFS('相位SOC复算'!$R$7:$R$443,'相位SOC复算'!$S$7:$S$443,157)</x:f>
        <x:v>0</x:v>
      </x:c>
      <x:c r="AO163" s="18" t="n">
        <x:f>'相位SOC复算'!J372</x:f>
        <x:v>174.34954837391177</x:v>
      </x:c>
      <x:c r="AP163" s="18" t="n">
        <x:f>AO163-J163</x:f>
        <x:v>0</x:v>
      </x:c>
      <x:c r="AQ163" s="18" t="n">
        <x:f>IF(ISBLANK('原始输入与口径'!M165),"",'原始输入与口径'!M165)</x:f>
        <x:v>4.9741</x:v>
      </x:c>
      <x:c r="AR163" s="21" t="n">
        <x:f>IF(ISBLANK('原始输入与口径'!L165),"",'原始输入与口径'!L165)</x:f>
        <x:v>45657</x:v>
      </x:c>
      <x:c r="AS163" s="17" t="n">
        <x:f>IF(ISBLANK('原始输入与口径'!A165),"",'原始输入与口径'!A165)</x:f>
        <x:v>45659.541666666664</x:v>
      </x:c>
      <x:c r="AT163" s="18" t="str">
        <x:f>IF(ISBLANK('原始输入与口径'!I165),"",'原始输入与口径'!I165)</x:f>
        <x:v>2025-01-02_15</x:v>
      </x:c>
      <x:c r="AU163" s="19" t="n">
        <x:f>IF(ISBLANK('原始输入与口径'!J165),"",'原始输入与口径'!J165)</x:f>
        <x:v>60</x:v>
      </x:c>
      <x:c r="AV163" s="18" t="str">
        <x:f>IF(ISBLANK('原始输入与口径'!BB165),"",'原始输入与口径'!BB165)</x:f>
        <x:v>OTHER_QH_IN_SAME_HOUR_INVALID</x:v>
      </x:c>
    </x:row>
    <x:row r="164" ht="21" customHeight="1">
      <x:c r="A164" s="17" t="n">
        <x:f>45659.635416666664</x:f>
        <x:v>45659.635416666664</x:v>
      </x:c>
      <x:c r="B164" s="23" t="n">
        <x:f>IF(ISNUMBER('原始输入与口径'!H166),'原始输入与口径'!H166,"缺失")</x:f>
        <x:v>124.51</x:v>
      </x:c>
      <x:c r="C164" s="23" t="str">
        <x:f>IF(ISNUMBER('原始输入与口径'!R166),'原始输入与口径'!R166,"缺失")</x:f>
        <x:v>缺失</x:v>
      </x:c>
      <x:c r="D164" s="23" t="n">
        <x:f>IF(ISNUMBER('原始输入与口径'!W166),'原始输入与口径'!W166,"缺失")</x:f>
        <x:v>13.831647936310086</x:v>
      </x:c>
      <x:c r="E164" s="23" t="n">
        <x:f>IF(ISNUMBER('原始输入与口径'!AB166),'原始输入与口径'!AB166,"缺失")</x:f>
        <x:v>14.710198829939085</x:v>
      </x:c>
      <x:c r="F164" s="23" t="n">
        <x:f>IF(ISNUMBER('原始输入与口径'!AG166),'原始输入与口径'!AG166,"缺失")</x:f>
        <x:v>189.24569268812448</x:v>
      </x:c>
      <x:c r="G164" s="23" t="n">
        <x:f>IF(ISNUMBER('原始输入与口径'!AJ166),'原始输入与口径'!AJ166,"缺失")</x:f>
        <x:v>0</x:v>
      </x:c>
      <x:c r="H164" s="23" t="str">
        <x:f>"未模拟"</x:f>
        <x:v>未模拟</x:v>
      </x:c>
      <x:c r="I164" s="24" t="n">
        <x:f>'原始输入与口径'!BD166</x:f>
        <x:v>174.34954837391177</x:v>
      </x:c>
      <x:c r="J164" s="24" t="n">
        <x:f>'原始输入与口径'!BE166</x:f>
        <x:v>179.55507935652074</x:v>
      </x:c>
      <x:c r="K164" s="24" t="n">
        <x:f>'原始输入与口径'!BF166</x:f>
        <x:v>-22.632743402647662</x:v>
      </x:c>
      <x:c r="L164" s="24" t="n">
        <x:f>'原始输入与口径'!BG166</x:f>
        <x:v>0</x:v>
      </x:c>
      <x:c r="M164" s="24" t="n">
        <x:f>'原始输入与口径'!BH166</x:f>
        <x:v>0</x:v>
      </x:c>
      <x:c r="N164" s="24" t="n">
        <x:f>'原始输入与口径'!BI166</x:f>
        <x:v>0</x:v>
      </x:c>
      <x:c r="O164" s="24" t="n">
        <x:f>M164*AE164*AC164</x:f>
        <x:v>0</x:v>
      </x:c>
      <x:c r="P164" s="24" t="n">
        <x:f>N164*AF164*AC164</x:f>
        <x:v>0</x:v>
      </x:c>
      <x:c r="Q164" s="25" t="n">
        <x:f>IF(K164=0,0,IF(ISNUMBER(B164),K164*AC164*B164,NA()))</x:f>
        <x:v>-704.5007202659151</x:v>
      </x:c>
      <x:c r="R164" s="25" t="n">
        <x:f>IF(L164=0,0,IF(ISNUMBER(C164),L164*AC164*C164*AD164,NA()))</x:f>
        <x:v>0</x:v>
      </x:c>
      <x:c r="S164" s="25" t="n">
        <x:f>IF(M164=0,0,IF(ISNUMBER(D164),M164*AC164*D164*AD164,NA()))</x:f>
        <x:v>0</x:v>
      </x:c>
      <x:c r="T164" s="25" t="n">
        <x:f>IF(N164=0,0,IF(ISNUMBER(E164),N164*AC164*E164*AD164,NA()))</x:f>
        <x:v>0</x:v>
      </x:c>
      <x:c r="U164" s="25" t="n">
        <x:f>IF(O164=0,0,IF(ISNUMBER(F164),O164*F164,NA()))</x:f>
        <x:v>0</x:v>
      </x:c>
      <x:c r="V164" s="25" t="n">
        <x:f>IF(P164=0,0,IF(ISNUMBER(G164),-P164*G164,NA()))</x:f>
        <x:v>0</x:v>
      </x:c>
      <x:c r="W164" s="25" t="n">
        <x:f>SUM(Q164:V164)</x:f>
        <x:v>-704.5007202659151</x:v>
      </x:c>
      <x:c r="X164" s="18" t="n">
        <x:f>'原始输入与口径'!BR166</x:f>
        <x:v>-704.5007202659151</x:v>
      </x:c>
      <x:c r="Y164" s="18" t="n">
        <x:f>W164-X164</x:f>
        <x:v>0</x:v>
      </x:c>
      <x:c r="Z164" s="18" t="str">
        <x:f>"1月2日计划｜本窗新增"</x:f>
        <x:v>1月2日计划｜本窗新增</x:v>
      </x:c>
      <x:c r="AA164" s="19" t="n">
        <x:f>IF('原始输入与口径'!AW166,1,0)</x:f>
        <x:v>0</x:v>
      </x:c>
      <x:c r="AB164" s="19" t="n">
        <x:f>IF('原始输入与口径'!AY166,1,0)</x:f>
        <x:v>0</x:v>
      </x:c>
      <x:c r="AC164" s="18" t="n">
        <x:f>'原始输入与口径'!E166</x:f>
        <x:v>0.25</x:v>
      </x:c>
      <x:c r="AD164" s="20" t="n">
        <x:f>'原始输入与口径'!$F$5</x:f>
        <x:v>1</x:v>
      </x:c>
      <x:c r="AE164" s="20" t="n">
        <x:f>IF(AA164=0,0,AI164/(AG164*AC164))</x:f>
        <x:v>0</x:v>
      </x:c>
      <x:c r="AF164" s="20" t="n">
        <x:f>IF(AA164=0,0,AJ164/(AH164*AC164))</x:f>
        <x:v>0</x:v>
      </x:c>
      <x:c r="AG164" s="18" t="n">
        <x:f>IF(ISNUMBER('原始输入与口径'!T166),'原始输入与口径'!T166,"缺失")</x:f>
        <x:v>200</x:v>
      </x:c>
      <x:c r="AH164" s="18" t="n">
        <x:f>IF(ISNUMBER('原始输入与口径'!Y166),'原始输入与口径'!Y166,"缺失")</x:f>
        <x:v>200</x:v>
      </x:c>
      <x:c r="AI164" s="18" t="n">
        <x:f>IF(ISNUMBER('原始输入与口径'!AI166),'原始输入与口径'!AI166,"缺失")</x:f>
        <x:v>8.062</x:v>
      </x:c>
      <x:c r="AJ164" s="18" t="n">
        <x:f>IF(ISNUMBER('原始输入与口径'!AL166),'原始输入与口径'!AL166,"缺失")</x:f>
        <x:v>0</x:v>
      </x:c>
      <x:c r="AK164" s="18" t="str">
        <x:f>IF(ISNUMBER('原始输入与口径'!O166),'原始输入与口径'!O166,"缺失")</x:f>
        <x:v>缺失</x:v>
      </x:c>
      <x:c r="AL164" s="18" t="n">
        <x:f>SUMIFS('相位SOC复算'!$N$7:$N$443,'相位SOC复算'!$S$7:$S$443,158)</x:f>
        <x:v>0.014459808285024895</x:v>
      </x:c>
      <x:c r="AM164" s="18" t="n">
        <x:f>SUMIFS('相位SOC复算'!$Q$7:$Q$443,'相位SOC复算'!$S$7:$S$443,158)</x:f>
        <x:v>5.658185850661916</x:v>
      </x:c>
      <x:c r="AN164" s="18" t="n">
        <x:f>SUMIFS('相位SOC复算'!$R$7:$R$443,'相位SOC复算'!$S$7:$S$443,158)</x:f>
        <x:v>0</x:v>
      </x:c>
      <x:c r="AO164" s="18" t="n">
        <x:f>'相位SOC复算'!J373</x:f>
        <x:v>179.55507935652074</x:v>
      </x:c>
      <x:c r="AP164" s="18" t="n">
        <x:f>AO164-J164</x:f>
        <x:v>0</x:v>
      </x:c>
      <x:c r="AQ164" s="18" t="n">
        <x:f>IF(ISBLANK('原始输入与口径'!M166),"",'原始输入与口径'!M166)</x:f>
        <x:v>4.9741</x:v>
      </x:c>
      <x:c r="AR164" s="21" t="n">
        <x:f>IF(ISBLANK('原始输入与口径'!L166),"",'原始输入与口径'!L166)</x:f>
        <x:v>45657</x:v>
      </x:c>
      <x:c r="AS164" s="17" t="n">
        <x:f>IF(ISBLANK('原始输入与口径'!A166),"",'原始输入与口径'!A166)</x:f>
        <x:v>45659.552083333336</x:v>
      </x:c>
      <x:c r="AT164" s="18" t="str">
        <x:f>IF(ISBLANK('原始输入与口径'!I166),"",'原始输入与口径'!I166)</x:f>
        <x:v>2025-01-02_15</x:v>
      </x:c>
      <x:c r="AU164" s="19" t="n">
        <x:f>IF(ISBLANK('原始输入与口径'!J166),"",'原始输入与口径'!J166)</x:f>
        <x:v>60</x:v>
      </x:c>
      <x:c r="AV164" s="18" t="str">
        <x:f>IF(ISBLANK('原始输入与口径'!BB166),"",'原始输入与口径'!BB166)</x:f>
        <x:v>OTHER_QH_IN_SAME_HOUR_INVALID</x:v>
      </x:c>
    </x:row>
    <x:row r="165" ht="21" customHeight="1">
      <x:c r="A165" s="17" t="n">
        <x:f>45659.645833333336</x:f>
        <x:v>45659.645833333336</x:v>
      </x:c>
      <x:c r="B165" s="23" t="n">
        <x:f>IF(ISNUMBER('原始输入与口径'!H167),'原始输入与口径'!H167,"缺失")</x:f>
        <x:v>124.51</x:v>
      </x:c>
      <x:c r="C165" s="23" t="str">
        <x:f>IF(ISNUMBER('原始输入与口径'!R167),'原始输入与口径'!R167,"缺失")</x:f>
        <x:v>缺失</x:v>
      </x:c>
      <x:c r="D165" s="23" t="n">
        <x:f>IF(ISNUMBER('原始输入与口径'!W167),'原始输入与口径'!W167,"缺失")</x:f>
        <x:v>13.831647936310086</x:v>
      </x:c>
      <x:c r="E165" s="23" t="n">
        <x:f>IF(ISNUMBER('原始输入与口径'!AB167),'原始输入与口径'!AB167,"缺失")</x:f>
        <x:v>14.710198829939085</x:v>
      </x:c>
      <x:c r="F165" s="23" t="n">
        <x:f>IF(ISNUMBER('原始输入与口径'!AG167),'原始输入与口径'!AG167,"缺失")</x:f>
        <x:v>218.6976538469271</x:v>
      </x:c>
      <x:c r="G165" s="23" t="n">
        <x:f>IF(ISNUMBER('原始输入与口径'!AJ167),'原始输入与口径'!AJ167,"缺失")</x:f>
        <x:v>0</x:v>
      </x:c>
      <x:c r="H165" s="23" t="str">
        <x:f>"未模拟"</x:f>
        <x:v>未模拟</x:v>
      </x:c>
      <x:c r="I165" s="24" t="n">
        <x:f>'原始输入与口径'!BD167</x:f>
        <x:v>179.55507935652074</x:v>
      </x:c>
      <x:c r="J165" s="24" t="n">
        <x:f>'原始输入与口径'!BE167</x:f>
        <x:v>184.7606103391297</x:v>
      </x:c>
      <x:c r="K165" s="24" t="n">
        <x:f>'原始输入与口径'!BF167</x:f>
        <x:v>-22.632743402647662</x:v>
      </x:c>
      <x:c r="L165" s="24" t="n">
        <x:f>'原始输入与口径'!BG167</x:f>
        <x:v>0</x:v>
      </x:c>
      <x:c r="M165" s="24" t="n">
        <x:f>'原始输入与口径'!BH167</x:f>
        <x:v>0</x:v>
      </x:c>
      <x:c r="N165" s="24" t="n">
        <x:f>'原始输入与口径'!BI167</x:f>
        <x:v>0</x:v>
      </x:c>
      <x:c r="O165" s="24" t="n">
        <x:f>M165*AE165*AC165</x:f>
        <x:v>0</x:v>
      </x:c>
      <x:c r="P165" s="24" t="n">
        <x:f>N165*AF165*AC165</x:f>
        <x:v>0</x:v>
      </x:c>
      <x:c r="Q165" s="25" t="n">
        <x:f>IF(K165=0,0,IF(ISNUMBER(B165),K165*AC165*B165,NA()))</x:f>
        <x:v>-704.5007202659151</x:v>
      </x:c>
      <x:c r="R165" s="25" t="n">
        <x:f>IF(L165=0,0,IF(ISNUMBER(C165),L165*AC165*C165*AD165,NA()))</x:f>
        <x:v>0</x:v>
      </x:c>
      <x:c r="S165" s="25" t="n">
        <x:f>IF(M165=0,0,IF(ISNUMBER(D165),M165*AC165*D165*AD165,NA()))</x:f>
        <x:v>0</x:v>
      </x:c>
      <x:c r="T165" s="25" t="n">
        <x:f>IF(N165=0,0,IF(ISNUMBER(E165),N165*AC165*E165*AD165,NA()))</x:f>
        <x:v>0</x:v>
      </x:c>
      <x:c r="U165" s="25" t="n">
        <x:f>IF(O165=0,0,IF(ISNUMBER(F165),O165*F165,NA()))</x:f>
        <x:v>0</x:v>
      </x:c>
      <x:c r="V165" s="25" t="n">
        <x:f>IF(P165=0,0,IF(ISNUMBER(G165),-P165*G165,NA()))</x:f>
        <x:v>0</x:v>
      </x:c>
      <x:c r="W165" s="25" t="n">
        <x:f>SUM(Q165:V165)</x:f>
        <x:v>-704.5007202659151</x:v>
      </x:c>
      <x:c r="X165" s="18" t="n">
        <x:f>'原始输入与口径'!BR167</x:f>
        <x:v>-704.5007202659151</x:v>
      </x:c>
      <x:c r="Y165" s="18" t="n">
        <x:f>W165-X165</x:f>
        <x:v>0</x:v>
      </x:c>
      <x:c r="Z165" s="18" t="str">
        <x:f>"1月2日计划｜本窗新增"</x:f>
        <x:v>1月2日计划｜本窗新增</x:v>
      </x:c>
      <x:c r="AA165" s="19" t="n">
        <x:f>IF('原始输入与口径'!AW167,1,0)</x:f>
        <x:v>0</x:v>
      </x:c>
      <x:c r="AB165" s="19" t="n">
        <x:f>IF('原始输入与口径'!AY167,1,0)</x:f>
        <x:v>0</x:v>
      </x:c>
      <x:c r="AC165" s="18" t="n">
        <x:f>'原始输入与口径'!E167</x:f>
        <x:v>0.25</x:v>
      </x:c>
      <x:c r="AD165" s="20" t="n">
        <x:f>'原始输入与口径'!$F$5</x:f>
        <x:v>1</x:v>
      </x:c>
      <x:c r="AE165" s="20" t="n">
        <x:f>IF(AA165=0,0,AI165/(AG165*AC165))</x:f>
        <x:v>0</x:v>
      </x:c>
      <x:c r="AF165" s="20" t="n">
        <x:f>IF(AA165=0,0,AJ165/(AH165*AC165))</x:f>
        <x:v>0</x:v>
      </x:c>
      <x:c r="AG165" s="18" t="n">
        <x:f>IF(ISNUMBER('原始输入与口径'!T167),'原始输入与口径'!T167,"缺失")</x:f>
        <x:v>200</x:v>
      </x:c>
      <x:c r="AH165" s="18" t="n">
        <x:f>IF(ISNUMBER('原始输入与口径'!Y167),'原始输入与口径'!Y167,"缺失")</x:f>
        <x:v>200</x:v>
      </x:c>
      <x:c r="AI165" s="18" t="n">
        <x:f>IF(ISNUMBER('原始输入与口径'!AI167),'原始输入与口径'!AI167,"缺失")</x:f>
        <x:v>32.696</x:v>
      </x:c>
      <x:c r="AJ165" s="18" t="n">
        <x:f>IF(ISNUMBER('原始输入与口径'!AL167),'原始输入与口径'!AL167,"缺失")</x:f>
        <x:v>0</x:v>
      </x:c>
      <x:c r="AK165" s="18" t="str">
        <x:f>IF(ISNUMBER('原始输入与口径'!O167),'原始输入与口径'!O167,"缺失")</x:f>
        <x:v>缺失</x:v>
      </x:c>
      <x:c r="AL165" s="18" t="n">
        <x:f>SUMIFS('相位SOC复算'!$N$7:$N$443,'相位SOC复算'!$S$7:$S$443,159)</x:f>
        <x:v>0.014459808285024895</x:v>
      </x:c>
      <x:c r="AM165" s="18" t="n">
        <x:f>SUMIFS('相位SOC复算'!$Q$7:$Q$443,'相位SOC复算'!$S$7:$S$443,159)</x:f>
        <x:v>5.658185850661916</x:v>
      </x:c>
      <x:c r="AN165" s="18" t="n">
        <x:f>SUMIFS('相位SOC复算'!$R$7:$R$443,'相位SOC复算'!$S$7:$S$443,159)</x:f>
        <x:v>0</x:v>
      </x:c>
      <x:c r="AO165" s="18" t="n">
        <x:f>'相位SOC复算'!J374</x:f>
        <x:v>184.7606103391297</x:v>
      </x:c>
      <x:c r="AP165" s="18" t="n">
        <x:f>AO165-J165</x:f>
        <x:v>0</x:v>
      </x:c>
      <x:c r="AQ165" s="18" t="n">
        <x:f>IF(ISBLANK('原始输入与口径'!M167),"",'原始输入与口径'!M167)</x:f>
        <x:v>4.9741</x:v>
      </x:c>
      <x:c r="AR165" s="21" t="n">
        <x:f>IF(ISBLANK('原始输入与口径'!L167),"",'原始输入与口径'!L167)</x:f>
        <x:v>45657</x:v>
      </x:c>
      <x:c r="AS165" s="17" t="n">
        <x:f>IF(ISBLANK('原始输入与口径'!A167),"",'原始输入与口径'!A167)</x:f>
        <x:v>45659.5625</x:v>
      </x:c>
      <x:c r="AT165" s="18" t="str">
        <x:f>IF(ISBLANK('原始输入与口径'!I167),"",'原始输入与口径'!I167)</x:f>
        <x:v>2025-01-02_15</x:v>
      </x:c>
      <x:c r="AU165" s="19" t="n">
        <x:f>IF(ISBLANK('原始输入与口径'!J167),"",'原始输入与口径'!J167)</x:f>
        <x:v>60</x:v>
      </x:c>
      <x:c r="AV165" s="18" t="str">
        <x:f>IF(ISBLANK('原始输入与口径'!BB167),"",'原始输入与口径'!BB167)</x:f>
        <x:v>OTHER_QH_IN_SAME_HOUR_INVALID</x:v>
      </x:c>
    </x:row>
    <x:row r="166" ht="21" customHeight="1">
      <x:c r="A166" s="17" t="n">
        <x:f>45659.65625</x:f>
        <x:v>45659.65625</x:v>
      </x:c>
      <x:c r="B166" s="23" t="n">
        <x:f>IF(ISNUMBER('原始输入与口径'!H168),'原始输入与口径'!H168,"缺失")</x:f>
        <x:v>124.51</x:v>
      </x:c>
      <x:c r="C166" s="23" t="str">
        <x:f>IF(ISNUMBER('原始输入与口径'!R168),'原始输入与口径'!R168,"缺失")</x:f>
        <x:v>缺失</x:v>
      </x:c>
      <x:c r="D166" s="23" t="n">
        <x:f>IF(ISNUMBER('原始输入与口径'!W168),'原始输入与口径'!W168,"缺失")</x:f>
        <x:v>13.831647936310086</x:v>
      </x:c>
      <x:c r="E166" s="23" t="n">
        <x:f>IF(ISNUMBER('原始输入与口径'!AB168),'原始输入与口径'!AB168,"缺失")</x:f>
        <x:v>14.710198829939085</x:v>
      </x:c>
      <x:c r="F166" s="23" t="n">
        <x:f>IF(ISNUMBER('原始输入与口径'!AG168),'原始输入与口径'!AG168,"缺失")</x:f>
        <x:v>991.6953820791701</x:v>
      </x:c>
      <x:c r="G166" s="23" t="n">
        <x:f>IF(ISNUMBER('原始输入与口径'!AJ168),'原始输入与口径'!AJ168,"缺失")</x:f>
        <x:v>0</x:v>
      </x:c>
      <x:c r="H166" s="23" t="str">
        <x:f>"未模拟"</x:f>
        <x:v>未模拟</x:v>
      </x:c>
      <x:c r="I166" s="24" t="n">
        <x:f>'原始输入与口径'!BD168</x:f>
        <x:v>184.7606103391297</x:v>
      </x:c>
      <x:c r="J166" s="24" t="n">
        <x:f>'原始输入与口径'!BE168</x:f>
        <x:v>189.96614132173866</x:v>
      </x:c>
      <x:c r="K166" s="24" t="n">
        <x:f>'原始输入与口径'!BF168</x:f>
        <x:v>-22.632743402647662</x:v>
      </x:c>
      <x:c r="L166" s="24" t="n">
        <x:f>'原始输入与口径'!BG168</x:f>
        <x:v>0</x:v>
      </x:c>
      <x:c r="M166" s="24" t="n">
        <x:f>'原始输入与口径'!BH168</x:f>
        <x:v>0</x:v>
      </x:c>
      <x:c r="N166" s="24" t="n">
        <x:f>'原始输入与口径'!BI168</x:f>
        <x:v>0</x:v>
      </x:c>
      <x:c r="O166" s="24" t="n">
        <x:f>M166*AE166*AC166</x:f>
        <x:v>0</x:v>
      </x:c>
      <x:c r="P166" s="24" t="n">
        <x:f>N166*AF166*AC166</x:f>
        <x:v>0</x:v>
      </x:c>
      <x:c r="Q166" s="25" t="n">
        <x:f>IF(K166=0,0,IF(ISNUMBER(B166),K166*AC166*B166,NA()))</x:f>
        <x:v>-704.5007202659151</x:v>
      </x:c>
      <x:c r="R166" s="25" t="n">
        <x:f>IF(L166=0,0,IF(ISNUMBER(C166),L166*AC166*C166*AD166,NA()))</x:f>
        <x:v>0</x:v>
      </x:c>
      <x:c r="S166" s="25" t="n">
        <x:f>IF(M166=0,0,IF(ISNUMBER(D166),M166*AC166*D166*AD166,NA()))</x:f>
        <x:v>0</x:v>
      </x:c>
      <x:c r="T166" s="25" t="n">
        <x:f>IF(N166=0,0,IF(ISNUMBER(E166),N166*AC166*E166*AD166,NA()))</x:f>
        <x:v>0</x:v>
      </x:c>
      <x:c r="U166" s="25" t="n">
        <x:f>IF(O166=0,0,IF(ISNUMBER(F166),O166*F166,NA()))</x:f>
        <x:v>0</x:v>
      </x:c>
      <x:c r="V166" s="25" t="n">
        <x:f>IF(P166=0,0,IF(ISNUMBER(G166),-P166*G166,NA()))</x:f>
        <x:v>0</x:v>
      </x:c>
      <x:c r="W166" s="25" t="n">
        <x:f>SUM(Q166:V166)</x:f>
        <x:v>-704.5007202659151</x:v>
      </x:c>
      <x:c r="X166" s="18" t="n">
        <x:f>'原始输入与口径'!BR168</x:f>
        <x:v>-704.5007202659151</x:v>
      </x:c>
      <x:c r="Y166" s="18" t="n">
        <x:f>W166-X166</x:f>
        <x:v>0</x:v>
      </x:c>
      <x:c r="Z166" s="18" t="str">
        <x:f>"1月2日计划｜本窗新增"</x:f>
        <x:v>1月2日计划｜本窗新增</x:v>
      </x:c>
      <x:c r="AA166" s="19" t="n">
        <x:f>IF('原始输入与口径'!AW168,1,0)</x:f>
        <x:v>0</x:v>
      </x:c>
      <x:c r="AB166" s="19" t="n">
        <x:f>IF('原始输入与口径'!AY168,1,0)</x:f>
        <x:v>0</x:v>
      </x:c>
      <x:c r="AC166" s="18" t="n">
        <x:f>'原始输入与口径'!E168</x:f>
        <x:v>0.25</x:v>
      </x:c>
      <x:c r="AD166" s="20" t="n">
        <x:f>'原始输入与口径'!$F$5</x:f>
        <x:v>1</x:v>
      </x:c>
      <x:c r="AE166" s="20" t="n">
        <x:f>IF(AA166=0,0,AI166/(AG166*AC166))</x:f>
        <x:v>0</x:v>
      </x:c>
      <x:c r="AF166" s="20" t="n">
        <x:f>IF(AA166=0,0,AJ166/(AH166*AC166))</x:f>
        <x:v>0</x:v>
      </x:c>
      <x:c r="AG166" s="18" t="n">
        <x:f>IF(ISNUMBER('原始输入与口径'!T168),'原始输入与口径'!T168,"缺失")</x:f>
        <x:v>200</x:v>
      </x:c>
      <x:c r="AH166" s="18" t="n">
        <x:f>IF(ISNUMBER('原始输入与口径'!Y168),'原始输入与口径'!Y168,"缺失")</x:f>
        <x:v>200</x:v>
      </x:c>
      <x:c r="AI166" s="18" t="n">
        <x:f>IF(ISNUMBER('原始输入与口径'!AI168),'原始输入与口径'!AI168,"缺失")</x:f>
        <x:v>54.479</x:v>
      </x:c>
      <x:c r="AJ166" s="18" t="n">
        <x:f>IF(ISNUMBER('原始输入与口径'!AL168),'原始输入与口径'!AL168,"缺失")</x:f>
        <x:v>0</x:v>
      </x:c>
      <x:c r="AK166" s="18" t="str">
        <x:f>IF(ISNUMBER('原始输入与口径'!O168),'原始输入与口径'!O168,"缺失")</x:f>
        <x:v>缺失</x:v>
      </x:c>
      <x:c r="AL166" s="18" t="n">
        <x:f>SUMIFS('相位SOC复算'!$N$7:$N$443,'相位SOC复算'!$S$7:$S$443,160)</x:f>
        <x:v>0.014459808285024895</x:v>
      </x:c>
      <x:c r="AM166" s="18" t="n">
        <x:f>SUMIFS('相位SOC复算'!$Q$7:$Q$443,'相位SOC复算'!$S$7:$S$443,160)</x:f>
        <x:v>5.658185850661916</x:v>
      </x:c>
      <x:c r="AN166" s="18" t="n">
        <x:f>SUMIFS('相位SOC复算'!$R$7:$R$443,'相位SOC复算'!$S$7:$S$443,160)</x:f>
        <x:v>0</x:v>
      </x:c>
      <x:c r="AO166" s="18" t="n">
        <x:f>'相位SOC复算'!J375</x:f>
        <x:v>189.96614132173866</x:v>
      </x:c>
      <x:c r="AP166" s="18" t="n">
        <x:f>AO166-J166</x:f>
        <x:v>0</x:v>
      </x:c>
      <x:c r="AQ166" s="18" t="n">
        <x:f>IF(ISBLANK('原始输入与口径'!M168),"",'原始输入与口径'!M168)</x:f>
        <x:v>4.9741</x:v>
      </x:c>
      <x:c r="AR166" s="21" t="n">
        <x:f>IF(ISBLANK('原始输入与口径'!L168),"",'原始输入与口径'!L168)</x:f>
        <x:v>45657</x:v>
      </x:c>
      <x:c r="AS166" s="17" t="n">
        <x:f>IF(ISBLANK('原始输入与口径'!A168),"",'原始输入与口径'!A168)</x:f>
        <x:v>45659.572916666664</x:v>
      </x:c>
      <x:c r="AT166" s="18" t="str">
        <x:f>IF(ISBLANK('原始输入与口径'!I168),"",'原始输入与口径'!I168)</x:f>
        <x:v>2025-01-02_15</x:v>
      </x:c>
      <x:c r="AU166" s="19" t="n">
        <x:f>IF(ISBLANK('原始输入与口径'!J168),"",'原始输入与口径'!J168)</x:f>
        <x:v>60</x:v>
      </x:c>
      <x:c r="AV166" s="18" t="str">
        <x:f>IF(ISBLANK('原始输入与口径'!BB168),"",'原始输入与口径'!BB168)</x:f>
        <x:v>ALPHA_OUTSIDE_SIMPLEX</x:v>
      </x:c>
    </x:row>
    <x:row r="167" ht="21" customHeight="1">
      <x:c r="A167" s="17" t="n">
        <x:f>45659.666666666664</x:f>
        <x:v>45659.666666666664</x:v>
      </x:c>
      <x:c r="B167" s="23" t="n">
        <x:f>IF(ISNUMBER('原始输入与口径'!H169),'原始输入与口径'!H169,"缺失")</x:f>
        <x:v>130.11</x:v>
      </x:c>
      <x:c r="C167" s="23" t="str">
        <x:f>IF(ISNUMBER('原始输入与口径'!R169),'原始输入与口径'!R169,"缺失")</x:f>
        <x:v>缺失</x:v>
      </x:c>
      <x:c r="D167" s="23" t="n">
        <x:f>IF(ISNUMBER('原始输入与口径'!W169),'原始输入与口径'!W169,"缺失")</x:f>
        <x:v>13.831647936310086</x:v>
      </x:c>
      <x:c r="E167" s="23" t="n">
        <x:f>IF(ISNUMBER('原始输入与口径'!AB169),'原始输入与口径'!AB169,"缺失")</x:f>
        <x:v>14.710198829939085</x:v>
      </x:c>
      <x:c r="F167" s="23" t="n">
        <x:f>IF(ISNUMBER('原始输入与口径'!AG169),'原始输入与口径'!AG169,"缺失")</x:f>
        <x:v>223.40001206248365</x:v>
      </x:c>
      <x:c r="G167" s="23" t="n">
        <x:f>IF(ISNUMBER('原始输入与口径'!AJ169),'原始输入与口径'!AJ169,"缺失")</x:f>
        <x:v>0</x:v>
      </x:c>
      <x:c r="H167" s="23" t="str">
        <x:f>"未模拟"</x:f>
        <x:v>未模拟</x:v>
      </x:c>
      <x:c r="I167" s="24" t="n">
        <x:f>'原始输入与口径'!BD169</x:f>
        <x:v>189.96614132173866</x:v>
      </x:c>
      <x:c r="J167" s="24" t="n">
        <x:f>'原始输入与口径'!BE169</x:f>
        <x:v>183.12110605217345</x:v>
      </x:c>
      <x:c r="K167" s="24" t="n">
        <x:f>'原始输入与口径'!BF169</x:f>
        <x:v>-19</x:v>
      </x:c>
      <x:c r="L167" s="24" t="n">
        <x:f>'原始输入与口径'!BG169</x:f>
        <x:v>0</x:v>
      </x:c>
      <x:c r="M167" s="24" t="n">
        <x:f>'原始输入与口径'!BH169</x:f>
        <x:v>100</x:v>
      </x:c>
      <x:c r="N167" s="24" t="n">
        <x:f>'原始输入与口径'!BI169</x:f>
        <x:v>81</x:v>
      </x:c>
      <x:c r="O167" s="24" t="n">
        <x:f>M167*AE167*AC167</x:f>
        <x:v>10.628</x:v>
      </x:c>
      <x:c r="P167" s="24" t="n">
        <x:f>N167*AF167*AC167</x:f>
        <x:v>0</x:v>
      </x:c>
      <x:c r="Q167" s="25" t="n">
        <x:f>IF(K167=0,0,IF(ISNUMBER(B167),K167*AC167*B167,NA()))</x:f>
        <x:v>-618.0225</x:v>
      </x:c>
      <x:c r="R167" s="25" t="n">
        <x:f>IF(L167=0,0,IF(ISNUMBER(C167),L167*AC167*C167*AD167,NA()))</x:f>
        <x:v>0</x:v>
      </x:c>
      <x:c r="S167" s="25" t="n">
        <x:f>IF(M167=0,0,IF(ISNUMBER(D167),M167*AC167*D167*AD167,NA()))</x:f>
        <x:v>345.7911984077521</x:v>
      </x:c>
      <x:c r="T167" s="25" t="n">
        <x:f>IF(N167=0,0,IF(ISNUMBER(E167),N167*AC167*E167*AD167,NA()))</x:f>
        <x:v>297.88152630626644</x:v>
      </x:c>
      <x:c r="U167" s="25" t="n">
        <x:f>IF(O167=0,0,IF(ISNUMBER(F167),O167*F167,NA()))</x:f>
        <x:v>2374.2953282000763</x:v>
      </x:c>
      <x:c r="V167" s="25" t="n">
        <x:f>IF(P167=0,0,IF(ISNUMBER(G167),-P167*G167,NA()))</x:f>
        <x:v>0</x:v>
      </x:c>
      <x:c r="W167" s="25" t="n">
        <x:f>SUM(Q167:V167)</x:f>
        <x:v>2399.9455529140946</x:v>
      </x:c>
      <x:c r="X167" s="18" t="n">
        <x:f>'原始输入与口径'!BR169</x:f>
        <x:v>2399.9455529140946</x:v>
      </x:c>
      <x:c r="Y167" s="18" t="n">
        <x:f>W167-X167</x:f>
        <x:v>0</x:v>
      </x:c>
      <x:c r="Z167" s="18" t="str">
        <x:f>"1月2日计划｜本窗新增"</x:f>
        <x:v>1月2日计划｜本窗新增</x:v>
      </x:c>
      <x:c r="AA167" s="19" t="n">
        <x:f>IF('原始输入与口径'!AW169,1,0)</x:f>
        <x:v>1</x:v>
      </x:c>
      <x:c r="AB167" s="19" t="n">
        <x:f>IF('原始输入与口径'!AY169,1,0)</x:f>
        <x:v>0</x:v>
      </x:c>
      <x:c r="AC167" s="18" t="n">
        <x:f>'原始输入与口径'!E169</x:f>
        <x:v>0.25</x:v>
      </x:c>
      <x:c r="AD167" s="20" t="n">
        <x:f>'原始输入与口径'!$F$5</x:f>
        <x:v>1</x:v>
      </x:c>
      <x:c r="AE167" s="20" t="n">
        <x:f>IF(AA167=0,0,AI167/(AG167*AC167))</x:f>
        <x:v>0.42512</x:v>
      </x:c>
      <x:c r="AF167" s="20" t="n">
        <x:f>IF(AA167=0,0,AJ167/(AH167*AC167))</x:f>
        <x:v>0</x:v>
      </x:c>
      <x:c r="AG167" s="18" t="n">
        <x:f>IF(ISNUMBER('原始输入与口径'!T169),'原始输入与口径'!T169,"缺失")</x:f>
        <x:v>200</x:v>
      </x:c>
      <x:c r="AH167" s="18" t="n">
        <x:f>IF(ISNUMBER('原始输入与口径'!Y169),'原始输入与口径'!Y169,"缺失")</x:f>
        <x:v>200</x:v>
      </x:c>
      <x:c r="AI167" s="18" t="n">
        <x:f>IF(ISNUMBER('原始输入与口径'!AI169),'原始输入与口径'!AI169,"缺失")</x:f>
        <x:v>21.256</x:v>
      </x:c>
      <x:c r="AJ167" s="18" t="n">
        <x:f>IF(ISNUMBER('原始输入与口径'!AL169),'原始输入与口径'!AL169,"缺失")</x:f>
        <x:v>0</x:v>
      </x:c>
      <x:c r="AK167" s="18" t="str">
        <x:f>IF(ISNUMBER('原始输入与口径'!O169),'原始输入与口径'!O169,"缺失")</x:f>
        <x:v>缺失</x:v>
      </x:c>
      <x:c r="AL167" s="18" t="n">
        <x:f>SUMIFS('相位SOC复算'!$N$7:$N$443,'相位SOC复算'!$S$7:$S$443,161)</x:f>
        <x:v>0.03297079574879227</x:v>
      </x:c>
      <x:c r="AM167" s="18" t="n">
        <x:f>SUMIFS('相位SOC复算'!$Q$7:$Q$443,'相位SOC复算'!$S$7:$S$443,161)</x:f>
        <x:v>2.7306800000000004</x:v>
      </x:c>
      <x:c r="AN167" s="18" t="n">
        <x:f>SUMIFS('相位SOC复算'!$R$7:$R$443,'相位SOC复算'!$S$7:$S$443,161)</x:f>
        <x:v>8.60868</x:v>
      </x:c>
      <x:c r="AO167" s="18" t="n">
        <x:f>'相位SOC复算'!J377</x:f>
        <x:v>183.12110605217345</x:v>
      </x:c>
      <x:c r="AP167" s="18" t="n">
        <x:f>AO167-J167</x:f>
        <x:v>0</x:v>
      </x:c>
      <x:c r="AQ167" s="18" t="n">
        <x:f>IF(ISBLANK('原始输入与口径'!M169),"",'原始输入与口径'!M169)</x:f>
        <x:v>4.9741</x:v>
      </x:c>
      <x:c r="AR167" s="21" t="n">
        <x:f>IF(ISBLANK('原始输入与口径'!L169),"",'原始输入与口径'!L169)</x:f>
        <x:v>45657</x:v>
      </x:c>
      <x:c r="AS167" s="17" t="n">
        <x:f>IF(ISBLANK('原始输入与口径'!A169),"",'原始输入与口径'!A169)</x:f>
        <x:v>45659.583333333336</x:v>
      </x:c>
      <x:c r="AT167" s="18" t="str">
        <x:f>IF(ISBLANK('原始输入与口径'!I169),"",'原始输入与口径'!I169)</x:f>
        <x:v>2025-01-02_16</x:v>
      </x:c>
      <x:c r="AU167" s="19" t="n">
        <x:f>IF(ISBLANK('原始输入与口径'!J169),"",'原始输入与口径'!J169)</x:f>
        <x:v>60</x:v>
      </x:c>
      <x:c r="AV167" s="18" t="str">
        <x:f>IF(ISBLANK('原始输入与口径'!BB169),"",'原始输入与口径'!BB169)</x:f>
        <x:v>OK</x:v>
      </x:c>
    </x:row>
    <x:row r="168" ht="21" customHeight="1">
      <x:c r="A168" s="17" t="n">
        <x:f>45659.677083333336</x:f>
        <x:v>45659.677083333336</x:v>
      </x:c>
      <x:c r="B168" s="23" t="n">
        <x:f>IF(ISNUMBER('原始输入与口径'!H170),'原始输入与口径'!H170,"缺失")</x:f>
        <x:v>130.11</x:v>
      </x:c>
      <x:c r="C168" s="23" t="str">
        <x:f>IF(ISNUMBER('原始输入与口径'!R170),'原始输入与口径'!R170,"缺失")</x:f>
        <x:v>缺失</x:v>
      </x:c>
      <x:c r="D168" s="23" t="n">
        <x:f>IF(ISNUMBER('原始输入与口径'!W170),'原始输入与口径'!W170,"缺失")</x:f>
        <x:v>13.831647936310086</x:v>
      </x:c>
      <x:c r="E168" s="23" t="n">
        <x:f>IF(ISNUMBER('原始输入与口径'!AB170),'原始输入与口径'!AB170,"缺失")</x:f>
        <x:v>14.710198829939085</x:v>
      </x:c>
      <x:c r="F168" s="23" t="n">
        <x:f>IF(ISNUMBER('原始输入与口径'!AG170),'原始输入与口径'!AG170,"缺失")</x:f>
        <x:v>219.45899760760742</x:v>
      </x:c>
      <x:c r="G168" s="23" t="n">
        <x:f>IF(ISNUMBER('原始输入与口径'!AJ170),'原始输入与口径'!AJ170,"缺失")</x:f>
        <x:v>0</x:v>
      </x:c>
      <x:c r="H168" s="23" t="str">
        <x:f>"未模拟"</x:f>
        <x:v>未模拟</x:v>
      </x:c>
      <x:c r="I168" s="24" t="n">
        <x:f>'原始输入与口径'!BD170</x:f>
        <x:v>183.12110605217345</x:v>
      </x:c>
      <x:c r="J168" s="24" t="n">
        <x:f>'原始输入与口径'!BE170</x:f>
        <x:v>173.34199046956473</x:v>
      </x:c>
      <x:c r="K168" s="24" t="n">
        <x:f>'原始输入与口径'!BF170</x:f>
        <x:v>-19</x:v>
      </x:c>
      <x:c r="L168" s="24" t="n">
        <x:f>'原始输入与口径'!BG170</x:f>
        <x:v>0</x:v>
      </x:c>
      <x:c r="M168" s="24" t="n">
        <x:f>'原始输入与口径'!BH170</x:f>
        <x:v>100</x:v>
      </x:c>
      <x:c r="N168" s="24" t="n">
        <x:f>'原始输入与口径'!BI170</x:f>
        <x:v>81</x:v>
      </x:c>
      <x:c r="O168" s="24" t="n">
        <x:f>M168*AE168*AC168</x:f>
        <x:v>13.4085</x:v>
      </x:c>
      <x:c r="P168" s="24" t="n">
        <x:f>N168*AF168*AC168</x:f>
        <x:v>0</x:v>
      </x:c>
      <x:c r="Q168" s="25" t="n">
        <x:f>IF(K168=0,0,IF(ISNUMBER(B168),K168*AC168*B168,NA()))</x:f>
        <x:v>-618.0225</x:v>
      </x:c>
      <x:c r="R168" s="25" t="n">
        <x:f>IF(L168=0,0,IF(ISNUMBER(C168),L168*AC168*C168*AD168,NA()))</x:f>
        <x:v>0</x:v>
      </x:c>
      <x:c r="S168" s="25" t="n">
        <x:f>IF(M168=0,0,IF(ISNUMBER(D168),M168*AC168*D168*AD168,NA()))</x:f>
        <x:v>345.7911984077521</x:v>
      </x:c>
      <x:c r="T168" s="25" t="n">
        <x:f>IF(N168=0,0,IF(ISNUMBER(E168),N168*AC168*E168*AD168,NA()))</x:f>
        <x:v>297.88152630626644</x:v>
      </x:c>
      <x:c r="U168" s="25" t="n">
        <x:f>IF(O168=0,0,IF(ISNUMBER(F168),O168*F168,NA()))</x:f>
        <x:v>2942.615969421604</x:v>
      </x:c>
      <x:c r="V168" s="25" t="n">
        <x:f>IF(P168=0,0,IF(ISNUMBER(G168),-P168*G168,NA()))</x:f>
        <x:v>0</x:v>
      </x:c>
      <x:c r="W168" s="25" t="n">
        <x:f>SUM(Q168:V168)</x:f>
        <x:v>2968.2661941356223</x:v>
      </x:c>
      <x:c r="X168" s="18" t="n">
        <x:f>'原始输入与口径'!BR170</x:f>
        <x:v>2968.2661941356223</x:v>
      </x:c>
      <x:c r="Y168" s="18" t="n">
        <x:f>W168-X168</x:f>
        <x:v>0</x:v>
      </x:c>
      <x:c r="Z168" s="18" t="str">
        <x:f>"1月2日计划｜本窗新增"</x:f>
        <x:v>1月2日计划｜本窗新增</x:v>
      </x:c>
      <x:c r="AA168" s="19" t="n">
        <x:f>IF('原始输入与口径'!AW170,1,0)</x:f>
        <x:v>1</x:v>
      </x:c>
      <x:c r="AB168" s="19" t="n">
        <x:f>IF('原始输入与口径'!AY170,1,0)</x:f>
        <x:v>0</x:v>
      </x:c>
      <x:c r="AC168" s="18" t="n">
        <x:f>'原始输入与口径'!E170</x:f>
        <x:v>0.25</x:v>
      </x:c>
      <x:c r="AD168" s="20" t="n">
        <x:f>'原始输入与口径'!$F$5</x:f>
        <x:v>1</x:v>
      </x:c>
      <x:c r="AE168" s="20" t="n">
        <x:f>IF(AA168=0,0,AI168/(AG168*AC168))</x:f>
        <x:v>0.53634</x:v>
      </x:c>
      <x:c r="AF168" s="20" t="n">
        <x:f>IF(AA168=0,0,AJ168/(AH168*AC168))</x:f>
        <x:v>0</x:v>
      </x:c>
      <x:c r="AG168" s="18" t="n">
        <x:f>IF(ISNUMBER('原始输入与口径'!T170),'原始输入与口径'!T170,"缺失")</x:f>
        <x:v>200</x:v>
      </x:c>
      <x:c r="AH168" s="18" t="n">
        <x:f>IF(ISNUMBER('原始输入与口径'!Y170),'原始输入与口径'!Y170,"缺失")</x:f>
        <x:v>200</x:v>
      </x:c>
      <x:c r="AI168" s="18" t="n">
        <x:f>IF(ISNUMBER('原始输入与口径'!AI170),'原始输入与口径'!AI170,"缺失")</x:f>
        <x:v>26.817</x:v>
      </x:c>
      <x:c r="AJ168" s="18" t="n">
        <x:f>IF(ISNUMBER('原始输入与口径'!AL170),'原始输入与口径'!AL170,"缺失")</x:f>
        <x:v>0</x:v>
      </x:c>
      <x:c r="AK168" s="18" t="str">
        <x:f>IF(ISNUMBER('原始输入与口径'!O170),'原始输入与口径'!O170,"缺失")</x:f>
        <x:v>缺失</x:v>
      </x:c>
      <x:c r="AL168" s="18" t="n">
        <x:f>SUMIFS('相位SOC复算'!$N$7:$N$443,'相位SOC复算'!$S$7:$S$443,162)</x:f>
        <x:v>0.038420844396135266</x:v>
      </x:c>
      <x:c r="AM168" s="18" t="n">
        <x:f>SUMIFS('相位SOC复算'!$Q$7:$Q$443,'相位SOC复算'!$S$7:$S$443,162)</x:f>
        <x:v>2.2023849999999996</x:v>
      </x:c>
      <x:c r="AN168" s="18" t="n">
        <x:f>SUMIFS('相位SOC复算'!$R$7:$R$443,'相位SOC复算'!$S$7:$S$443,162)</x:f>
        <x:v>10.860885000000001</x:v>
      </x:c>
      <x:c r="AO168" s="18" t="n">
        <x:f>'相位SOC复算'!J379</x:f>
        <x:v>173.34199046956473</x:v>
      </x:c>
      <x:c r="AP168" s="18" t="n">
        <x:f>AO168-J168</x:f>
        <x:v>0</x:v>
      </x:c>
      <x:c r="AQ168" s="18" t="n">
        <x:f>IF(ISBLANK('原始输入与口径'!M170),"",'原始输入与口径'!M170)</x:f>
        <x:v>4.9741</x:v>
      </x:c>
      <x:c r="AR168" s="21" t="n">
        <x:f>IF(ISBLANK('原始输入与口径'!L170),"",'原始输入与口径'!L170)</x:f>
        <x:v>45657</x:v>
      </x:c>
      <x:c r="AS168" s="17" t="n">
        <x:f>IF(ISBLANK('原始输入与口径'!A170),"",'原始输入与口径'!A170)</x:f>
        <x:v>45659.59375</x:v>
      </x:c>
      <x:c r="AT168" s="18" t="str">
        <x:f>IF(ISBLANK('原始输入与口径'!I170),"",'原始输入与口径'!I170)</x:f>
        <x:v>2025-01-02_16</x:v>
      </x:c>
      <x:c r="AU168" s="19" t="n">
        <x:f>IF(ISBLANK('原始输入与口径'!J170),"",'原始输入与口径'!J170)</x:f>
        <x:v>60</x:v>
      </x:c>
      <x:c r="AV168" s="18" t="str">
        <x:f>IF(ISBLANK('原始输入与口径'!BB170),"",'原始输入与口径'!BB170)</x:f>
        <x:v>OK</x:v>
      </x:c>
    </x:row>
    <x:row r="169" ht="21" customHeight="1">
      <x:c r="A169" s="17" t="n">
        <x:f>45659.6875</x:f>
        <x:v>45659.6875</x:v>
      </x:c>
      <x:c r="B169" s="23" t="n">
        <x:f>IF(ISNUMBER('原始输入与口径'!H171),'原始输入与口径'!H171,"缺失")</x:f>
        <x:v>130.11</x:v>
      </x:c>
      <x:c r="C169" s="23" t="str">
        <x:f>IF(ISNUMBER('原始输入与口径'!R171),'原始输入与口径'!R171,"缺失")</x:f>
        <x:v>缺失</x:v>
      </x:c>
      <x:c r="D169" s="23" t="n">
        <x:f>IF(ISNUMBER('原始输入与口径'!W171),'原始输入与口径'!W171,"缺失")</x:f>
        <x:v>13.831647936310086</x:v>
      </x:c>
      <x:c r="E169" s="23" t="n">
        <x:f>IF(ISNUMBER('原始输入与口径'!AB171),'原始输入与口径'!AB171,"缺失")</x:f>
        <x:v>14.710198829939085</x:v>
      </x:c>
      <x:c r="F169" s="23" t="n">
        <x:f>IF(ISNUMBER('原始输入与口径'!AG171),'原始输入与口径'!AG171,"缺失")</x:f>
        <x:v>213.87487183611105</x:v>
      </x:c>
      <x:c r="G169" s="23" t="n">
        <x:f>IF(ISNUMBER('原始输入与口径'!AJ171),'原始输入与口径'!AJ171,"缺失")</x:f>
        <x:v>0</x:v>
      </x:c>
      <x:c r="H169" s="23" t="str">
        <x:f>"未模拟"</x:f>
        <x:v>未模拟</x:v>
      </x:c>
      <x:c r="I169" s="24" t="n">
        <x:f>'原始输入与口径'!BD171</x:f>
        <x:v>173.34199046956473</x:v>
      </x:c>
      <x:c r="J169" s="24" t="n">
        <x:f>'原始输入与口径'!BE171</x:f>
        <x:v>168.62167043478212</x:v>
      </x:c>
      <x:c r="K169" s="24" t="n">
        <x:f>'原始输入与口径'!BF171</x:f>
        <x:v>-19</x:v>
      </x:c>
      <x:c r="L169" s="24" t="n">
        <x:f>'原始输入与口径'!BG171</x:f>
        <x:v>0</x:v>
      </x:c>
      <x:c r="M169" s="24" t="n">
        <x:f>'原始输入与口径'!BH171</x:f>
        <x:v>100</x:v>
      </x:c>
      <x:c r="N169" s="24" t="n">
        <x:f>'原始输入与口径'!BI171</x:f>
        <x:v>81</x:v>
      </x:c>
      <x:c r="O169" s="24" t="n">
        <x:f>M169*AE169*AC169</x:f>
        <x:v>8.6145</x:v>
      </x:c>
      <x:c r="P169" s="24" t="n">
        <x:f>N169*AF169*AC169</x:f>
        <x:v>0</x:v>
      </x:c>
      <x:c r="Q169" s="25" t="n">
        <x:f>IF(K169=0,0,IF(ISNUMBER(B169),K169*AC169*B169,NA()))</x:f>
        <x:v>-618.0225</x:v>
      </x:c>
      <x:c r="R169" s="25" t="n">
        <x:f>IF(L169=0,0,IF(ISNUMBER(C169),L169*AC169*C169*AD169,NA()))</x:f>
        <x:v>0</x:v>
      </x:c>
      <x:c r="S169" s="25" t="n">
        <x:f>IF(M169=0,0,IF(ISNUMBER(D169),M169*AC169*D169*AD169,NA()))</x:f>
        <x:v>345.7911984077521</x:v>
      </x:c>
      <x:c r="T169" s="25" t="n">
        <x:f>IF(N169=0,0,IF(ISNUMBER(E169),N169*AC169*E169*AD169,NA()))</x:f>
        <x:v>297.88152630626644</x:v>
      </x:c>
      <x:c r="U169" s="25" t="n">
        <x:f>IF(O169=0,0,IF(ISNUMBER(F169),O169*F169,NA()))</x:f>
        <x:v>1842.4250834321786</x:v>
      </x:c>
      <x:c r="V169" s="25" t="n">
        <x:f>IF(P169=0,0,IF(ISNUMBER(G169),-P169*G169,NA()))</x:f>
        <x:v>0</x:v>
      </x:c>
      <x:c r="W169" s="25" t="n">
        <x:f>SUM(Q169:V169)</x:f>
        <x:v>1868.0753081461971</x:v>
      </x:c>
      <x:c r="X169" s="18" t="n">
        <x:f>'原始输入与口径'!BR171</x:f>
        <x:v>1868.0753081461971</x:v>
      </x:c>
      <x:c r="Y169" s="18" t="n">
        <x:f>W169-X169</x:f>
        <x:v>0</x:v>
      </x:c>
      <x:c r="Z169" s="18" t="str">
        <x:f>"1月2日计划｜本窗新增"</x:f>
        <x:v>1月2日计划｜本窗新增</x:v>
      </x:c>
      <x:c r="AA169" s="19" t="n">
        <x:f>IF('原始输入与口径'!AW171,1,0)</x:f>
        <x:v>1</x:v>
      </x:c>
      <x:c r="AB169" s="19" t="n">
        <x:f>IF('原始输入与口径'!AY171,1,0)</x:f>
        <x:v>0</x:v>
      </x:c>
      <x:c r="AC169" s="18" t="n">
        <x:f>'原始输入与口径'!E171</x:f>
        <x:v>0.25</x:v>
      </x:c>
      <x:c r="AD169" s="20" t="n">
        <x:f>'原始输入与口径'!$F$5</x:f>
        <x:v>1</x:v>
      </x:c>
      <x:c r="AE169" s="20" t="n">
        <x:f>IF(AA169=0,0,AI169/(AG169*AC169))</x:f>
        <x:v>0.34458</x:v>
      </x:c>
      <x:c r="AF169" s="20" t="n">
        <x:f>IF(AA169=0,0,AJ169/(AH169*AC169))</x:f>
        <x:v>0</x:v>
      </x:c>
      <x:c r="AG169" s="18" t="n">
        <x:f>IF(ISNUMBER('原始输入与口径'!T171),'原始输入与口径'!T171,"缺失")</x:f>
        <x:v>200</x:v>
      </x:c>
      <x:c r="AH169" s="18" t="n">
        <x:f>IF(ISNUMBER('原始输入与口径'!Y171),'原始输入与口径'!Y171,"缺失")</x:f>
        <x:v>200</x:v>
      </x:c>
      <x:c r="AI169" s="18" t="n">
        <x:f>IF(ISNUMBER('原始输入与口径'!AI171),'原始输入与口径'!AI171,"缺失")</x:f>
        <x:v>17.229</x:v>
      </x:c>
      <x:c r="AJ169" s="18" t="n">
        <x:f>IF(ISNUMBER('原始输入与口径'!AL171),'原始输入与口径'!AL171,"缺失")</x:f>
        <x:v>0</x:v>
      </x:c>
      <x:c r="AK169" s="18" t="str">
        <x:f>IF(ISNUMBER('原始输入与口径'!O171),'原始输入与口径'!O171,"缺失")</x:f>
        <x:v>缺失</x:v>
      </x:c>
      <x:c r="AL169" s="18" t="n">
        <x:f>SUMIFS('相位SOC复算'!$N$7:$N$443,'相位SOC复算'!$S$7:$S$443,163)</x:f>
        <x:v>0.02902414120772947</x:v>
      </x:c>
      <x:c r="AM169" s="18" t="n">
        <x:f>SUMIFS('相位SOC复算'!$Q$7:$Q$443,'相位SOC复算'!$S$7:$S$443,163)</x:f>
        <x:v>3.113245</x:v>
      </x:c>
      <x:c r="AN169" s="18" t="n">
        <x:f>SUMIFS('相位SOC复算'!$R$7:$R$443,'相位SOC复算'!$S$7:$S$443,163)</x:f>
        <x:v>6.977745</x:v>
      </x:c>
      <x:c r="AO169" s="18" t="n">
        <x:f>'相位SOC复算'!J381</x:f>
        <x:v>168.62167043478212</x:v>
      </x:c>
      <x:c r="AP169" s="18" t="n">
        <x:f>AO169-J169</x:f>
        <x:v>0</x:v>
      </x:c>
      <x:c r="AQ169" s="18" t="n">
        <x:f>IF(ISBLANK('原始输入与口径'!M171),"",'原始输入与口径'!M171)</x:f>
        <x:v>4.9741</x:v>
      </x:c>
      <x:c r="AR169" s="21" t="n">
        <x:f>IF(ISBLANK('原始输入与口径'!L171),"",'原始输入与口径'!L171)</x:f>
        <x:v>45657</x:v>
      </x:c>
      <x:c r="AS169" s="17" t="n">
        <x:f>IF(ISBLANK('原始输入与口径'!A171),"",'原始输入与口径'!A171)</x:f>
        <x:v>45659.604166666664</x:v>
      </x:c>
      <x:c r="AT169" s="18" t="str">
        <x:f>IF(ISBLANK('原始输入与口径'!I171),"",'原始输入与口径'!I171)</x:f>
        <x:v>2025-01-02_16</x:v>
      </x:c>
      <x:c r="AU169" s="19" t="n">
        <x:f>IF(ISBLANK('原始输入与口径'!J171),"",'原始输入与口径'!J171)</x:f>
        <x:v>60</x:v>
      </x:c>
      <x:c r="AV169" s="18" t="str">
        <x:f>IF(ISBLANK('原始输入与口径'!BB171),"",'原始输入与口径'!BB171)</x:f>
        <x:v>OK</x:v>
      </x:c>
    </x:row>
    <x:row r="170" ht="21" customHeight="1">
      <x:c r="A170" s="17" t="n">
        <x:f>45659.697916666664</x:f>
        <x:v>45659.697916666664</x:v>
      </x:c>
      <x:c r="B170" s="23" t="n">
        <x:f>IF(ISNUMBER('原始输入与口径'!H172),'原始输入与口径'!H172,"缺失")</x:f>
        <x:v>130.11</x:v>
      </x:c>
      <x:c r="C170" s="23" t="str">
        <x:f>IF(ISNUMBER('原始输入与口径'!R172),'原始输入与口径'!R172,"缺失")</x:f>
        <x:v>缺失</x:v>
      </x:c>
      <x:c r="D170" s="23" t="n">
        <x:f>IF(ISNUMBER('原始输入与口径'!W172),'原始输入与口径'!W172,"缺失")</x:f>
        <x:v>13.831647936310086</x:v>
      </x:c>
      <x:c r="E170" s="23" t="n">
        <x:f>IF(ISNUMBER('原始输入与口径'!AB172),'原始输入与口径'!AB172,"缺失")</x:f>
        <x:v>14.710198829939085</x:v>
      </x:c>
      <x:c r="F170" s="23" t="n">
        <x:f>IF(ISNUMBER('原始输入与口径'!AG172),'原始输入与口径'!AG172,"缺失")</x:f>
        <x:v>242.79306809272026</x:v>
      </x:c>
      <x:c r="G170" s="23" t="n">
        <x:f>IF(ISNUMBER('原始输入与口径'!AJ172),'原始输入与口径'!AJ172,"缺失")</x:f>
        <x:v>0</x:v>
      </x:c>
      <x:c r="H170" s="23" t="str">
        <x:f>"未模拟"</x:f>
        <x:v>未模拟</x:v>
      </x:c>
      <x:c r="I170" s="24" t="n">
        <x:f>'原始输入与口径'!BD172</x:f>
        <x:v>168.62167043478212</x:v>
      </x:c>
      <x:c r="J170" s="24" t="n">
        <x:f>'原始输入与口径'!BE172</x:f>
        <x:v>154.4670238260865</x:v>
      </x:c>
      <x:c r="K170" s="24" t="n">
        <x:f>'原始输入与口径'!BF172</x:f>
        <x:v>-19</x:v>
      </x:c>
      <x:c r="L170" s="24" t="n">
        <x:f>'原始输入与口径'!BG172</x:f>
        <x:v>0</x:v>
      </x:c>
      <x:c r="M170" s="24" t="n">
        <x:f>'原始输入与口径'!BH172</x:f>
        <x:v>100</x:v>
      </x:c>
      <x:c r="N170" s="24" t="n">
        <x:f>'原始输入与口径'!BI172</x:f>
        <x:v>81</x:v>
      </x:c>
      <x:c r="O170" s="24" t="n">
        <x:f>M170*AE170*AC170</x:f>
        <x:v>17.555</x:v>
      </x:c>
      <x:c r="P170" s="24" t="n">
        <x:f>N170*AF170*AC170</x:f>
        <x:v>0</x:v>
      </x:c>
      <x:c r="Q170" s="25" t="n">
        <x:f>IF(K170=0,0,IF(ISNUMBER(B170),K170*AC170*B170,NA()))</x:f>
        <x:v>-618.0225</x:v>
      </x:c>
      <x:c r="R170" s="25" t="n">
        <x:f>IF(L170=0,0,IF(ISNUMBER(C170),L170*AC170*C170*AD170,NA()))</x:f>
        <x:v>0</x:v>
      </x:c>
      <x:c r="S170" s="25" t="n">
        <x:f>IF(M170=0,0,IF(ISNUMBER(D170),M170*AC170*D170*AD170,NA()))</x:f>
        <x:v>345.7911984077521</x:v>
      </x:c>
      <x:c r="T170" s="25" t="n">
        <x:f>IF(N170=0,0,IF(ISNUMBER(E170),N170*AC170*E170*AD170,NA()))</x:f>
        <x:v>297.88152630626644</x:v>
      </x:c>
      <x:c r="U170" s="25" t="n">
        <x:f>IF(O170=0,0,IF(ISNUMBER(F170),O170*F170,NA()))</x:f>
        <x:v>4262.2323103677045</x:v>
      </x:c>
      <x:c r="V170" s="25" t="n">
        <x:f>IF(P170=0,0,IF(ISNUMBER(G170),-P170*G170,NA()))</x:f>
        <x:v>0</x:v>
      </x:c>
      <x:c r="W170" s="25" t="n">
        <x:f>SUM(Q170:V170)</x:f>
        <x:v>4287.882535081723</x:v>
      </x:c>
      <x:c r="X170" s="18" t="n">
        <x:f>'原始输入与口径'!BR172</x:f>
        <x:v>4287.882535081723</x:v>
      </x:c>
      <x:c r="Y170" s="18" t="n">
        <x:f>W170-X170</x:f>
        <x:v>0</x:v>
      </x:c>
      <x:c r="Z170" s="18" t="str">
        <x:f>"1月2日计划｜本窗新增"</x:f>
        <x:v>1月2日计划｜本窗新增</x:v>
      </x:c>
      <x:c r="AA170" s="19" t="n">
        <x:f>IF('原始输入与口径'!AW172,1,0)</x:f>
        <x:v>1</x:v>
      </x:c>
      <x:c r="AB170" s="19" t="n">
        <x:f>IF('原始输入与口径'!AY172,1,0)</x:f>
        <x:v>0</x:v>
      </x:c>
      <x:c r="AC170" s="18" t="n">
        <x:f>'原始输入与口径'!E172</x:f>
        <x:v>0.25</x:v>
      </x:c>
      <x:c r="AD170" s="20" t="n">
        <x:f>'原始输入与口径'!$F$5</x:f>
        <x:v>1</x:v>
      </x:c>
      <x:c r="AE170" s="20" t="n">
        <x:f>IF(AA170=0,0,AI170/(AG170*AC170))</x:f>
        <x:v>0.7021999999999999</x:v>
      </x:c>
      <x:c r="AF170" s="20" t="n">
        <x:f>IF(AA170=0,0,AJ170/(AH170*AC170))</x:f>
        <x:v>0</x:v>
      </x:c>
      <x:c r="AG170" s="18" t="n">
        <x:f>IF(ISNUMBER('原始输入与口径'!T172),'原始输入与口径'!T172,"缺失")</x:f>
        <x:v>200</x:v>
      </x:c>
      <x:c r="AH170" s="18" t="n">
        <x:f>IF(ISNUMBER('原始输入与口径'!Y172),'原始输入与口径'!Y172,"缺失")</x:f>
        <x:v>200</x:v>
      </x:c>
      <x:c r="AI170" s="18" t="n">
        <x:f>IF(ISNUMBER('原始输入与口径'!AI172),'原始输入与口径'!AI172,"缺失")</x:f>
        <x:v>35.11</x:v>
      </x:c>
      <x:c r="AJ170" s="18" t="n">
        <x:f>IF(ISNUMBER('原始输入与口径'!AL172),'原始输入与口径'!AL172,"缺失")</x:f>
        <x:v>0</x:v>
      </x:c>
      <x:c r="AK170" s="18" t="str">
        <x:f>IF(ISNUMBER('原始输入与口径'!O172),'原始输入与口径'!O172,"缺失")</x:f>
        <x:v>缺失</x:v>
      </x:c>
      <x:c r="AL170" s="18" t="n">
        <x:f>SUMIFS('相位SOC复算'!$N$7:$N$443,'相位SOC复算'!$S$7:$S$443,164)</x:f>
        <x:v>0.046548385024154586</x:v>
      </x:c>
      <x:c r="AM170" s="18" t="n">
        <x:f>SUMIFS('相位SOC复算'!$Q$7:$Q$443,'相位SOC复算'!$S$7:$S$443,164)</x:f>
        <x:v>1.4145500000000002</x:v>
      </x:c>
      <x:c r="AN170" s="18" t="n">
        <x:f>SUMIFS('相位SOC复算'!$R$7:$R$443,'相位SOC复算'!$S$7:$S$443,164)</x:f>
        <x:v>14.219549999999998</x:v>
      </x:c>
      <x:c r="AO170" s="18" t="n">
        <x:f>'相位SOC复算'!J383</x:f>
        <x:v>154.4670238260865</x:v>
      </x:c>
      <x:c r="AP170" s="18" t="n">
        <x:f>AO170-J170</x:f>
        <x:v>0</x:v>
      </x:c>
      <x:c r="AQ170" s="18" t="n">
        <x:f>IF(ISBLANK('原始输入与口径'!M172),"",'原始输入与口径'!M172)</x:f>
        <x:v>4.9741</x:v>
      </x:c>
      <x:c r="AR170" s="21" t="n">
        <x:f>IF(ISBLANK('原始输入与口径'!L172),"",'原始输入与口径'!L172)</x:f>
        <x:v>45657</x:v>
      </x:c>
      <x:c r="AS170" s="17" t="n">
        <x:f>IF(ISBLANK('原始输入与口径'!A172),"",'原始输入与口径'!A172)</x:f>
        <x:v>45659.614583333336</x:v>
      </x:c>
      <x:c r="AT170" s="18" t="str">
        <x:f>IF(ISBLANK('原始输入与口径'!I172),"",'原始输入与口径'!I172)</x:f>
        <x:v>2025-01-02_16</x:v>
      </x:c>
      <x:c r="AU170" s="19" t="n">
        <x:f>IF(ISBLANK('原始输入与口径'!J172),"",'原始输入与口径'!J172)</x:f>
        <x:v>60</x:v>
      </x:c>
      <x:c r="AV170" s="18" t="str">
        <x:f>IF(ISBLANK('原始输入与口径'!BB172),"",'原始输入与口径'!BB172)</x:f>
        <x:v>OK</x:v>
      </x:c>
    </x:row>
    <x:row r="171" ht="21" customHeight="1">
      <x:c r="A171" s="17" t="n">
        <x:f>45659.708333333336</x:f>
        <x:v>45659.708333333336</x:v>
      </x:c>
      <x:c r="B171" s="23" t="n">
        <x:f>IF(ISNUMBER('原始输入与口径'!H173),'原始输入与口径'!H173,"缺失")</x:f>
        <x:v>159.64</x:v>
      </x:c>
      <x:c r="C171" s="23" t="str">
        <x:f>IF(ISNUMBER('原始输入与口径'!R173),'原始输入与口径'!R173,"缺失")</x:f>
        <x:v>缺失</x:v>
      </x:c>
      <x:c r="D171" s="23" t="n">
        <x:f>IF(ISNUMBER('原始输入与口径'!W173),'原始输入与口径'!W173,"缺失")</x:f>
        <x:v>13.831647936310086</x:v>
      </x:c>
      <x:c r="E171" s="23" t="n">
        <x:f>IF(ISNUMBER('原始输入与口径'!AB173),'原始输入与口径'!AB173,"缺失")</x:f>
        <x:v>14.676021792887155</x:v>
      </x:c>
      <x:c r="F171" s="23" t="n">
        <x:f>IF(ISNUMBER('原始输入与口径'!AG173),'原始输入与口径'!AG173,"缺失")</x:f>
        <x:v>200.99193824008364</x:v>
      </x:c>
      <x:c r="G171" s="23" t="n">
        <x:f>IF(ISNUMBER('原始输入与口径'!AJ173),'原始输入与口径'!AJ173,"缺失")</x:f>
        <x:v>0</x:v>
      </x:c>
      <x:c r="H171" s="23" t="str">
        <x:f>"未模拟"</x:f>
        <x:v>未模拟</x:v>
      </x:c>
      <x:c r="I171" s="24" t="n">
        <x:f>'原始输入与口径'!BD173</x:f>
        <x:v>154.4670238260865</x:v>
      </x:c>
      <x:c r="J171" s="24" t="n">
        <x:f>'原始输入与口径'!BE173</x:f>
        <x:v>148.24800208695606</x:v>
      </x:c>
      <x:c r="K171" s="24" t="n">
        <x:f>'原始输入与口径'!BF173</x:f>
        <x:v>0</x:v>
      </x:c>
      <x:c r="L171" s="24" t="n">
        <x:f>'原始输入与口径'!BG173</x:f>
        <x:v>0</x:v>
      </x:c>
      <x:c r="M171" s="24" t="n">
        <x:f>'原始输入与口径'!BH173</x:f>
        <x:v>100</x:v>
      </x:c>
      <x:c r="N171" s="24" t="n">
        <x:f>'原始输入与口径'!BI173</x:f>
        <x:v>100</x:v>
      </x:c>
      <x:c r="O171" s="24" t="n">
        <x:f>M171*AE171*AC171</x:f>
        <x:v>5.7215</x:v>
      </x:c>
      <x:c r="P171" s="24" t="n">
        <x:f>N171*AF171*AC171</x:f>
        <x:v>0</x:v>
      </x:c>
      <x:c r="Q171" s="25" t="n">
        <x:f>IF(K171=0,0,IF(ISNUMBER(B171),K171*AC171*B171,NA()))</x:f>
        <x:v>0</x:v>
      </x:c>
      <x:c r="R171" s="25" t="n">
        <x:f>IF(L171=0,0,IF(ISNUMBER(C171),L171*AC171*C171*AD171,NA()))</x:f>
        <x:v>0</x:v>
      </x:c>
      <x:c r="S171" s="25" t="n">
        <x:f>IF(M171=0,0,IF(ISNUMBER(D171),M171*AC171*D171*AD171,NA()))</x:f>
        <x:v>345.7911984077521</x:v>
      </x:c>
      <x:c r="T171" s="25" t="n">
        <x:f>IF(N171=0,0,IF(ISNUMBER(E171),N171*AC171*E171*AD171,NA()))</x:f>
        <x:v>366.90054482217886</x:v>
      </x:c>
      <x:c r="U171" s="25" t="n">
        <x:f>IF(O171=0,0,IF(ISNUMBER(F171),O171*F171,NA()))</x:f>
        <x:v>1149.9753746406386</x:v>
      </x:c>
      <x:c r="V171" s="25" t="n">
        <x:f>IF(P171=0,0,IF(ISNUMBER(G171),-P171*G171,NA()))</x:f>
        <x:v>0</x:v>
      </x:c>
      <x:c r="W171" s="25" t="n">
        <x:f>SUM(Q171:V171)</x:f>
        <x:v>1862.6671178705697</x:v>
      </x:c>
      <x:c r="X171" s="18" t="n">
        <x:f>'原始输入与口径'!BR173</x:f>
        <x:v>1862.6671178705697</x:v>
      </x:c>
      <x:c r="Y171" s="18" t="n">
        <x:f>W171-X171</x:f>
        <x:v>0</x:v>
      </x:c>
      <x:c r="Z171" s="18" t="str">
        <x:f>"1月2日计划｜本窗新增"</x:f>
        <x:v>1月2日计划｜本窗新增</x:v>
      </x:c>
      <x:c r="AA171" s="19" t="n">
        <x:f>IF('原始输入与口径'!AW173,1,0)</x:f>
        <x:v>1</x:v>
      </x:c>
      <x:c r="AB171" s="19" t="n">
        <x:f>IF('原始输入与口径'!AY173,1,0)</x:f>
        <x:v>0</x:v>
      </x:c>
      <x:c r="AC171" s="18" t="n">
        <x:f>'原始输入与口径'!E173</x:f>
        <x:v>0.25</x:v>
      </x:c>
      <x:c r="AD171" s="20" t="n">
        <x:f>'原始输入与口径'!$F$5</x:f>
        <x:v>1</x:v>
      </x:c>
      <x:c r="AE171" s="20" t="n">
        <x:f>IF(AA171=0,0,AI171/(AG171*AC171))</x:f>
        <x:v>0.22885999999999998</x:v>
      </x:c>
      <x:c r="AF171" s="20" t="n">
        <x:f>IF(AA171=0,0,AJ171/(AH171*AC171))</x:f>
        <x:v>0</x:v>
      </x:c>
      <x:c r="AG171" s="18" t="n">
        <x:f>IF(ISNUMBER('原始输入与口径'!T173),'原始输入与口径'!T173,"缺失")</x:f>
        <x:v>200</x:v>
      </x:c>
      <x:c r="AH171" s="18" t="n">
        <x:f>IF(ISNUMBER('原始输入与口径'!Y173),'原始输入与口径'!Y173,"缺失")</x:f>
        <x:v>200</x:v>
      </x:c>
      <x:c r="AI171" s="18" t="n">
        <x:f>IF(ISNUMBER('原始输入与口径'!AI173),'原始输入与口径'!AI173,"缺失")</x:f>
        <x:v>11.443</x:v>
      </x:c>
      <x:c r="AJ171" s="18" t="n">
        <x:f>IF(ISNUMBER('原始输入与口径'!AL173),'原始输入与口径'!AL173,"缺失")</x:f>
        <x:v>0</x:v>
      </x:c>
      <x:c r="AK171" s="18" t="str">
        <x:f>IF(ISNUMBER('原始输入与口径'!O173),'原始输入与口径'!O173,"缺失")</x:f>
        <x:v>缺失</x:v>
      </x:c>
      <x:c r="AL171" s="18" t="n">
        <x:f>SUMIFS('相位SOC复算'!$N$7:$N$443,'相位SOC复算'!$S$7:$S$443,165)</x:f>
        <x:v>0.017275060386473428</x:v>
      </x:c>
      <x:c r="AM171" s="18" t="n">
        <x:f>SUMIFS('相位SOC复算'!$Q$7:$Q$443,'相位SOC复算'!$S$7:$S$443,165)</x:f>
        <x:v>0</x:v>
      </x:c>
      <x:c r="AN171" s="18" t="n">
        <x:f>SUMIFS('相位SOC复算'!$R$7:$R$443,'相位SOC复算'!$S$7:$S$443,165)</x:f>
        <x:v>5.7215</x:v>
      </x:c>
      <x:c r="AO171" s="18" t="n">
        <x:f>'相位SOC复算'!J385</x:f>
        <x:v>148.24800208695606</x:v>
      </x:c>
      <x:c r="AP171" s="18" t="n">
        <x:f>AO171-J171</x:f>
        <x:v>0</x:v>
      </x:c>
      <x:c r="AQ171" s="18" t="n">
        <x:f>IF(ISBLANK('原始输入与口径'!M173),"",'原始输入与口径'!M173)</x:f>
        <x:v>4.9741</x:v>
      </x:c>
      <x:c r="AR171" s="21" t="n">
        <x:f>IF(ISBLANK('原始输入与口径'!L173),"",'原始输入与口径'!L173)</x:f>
        <x:v>45657</x:v>
      </x:c>
      <x:c r="AS171" s="17" t="n">
        <x:f>IF(ISBLANK('原始输入与口径'!A173),"",'原始输入与口径'!A173)</x:f>
        <x:v>45659.625</x:v>
      </x:c>
      <x:c r="AT171" s="18" t="str">
        <x:f>IF(ISBLANK('原始输入与口径'!I173),"",'原始输入与口径'!I173)</x:f>
        <x:v>2025-01-02_17</x:v>
      </x:c>
      <x:c r="AU171" s="19" t="n">
        <x:f>IF(ISBLANK('原始输入与口径'!J173),"",'原始输入与口径'!J173)</x:f>
        <x:v>60</x:v>
      </x:c>
      <x:c r="AV171" s="18" t="str">
        <x:f>IF(ISBLANK('原始输入与口径'!BB173),"",'原始输入与口径'!BB173)</x:f>
        <x:v>OK</x:v>
      </x:c>
    </x:row>
    <x:row r="172" ht="21" customHeight="1">
      <x:c r="A172" s="17" t="n">
        <x:f>45659.71875</x:f>
        <x:v>45659.71875</x:v>
      </x:c>
      <x:c r="B172" s="23" t="n">
        <x:f>IF(ISNUMBER('原始输入与口径'!H174),'原始输入与口径'!H174,"缺失")</x:f>
        <x:v>159.64</x:v>
      </x:c>
      <x:c r="C172" s="23" t="str">
        <x:f>IF(ISNUMBER('原始输入与口径'!R174),'原始输入与口径'!R174,"缺失")</x:f>
        <x:v>缺失</x:v>
      </x:c>
      <x:c r="D172" s="23" t="n">
        <x:f>IF(ISNUMBER('原始输入与口径'!W174),'原始输入与口径'!W174,"缺失")</x:f>
        <x:v>13.831647936310086</x:v>
      </x:c>
      <x:c r="E172" s="23" t="n">
        <x:f>IF(ISNUMBER('原始输入与口径'!AB174),'原始输入与口径'!AB174,"缺失")</x:f>
        <x:v>14.676021792887155</x:v>
      </x:c>
      <x:c r="F172" s="23" t="n">
        <x:f>IF(ISNUMBER('原始输入与口径'!AG174),'原始输入与口径'!AG174,"缺失")</x:f>
        <x:v>245.78838382823025</x:v>
      </x:c>
      <x:c r="G172" s="23" t="n">
        <x:f>IF(ISNUMBER('原始输入与口径'!AJ174),'原始输入与口径'!AJ174,"缺失")</x:f>
        <x:v>0</x:v>
      </x:c>
      <x:c r="H172" s="23" t="str">
        <x:f>"未模拟"</x:f>
        <x:v>未模拟</x:v>
      </x:c>
      <x:c r="I172" s="24" t="n">
        <x:f>'原始输入与口径'!BD174</x:f>
        <x:v>148.24800208695606</x:v>
      </x:c>
      <x:c r="J172" s="24" t="n">
        <x:f>'原始输入与口径'!BE174</x:f>
        <x:v>134.42680643478215</x:v>
      </x:c>
      <x:c r="K172" s="24" t="n">
        <x:f>'原始输入与口径'!BF174</x:f>
        <x:v>0</x:v>
      </x:c>
      <x:c r="L172" s="24" t="n">
        <x:f>'原始输入与口径'!BG174</x:f>
        <x:v>0</x:v>
      </x:c>
      <x:c r="M172" s="24" t="n">
        <x:f>'原始输入与口径'!BH174</x:f>
        <x:v>100</x:v>
      </x:c>
      <x:c r="N172" s="24" t="n">
        <x:f>'原始输入与口径'!BI174</x:f>
        <x:v>100</x:v>
      </x:c>
      <x:c r="O172" s="24" t="n">
        <x:f>M172*AE172*AC172</x:f>
        <x:v>12.715500000000002</x:v>
      </x:c>
      <x:c r="P172" s="24" t="n">
        <x:f>N172*AF172*AC172</x:f>
        <x:v>0</x:v>
      </x:c>
      <x:c r="Q172" s="25" t="n">
        <x:f>IF(K172=0,0,IF(ISNUMBER(B172),K172*AC172*B172,NA()))</x:f>
        <x:v>0</x:v>
      </x:c>
      <x:c r="R172" s="25" t="n">
        <x:f>IF(L172=0,0,IF(ISNUMBER(C172),L172*AC172*C172*AD172,NA()))</x:f>
        <x:v>0</x:v>
      </x:c>
      <x:c r="S172" s="25" t="n">
        <x:f>IF(M172=0,0,IF(ISNUMBER(D172),M172*AC172*D172*AD172,NA()))</x:f>
        <x:v>345.7911984077521</x:v>
      </x:c>
      <x:c r="T172" s="25" t="n">
        <x:f>IF(N172=0,0,IF(ISNUMBER(E172),N172*AC172*E172*AD172,NA()))</x:f>
        <x:v>366.90054482217886</x:v>
      </x:c>
      <x:c r="U172" s="25" t="n">
        <x:f>IF(O172=0,0,IF(ISNUMBER(F172),O172*F172,NA()))</x:f>
        <x:v>3125.3221945678624</x:v>
      </x:c>
      <x:c r="V172" s="25" t="n">
        <x:f>IF(P172=0,0,IF(ISNUMBER(G172),-P172*G172,NA()))</x:f>
        <x:v>0</x:v>
      </x:c>
      <x:c r="W172" s="25" t="n">
        <x:f>SUM(Q172:V172)</x:f>
        <x:v>3838.0139377977935</x:v>
      </x:c>
      <x:c r="X172" s="18" t="n">
        <x:f>'原始输入与口径'!BR174</x:f>
        <x:v>3838.0139377977935</x:v>
      </x:c>
      <x:c r="Y172" s="18" t="n">
        <x:f>W172-X172</x:f>
        <x:v>0</x:v>
      </x:c>
      <x:c r="Z172" s="18" t="str">
        <x:f>"1月2日计划｜本窗新增"</x:f>
        <x:v>1月2日计划｜本窗新增</x:v>
      </x:c>
      <x:c r="AA172" s="19" t="n">
        <x:f>IF('原始输入与口径'!AW174,1,0)</x:f>
        <x:v>1</x:v>
      </x:c>
      <x:c r="AB172" s="19" t="n">
        <x:f>IF('原始输入与口径'!AY174,1,0)</x:f>
        <x:v>0</x:v>
      </x:c>
      <x:c r="AC172" s="18" t="n">
        <x:f>'原始输入与口径'!E174</x:f>
        <x:v>0.25</x:v>
      </x:c>
      <x:c r="AD172" s="20" t="n">
        <x:f>'原始输入与口径'!$F$5</x:f>
        <x:v>1</x:v>
      </x:c>
      <x:c r="AE172" s="20" t="n">
        <x:f>IF(AA172=0,0,AI172/(AG172*AC172))</x:f>
        <x:v>0.5086200000000001</x:v>
      </x:c>
      <x:c r="AF172" s="20" t="n">
        <x:f>IF(AA172=0,0,AJ172/(AH172*AC172))</x:f>
        <x:v>0</x:v>
      </x:c>
      <x:c r="AG172" s="18" t="n">
        <x:f>IF(ISNUMBER('原始输入与口径'!T174),'原始输入与口径'!T174,"缺失")</x:f>
        <x:v>200</x:v>
      </x:c>
      <x:c r="AH172" s="18" t="n">
        <x:f>IF(ISNUMBER('原始输入与口径'!Y174),'原始输入与口径'!Y174,"缺失")</x:f>
        <x:v>200</x:v>
      </x:c>
      <x:c r="AI172" s="18" t="n">
        <x:f>IF(ISNUMBER('原始输入与口径'!AI174),'原始输入与口径'!AI174,"缺失")</x:f>
        <x:v>25.431</x:v>
      </x:c>
      <x:c r="AJ172" s="18" t="n">
        <x:f>IF(ISNUMBER('原始输入与口径'!AL174),'原始输入与口径'!AL174,"缺失")</x:f>
        <x:v>0</x:v>
      </x:c>
      <x:c r="AK172" s="18" t="str">
        <x:f>IF(ISNUMBER('原始输入与口径'!O174),'原始输入与口径'!O174,"缺失")</x:f>
        <x:v>缺失</x:v>
      </x:c>
      <x:c r="AL172" s="18" t="n">
        <x:f>SUMIFS('相位SOC复算'!$N$7:$N$443,'相位SOC复算'!$S$7:$S$443,166)</x:f>
        <x:v>0.03839221014492754</x:v>
      </x:c>
      <x:c r="AM172" s="18" t="n">
        <x:f>SUMIFS('相位SOC复算'!$Q$7:$Q$443,'相位SOC复算'!$S$7:$S$443,166)</x:f>
        <x:v>0</x:v>
      </x:c>
      <x:c r="AN172" s="18" t="n">
        <x:f>SUMIFS('相位SOC复算'!$R$7:$R$443,'相位SOC复算'!$S$7:$S$443,166)</x:f>
        <x:v>12.715500000000002</x:v>
      </x:c>
      <x:c r="AO172" s="18" t="n">
        <x:f>'相位SOC复算'!J387</x:f>
        <x:v>134.42680643478215</x:v>
      </x:c>
      <x:c r="AP172" s="18" t="n">
        <x:f>AO172-J172</x:f>
        <x:v>0</x:v>
      </x:c>
      <x:c r="AQ172" s="18" t="n">
        <x:f>IF(ISBLANK('原始输入与口径'!M174),"",'原始输入与口径'!M174)</x:f>
        <x:v>4.9741</x:v>
      </x:c>
      <x:c r="AR172" s="21" t="n">
        <x:f>IF(ISBLANK('原始输入与口径'!L174),"",'原始输入与口径'!L174)</x:f>
        <x:v>45657</x:v>
      </x:c>
      <x:c r="AS172" s="17" t="n">
        <x:f>IF(ISBLANK('原始输入与口径'!A174),"",'原始输入与口径'!A174)</x:f>
        <x:v>45659.635416666664</x:v>
      </x:c>
      <x:c r="AT172" s="18" t="str">
        <x:f>IF(ISBLANK('原始输入与口径'!I174),"",'原始输入与口径'!I174)</x:f>
        <x:v>2025-01-02_17</x:v>
      </x:c>
      <x:c r="AU172" s="19" t="n">
        <x:f>IF(ISBLANK('原始输入与口径'!J174),"",'原始输入与口径'!J174)</x:f>
        <x:v>60</x:v>
      </x:c>
      <x:c r="AV172" s="18" t="str">
        <x:f>IF(ISBLANK('原始输入与口径'!BB174),"",'原始输入与口径'!BB174)</x:f>
        <x:v>OK</x:v>
      </x:c>
    </x:row>
    <x:row r="173" ht="21" customHeight="1">
      <x:c r="A173" s="17" t="n">
        <x:f>45659.729166666664</x:f>
        <x:v>45659.729166666664</x:v>
      </x:c>
      <x:c r="B173" s="23" t="n">
        <x:f>IF(ISNUMBER('原始输入与口径'!H175),'原始输入与口径'!H175,"缺失")</x:f>
        <x:v>159.64</x:v>
      </x:c>
      <x:c r="C173" s="23" t="str">
        <x:f>IF(ISNUMBER('原始输入与口径'!R175),'原始输入与口径'!R175,"缺失")</x:f>
        <x:v>缺失</x:v>
      </x:c>
      <x:c r="D173" s="23" t="n">
        <x:f>IF(ISNUMBER('原始输入与口径'!W175),'原始输入与口径'!W175,"缺失")</x:f>
        <x:v>13.831647936310086</x:v>
      </x:c>
      <x:c r="E173" s="23" t="n">
        <x:f>IF(ISNUMBER('原始输入与口径'!AB175),'原始输入与口径'!AB175,"缺失")</x:f>
        <x:v>14.676021792887155</x:v>
      </x:c>
      <x:c r="F173" s="23" t="n">
        <x:f>IF(ISNUMBER('原始输入与口径'!AG175),'原始输入与口径'!AG175,"缺失")</x:f>
        <x:v>242.48768621459158</x:v>
      </x:c>
      <x:c r="G173" s="23" t="n">
        <x:f>IF(ISNUMBER('原始输入与口径'!AJ175),'原始输入与口径'!AJ175,"缺失")</x:f>
        <x:v>0</x:v>
      </x:c>
      <x:c r="H173" s="23" t="str">
        <x:f>"未模拟"</x:f>
        <x:v>未模拟</x:v>
      </x:c>
      <x:c r="I173" s="24" t="n">
        <x:f>'原始输入与口径'!BD175</x:f>
        <x:v>134.42680643478215</x:v>
      </x:c>
      <x:c r="J173" s="24" t="n">
        <x:f>'原始输入与口径'!BE175</x:f>
        <x:v>122.45724121739084</x:v>
      </x:c>
      <x:c r="K173" s="24" t="n">
        <x:f>'原始输入与口径'!BF175</x:f>
        <x:v>0</x:v>
      </x:c>
      <x:c r="L173" s="24" t="n">
        <x:f>'原始输入与口径'!BG175</x:f>
        <x:v>0</x:v>
      </x:c>
      <x:c r="M173" s="24" t="n">
        <x:f>'原始输入与口径'!BH175</x:f>
        <x:v>100</x:v>
      </x:c>
      <x:c r="N173" s="24" t="n">
        <x:f>'原始输入与口径'!BI175</x:f>
        <x:v>100</x:v>
      </x:c>
      <x:c r="O173" s="24" t="n">
        <x:f>M173*AE173*AC173</x:f>
        <x:v>11.012</x:v>
      </x:c>
      <x:c r="P173" s="24" t="n">
        <x:f>N173*AF173*AC173</x:f>
        <x:v>0</x:v>
      </x:c>
      <x:c r="Q173" s="25" t="n">
        <x:f>IF(K173=0,0,IF(ISNUMBER(B173),K173*AC173*B173,NA()))</x:f>
        <x:v>0</x:v>
      </x:c>
      <x:c r="R173" s="25" t="n">
        <x:f>IF(L173=0,0,IF(ISNUMBER(C173),L173*AC173*C173*AD173,NA()))</x:f>
        <x:v>0</x:v>
      </x:c>
      <x:c r="S173" s="25" t="n">
        <x:f>IF(M173=0,0,IF(ISNUMBER(D173),M173*AC173*D173*AD173,NA()))</x:f>
        <x:v>345.7911984077521</x:v>
      </x:c>
      <x:c r="T173" s="25" t="n">
        <x:f>IF(N173=0,0,IF(ISNUMBER(E173),N173*AC173*E173*AD173,NA()))</x:f>
        <x:v>366.90054482217886</x:v>
      </x:c>
      <x:c r="U173" s="25" t="n">
        <x:f>IF(O173=0,0,IF(ISNUMBER(F173),O173*F173,NA()))</x:f>
        <x:v>2670.2744005950826</x:v>
      </x:c>
      <x:c r="V173" s="25" t="n">
        <x:f>IF(P173=0,0,IF(ISNUMBER(G173),-P173*G173,NA()))</x:f>
        <x:v>0</x:v>
      </x:c>
      <x:c r="W173" s="25" t="n">
        <x:f>SUM(Q173:V173)</x:f>
        <x:v>3382.9661438250137</x:v>
      </x:c>
      <x:c r="X173" s="18" t="n">
        <x:f>'原始输入与口径'!BR175</x:f>
        <x:v>3382.9661438250137</x:v>
      </x:c>
      <x:c r="Y173" s="18" t="n">
        <x:f>W173-X173</x:f>
        <x:v>0</x:v>
      </x:c>
      <x:c r="Z173" s="18" t="str">
        <x:f>"1月2日计划｜本窗新增"</x:f>
        <x:v>1月2日计划｜本窗新增</x:v>
      </x:c>
      <x:c r="AA173" s="19" t="n">
        <x:f>IF('原始输入与口径'!AW175,1,0)</x:f>
        <x:v>1</x:v>
      </x:c>
      <x:c r="AB173" s="19" t="n">
        <x:f>IF('原始输入与口径'!AY175,1,0)</x:f>
        <x:v>0</x:v>
      </x:c>
      <x:c r="AC173" s="18" t="n">
        <x:f>'原始输入与口径'!E175</x:f>
        <x:v>0.25</x:v>
      </x:c>
      <x:c r="AD173" s="20" t="n">
        <x:f>'原始输入与口径'!$F$5</x:f>
        <x:v>1</x:v>
      </x:c>
      <x:c r="AE173" s="20" t="n">
        <x:f>IF(AA173=0,0,AI173/(AG173*AC173))</x:f>
        <x:v>0.44048000000000004</x:v>
      </x:c>
      <x:c r="AF173" s="20" t="n">
        <x:f>IF(AA173=0,0,AJ173/(AH173*AC173))</x:f>
        <x:v>0</x:v>
      </x:c>
      <x:c r="AG173" s="18" t="n">
        <x:f>IF(ISNUMBER('原始输入与口径'!T175),'原始输入与口径'!T175,"缺失")</x:f>
        <x:v>200</x:v>
      </x:c>
      <x:c r="AH173" s="18" t="n">
        <x:f>IF(ISNUMBER('原始输入与口径'!Y175),'原始输入与口径'!Y175,"缺失")</x:f>
        <x:v>200</x:v>
      </x:c>
      <x:c r="AI173" s="18" t="n">
        <x:f>IF(ISNUMBER('原始输入与口径'!AI175),'原始输入与口径'!AI175,"缺失")</x:f>
        <x:v>22.024</x:v>
      </x:c>
      <x:c r="AJ173" s="18" t="n">
        <x:f>IF(ISNUMBER('原始输入与口径'!AL175),'原始输入与口径'!AL175,"缺失")</x:f>
        <x:v>0</x:v>
      </x:c>
      <x:c r="AK173" s="18" t="str">
        <x:f>IF(ISNUMBER('原始输入与口径'!O175),'原始输入与口径'!O175,"缺失")</x:f>
        <x:v>缺失</x:v>
      </x:c>
      <x:c r="AL173" s="18" t="n">
        <x:f>SUMIFS('相位SOC复算'!$N$7:$N$443,'相位SOC复算'!$S$7:$S$443,167)</x:f>
        <x:v>0.0332487922705314</x:v>
      </x:c>
      <x:c r="AM173" s="18" t="n">
        <x:f>SUMIFS('相位SOC复算'!$Q$7:$Q$443,'相位SOC复算'!$S$7:$S$443,167)</x:f>
        <x:v>0</x:v>
      </x:c>
      <x:c r="AN173" s="18" t="n">
        <x:f>SUMIFS('相位SOC复算'!$R$7:$R$443,'相位SOC复算'!$S$7:$S$443,167)</x:f>
        <x:v>11.012</x:v>
      </x:c>
      <x:c r="AO173" s="18" t="n">
        <x:f>'相位SOC复算'!J389</x:f>
        <x:v>122.45724121739084</x:v>
      </x:c>
      <x:c r="AP173" s="18" t="n">
        <x:f>AO173-J173</x:f>
        <x:v>0</x:v>
      </x:c>
      <x:c r="AQ173" s="18" t="n">
        <x:f>IF(ISBLANK('原始输入与口径'!M175),"",'原始输入与口径'!M175)</x:f>
        <x:v>4.9741</x:v>
      </x:c>
      <x:c r="AR173" s="21" t="n">
        <x:f>IF(ISBLANK('原始输入与口径'!L175),"",'原始输入与口径'!L175)</x:f>
        <x:v>45657</x:v>
      </x:c>
      <x:c r="AS173" s="17" t="n">
        <x:f>IF(ISBLANK('原始输入与口径'!A175),"",'原始输入与口径'!A175)</x:f>
        <x:v>45659.645833333336</x:v>
      </x:c>
      <x:c r="AT173" s="18" t="str">
        <x:f>IF(ISBLANK('原始输入与口径'!I175),"",'原始输入与口径'!I175)</x:f>
        <x:v>2025-01-02_17</x:v>
      </x:c>
      <x:c r="AU173" s="19" t="n">
        <x:f>IF(ISBLANK('原始输入与口径'!J175),"",'原始输入与口径'!J175)</x:f>
        <x:v>60</x:v>
      </x:c>
      <x:c r="AV173" s="18" t="str">
        <x:f>IF(ISBLANK('原始输入与口径'!BB175),"",'原始输入与口径'!BB175)</x:f>
        <x:v>OK</x:v>
      </x:c>
    </x:row>
    <x:row r="174" ht="21" customHeight="1">
      <x:c r="A174" s="17" t="n">
        <x:f>45659.739583333336</x:f>
        <x:v>45659.739583333336</x:v>
      </x:c>
      <x:c r="B174" s="23" t="n">
        <x:f>IF(ISNUMBER('原始输入与口径'!H176),'原始输入与口径'!H176,"缺失")</x:f>
        <x:v>159.64</x:v>
      </x:c>
      <x:c r="C174" s="23" t="str">
        <x:f>IF(ISNUMBER('原始输入与口径'!R176),'原始输入与口径'!R176,"缺失")</x:f>
        <x:v>缺失</x:v>
      </x:c>
      <x:c r="D174" s="23" t="n">
        <x:f>IF(ISNUMBER('原始输入与口径'!W176),'原始输入与口径'!W176,"缺失")</x:f>
        <x:v>13.831647936310086</x:v>
      </x:c>
      <x:c r="E174" s="23" t="n">
        <x:f>IF(ISNUMBER('原始输入与口径'!AB176),'原始输入与口径'!AB176,"缺失")</x:f>
        <x:v>14.676021792887155</x:v>
      </x:c>
      <x:c r="F174" s="23" t="n">
        <x:f>IF(ISNUMBER('原始输入与口径'!AG176),'原始输入与口径'!AG176,"缺失")</x:f>
        <x:v>239.9469250718723</x:v>
      </x:c>
      <x:c r="G174" s="23" t="n">
        <x:f>IF(ISNUMBER('原始输入与口径'!AJ176),'原始输入与口径'!AJ176,"缺失")</x:f>
        <x:v>0</x:v>
      </x:c>
      <x:c r="H174" s="23" t="str">
        <x:f>"未模拟"</x:f>
        <x:v>未模拟</x:v>
      </x:c>
      <x:c r="I174" s="24" t="n">
        <x:f>'原始输入与口径'!BD176</x:f>
        <x:v>122.45724121739084</x:v>
      </x:c>
      <x:c r="J174" s="24" t="n">
        <x:f>'原始输入与口径'!BE176</x:f>
        <x:v>111.57680643478216</x:v>
      </x:c>
      <x:c r="K174" s="24" t="n">
        <x:f>'原始输入与口径'!BF176</x:f>
        <x:v>0</x:v>
      </x:c>
      <x:c r="L174" s="24" t="n">
        <x:f>'原始输入与口径'!BG176</x:f>
        <x:v>0</x:v>
      </x:c>
      <x:c r="M174" s="24" t="n">
        <x:f>'原始输入与口径'!BH176</x:f>
        <x:v>100</x:v>
      </x:c>
      <x:c r="N174" s="24" t="n">
        <x:f>'原始输入与口径'!BI176</x:f>
        <x:v>100</x:v>
      </x:c>
      <x:c r="O174" s="24" t="n">
        <x:f>M174*AE174*AC174</x:f>
        <x:v>10.01</x:v>
      </x:c>
      <x:c r="P174" s="24" t="n">
        <x:f>N174*AF174*AC174</x:f>
        <x:v>0</x:v>
      </x:c>
      <x:c r="Q174" s="25" t="n">
        <x:f>IF(K174=0,0,IF(ISNUMBER(B174),K174*AC174*B174,NA()))</x:f>
        <x:v>0</x:v>
      </x:c>
      <x:c r="R174" s="25" t="n">
        <x:f>IF(L174=0,0,IF(ISNUMBER(C174),L174*AC174*C174*AD174,NA()))</x:f>
        <x:v>0</x:v>
      </x:c>
      <x:c r="S174" s="25" t="n">
        <x:f>IF(M174=0,0,IF(ISNUMBER(D174),M174*AC174*D174*AD174,NA()))</x:f>
        <x:v>345.7911984077521</x:v>
      </x:c>
      <x:c r="T174" s="25" t="n">
        <x:f>IF(N174=0,0,IF(ISNUMBER(E174),N174*AC174*E174*AD174,NA()))</x:f>
        <x:v>366.90054482217886</x:v>
      </x:c>
      <x:c r="U174" s="25" t="n">
        <x:f>IF(O174=0,0,IF(ISNUMBER(F174),O174*F174,NA()))</x:f>
        <x:v>2401.868719969442</x:v>
      </x:c>
      <x:c r="V174" s="25" t="n">
        <x:f>IF(P174=0,0,IF(ISNUMBER(G174),-P174*G174,NA()))</x:f>
        <x:v>0</x:v>
      </x:c>
      <x:c r="W174" s="25" t="n">
        <x:f>SUM(Q174:V174)</x:f>
        <x:v>3114.560463199373</x:v>
      </x:c>
      <x:c r="X174" s="18" t="n">
        <x:f>'原始输入与口径'!BR176</x:f>
        <x:v>3114.560463199373</x:v>
      </x:c>
      <x:c r="Y174" s="18" t="n">
        <x:f>W174-X174</x:f>
        <x:v>0</x:v>
      </x:c>
      <x:c r="Z174" s="18" t="str">
        <x:f>"1月2日计划｜本窗新增"</x:f>
        <x:v>1月2日计划｜本窗新增</x:v>
      </x:c>
      <x:c r="AA174" s="19" t="n">
        <x:f>IF('原始输入与口径'!AW176,1,0)</x:f>
        <x:v>1</x:v>
      </x:c>
      <x:c r="AB174" s="19" t="n">
        <x:f>IF('原始输入与口径'!AY176,1,0)</x:f>
        <x:v>0</x:v>
      </x:c>
      <x:c r="AC174" s="18" t="n">
        <x:f>'原始输入与口径'!E176</x:f>
        <x:v>0.25</x:v>
      </x:c>
      <x:c r="AD174" s="20" t="n">
        <x:f>'原始输入与口径'!$F$5</x:f>
        <x:v>1</x:v>
      </x:c>
      <x:c r="AE174" s="20" t="n">
        <x:f>IF(AA174=0,0,AI174/(AG174*AC174))</x:f>
        <x:v>0.4004</x:v>
      </x:c>
      <x:c r="AF174" s="20" t="n">
        <x:f>IF(AA174=0,0,AJ174/(AH174*AC174))</x:f>
        <x:v>0</x:v>
      </x:c>
      <x:c r="AG174" s="18" t="n">
        <x:f>IF(ISNUMBER('原始输入与口径'!T176),'原始输入与口径'!T176,"缺失")</x:f>
        <x:v>200</x:v>
      </x:c>
      <x:c r="AH174" s="18" t="n">
        <x:f>IF(ISNUMBER('原始输入与口径'!Y176),'原始输入与口径'!Y176,"缺失")</x:f>
        <x:v>200</x:v>
      </x:c>
      <x:c r="AI174" s="18" t="n">
        <x:f>IF(ISNUMBER('原始输入与口径'!AI176),'原始输入与口径'!AI176,"缺失")</x:f>
        <x:v>20.02</x:v>
      </x:c>
      <x:c r="AJ174" s="18" t="n">
        <x:f>IF(ISNUMBER('原始输入与口径'!AL176),'原始输入与口径'!AL176,"缺失")</x:f>
        <x:v>0</x:v>
      </x:c>
      <x:c r="AK174" s="18" t="str">
        <x:f>IF(ISNUMBER('原始输入与口径'!O176),'原始输入与口径'!O176,"缺失")</x:f>
        <x:v>缺失</x:v>
      </x:c>
      <x:c r="AL174" s="18" t="n">
        <x:f>SUMIFS('相位SOC复算'!$N$7:$N$443,'相位SOC复算'!$S$7:$S$443,168)</x:f>
        <x:v>0.030223429951690816</x:v>
      </x:c>
      <x:c r="AM174" s="18" t="n">
        <x:f>SUMIFS('相位SOC复算'!$Q$7:$Q$443,'相位SOC复算'!$S$7:$S$443,168)</x:f>
        <x:v>0</x:v>
      </x:c>
      <x:c r="AN174" s="18" t="n">
        <x:f>SUMIFS('相位SOC复算'!$R$7:$R$443,'相位SOC复算'!$S$7:$S$443,168)</x:f>
        <x:v>10.01</x:v>
      </x:c>
      <x:c r="AO174" s="18" t="n">
        <x:f>'相位SOC复算'!J391</x:f>
        <x:v>111.57680643478216</x:v>
      </x:c>
      <x:c r="AP174" s="18" t="n">
        <x:f>AO174-J174</x:f>
        <x:v>0</x:v>
      </x:c>
      <x:c r="AQ174" s="18" t="n">
        <x:f>IF(ISBLANK('原始输入与口径'!M176),"",'原始输入与口径'!M176)</x:f>
        <x:v>4.9741</x:v>
      </x:c>
      <x:c r="AR174" s="21" t="n">
        <x:f>IF(ISBLANK('原始输入与口径'!L176),"",'原始输入与口径'!L176)</x:f>
        <x:v>45657</x:v>
      </x:c>
      <x:c r="AS174" s="17" t="n">
        <x:f>IF(ISBLANK('原始输入与口径'!A176),"",'原始输入与口径'!A176)</x:f>
        <x:v>45659.65625</x:v>
      </x:c>
      <x:c r="AT174" s="18" t="str">
        <x:f>IF(ISBLANK('原始输入与口径'!I176),"",'原始输入与口径'!I176)</x:f>
        <x:v>2025-01-02_17</x:v>
      </x:c>
      <x:c r="AU174" s="19" t="n">
        <x:f>IF(ISBLANK('原始输入与口径'!J176),"",'原始输入与口径'!J176)</x:f>
        <x:v>60</x:v>
      </x:c>
      <x:c r="AV174" s="18" t="str">
        <x:f>IF(ISBLANK('原始输入与口径'!BB176),"",'原始输入与口径'!BB176)</x:f>
        <x:v>OK</x:v>
      </x:c>
    </x:row>
    <x:row r="175" ht="21" customHeight="1">
      <x:c r="A175" s="17" t="n">
        <x:f>45659.75</x:f>
        <x:v>45659.75</x:v>
      </x:c>
      <x:c r="B175" s="23" t="n">
        <x:f>IF(ISNUMBER('原始输入与口径'!H177),'原始输入与口径'!H177,"缺失")</x:f>
        <x:v>170</x:v>
      </x:c>
      <x:c r="C175" s="23" t="str">
        <x:f>IF(ISNUMBER('原始输入与口径'!R177),'原始输入与口径'!R177,"缺失")</x:f>
        <x:v>缺失</x:v>
      </x:c>
      <x:c r="D175" s="23" t="n">
        <x:f>IF(ISNUMBER('原始输入与口径'!W177),'原始输入与口径'!W177,"缺失")</x:f>
        <x:v>13.831647936310086</x:v>
      </x:c>
      <x:c r="E175" s="23" t="n">
        <x:f>IF(ISNUMBER('原始输入与口径'!AB177),'原始输入与口径'!AB177,"缺失")</x:f>
        <x:v>14.676021792887155</x:v>
      </x:c>
      <x:c r="F175" s="23" t="n">
        <x:f>IF(ISNUMBER('原始输入与口径'!AG177),'原始输入与口径'!AG177,"缺失")</x:f>
        <x:v>178.25837840011258</x:v>
      </x:c>
      <x:c r="G175" s="23" t="n">
        <x:f>IF(ISNUMBER('原始输入与口径'!AJ177),'原始输入与口径'!AJ177,"缺失")</x:f>
        <x:v>28.38744697533222</x:v>
      </x:c>
      <x:c r="H175" s="23" t="str">
        <x:f>"未模拟"</x:f>
        <x:v>未模拟</x:v>
      </x:c>
      <x:c r="I175" s="24" t="n">
        <x:f>'原始输入与口径'!BD177</x:f>
        <x:v>111.57680643478216</x:v>
      </x:c>
      <x:c r="J175" s="24" t="n">
        <x:f>'原始输入与口径'!BE177</x:f>
        <x:v>84.9170238260865</x:v>
      </x:c>
      <x:c r="K175" s="24" t="n">
        <x:f>'原始输入与口径'!BF177</x:f>
        <x:v>100</x:v>
      </x:c>
      <x:c r="L175" s="24" t="n">
        <x:f>'原始输入与口径'!BG177</x:f>
        <x:v>0</x:v>
      </x:c>
      <x:c r="M175" s="24" t="n">
        <x:f>'原始输入与口径'!BH177</x:f>
        <x:v>0</x:v>
      </x:c>
      <x:c r="N175" s="24" t="n">
        <x:f>'原始输入与口径'!BI177</x:f>
        <x:v>100</x:v>
      </x:c>
      <x:c r="O175" s="24" t="n">
        <x:f>M175*AE175*AC175</x:f>
        <x:v>0</x:v>
      </x:c>
      <x:c r="P175" s="24" t="n">
        <x:f>N175*AF175*AC175</x:f>
        <x:v>0.473</x:v>
      </x:c>
      <x:c r="Q175" s="25" t="n">
        <x:f>IF(K175=0,0,IF(ISNUMBER(B175),K175*AC175*B175,NA()))</x:f>
        <x:v>4250</x:v>
      </x:c>
      <x:c r="R175" s="25" t="n">
        <x:f>IF(L175=0,0,IF(ISNUMBER(C175),L175*AC175*C175*AD175,NA()))</x:f>
        <x:v>0</x:v>
      </x:c>
      <x:c r="S175" s="25" t="n">
        <x:f>IF(M175=0,0,IF(ISNUMBER(D175),M175*AC175*D175*AD175,NA()))</x:f>
        <x:v>0</x:v>
      </x:c>
      <x:c r="T175" s="25" t="n">
        <x:f>IF(N175=0,0,IF(ISNUMBER(E175),N175*AC175*E175*AD175,NA()))</x:f>
        <x:v>366.90054482217886</x:v>
      </x:c>
      <x:c r="U175" s="25" t="n">
        <x:f>IF(O175=0,0,IF(ISNUMBER(F175),O175*F175,NA()))</x:f>
        <x:v>0</x:v>
      </x:c>
      <x:c r="V175" s="25" t="n">
        <x:f>IF(P175=0,0,IF(ISNUMBER(G175),-P175*G175,NA()))</x:f>
        <x:v>-13.42726241933214</x:v>
      </x:c>
      <x:c r="W175" s="25" t="n">
        <x:f>SUM(Q175:V175)</x:f>
        <x:v>4603.473282402847</x:v>
      </x:c>
      <x:c r="X175" s="18" t="n">
        <x:f>'原始输入与口径'!BR177</x:f>
        <x:v>4603.473282402847</x:v>
      </x:c>
      <x:c r="Y175" s="18" t="n">
        <x:f>W175-X175</x:f>
        <x:v>0</x:v>
      </x:c>
      <x:c r="Z175" s="18" t="str">
        <x:f>"1月2日计划｜本窗新增"</x:f>
        <x:v>1月2日计划｜本窗新增</x:v>
      </x:c>
      <x:c r="AA175" s="19" t="n">
        <x:f>IF('原始输入与口径'!AW177,1,0)</x:f>
        <x:v>1</x:v>
      </x:c>
      <x:c r="AB175" s="19" t="n">
        <x:f>IF('原始输入与口径'!AY177,1,0)</x:f>
        <x:v>0</x:v>
      </x:c>
      <x:c r="AC175" s="18" t="n">
        <x:f>'原始输入与口径'!E177</x:f>
        <x:v>0.25</x:v>
      </x:c>
      <x:c r="AD175" s="20" t="n">
        <x:f>'原始输入与口径'!$F$5</x:f>
        <x:v>1</x:v>
      </x:c>
      <x:c r="AE175" s="20" t="n">
        <x:f>IF(AA175=0,0,AI175/(AG175*AC175))</x:f>
        <x:v>0.05567999999999999</x:v>
      </x:c>
      <x:c r="AF175" s="20" t="n">
        <x:f>IF(AA175=0,0,AJ175/(AH175*AC175))</x:f>
        <x:v>0.01892</x:v>
      </x:c>
      <x:c r="AG175" s="18" t="n">
        <x:f>IF(ISNUMBER('原始输入与口径'!T177),'原始输入与口径'!T177,"缺失")</x:f>
        <x:v>200</x:v>
      </x:c>
      <x:c r="AH175" s="18" t="n">
        <x:f>IF(ISNUMBER('原始输入与口径'!Y177),'原始输入与口径'!Y177,"缺失")</x:f>
        <x:v>200</x:v>
      </x:c>
      <x:c r="AI175" s="18" t="n">
        <x:f>IF(ISNUMBER('原始输入与口径'!AI177),'原始输入与口径'!AI177,"缺失")</x:f>
        <x:v>2.784</x:v>
      </x:c>
      <x:c r="AJ175" s="18" t="n">
        <x:f>IF(ISNUMBER('原始输入与口径'!AL177),'原始输入与口径'!AL177,"缺失")</x:f>
        <x:v>0.946</x:v>
      </x:c>
      <x:c r="AK175" s="18" t="str">
        <x:f>IF(ISNUMBER('原始输入与口径'!O177),'原始输入与口径'!O177,"缺失")</x:f>
        <x:v>缺失</x:v>
      </x:c>
      <x:c r="AL175" s="18" t="n">
        <x:f>SUMIFS('相位SOC复算'!$N$7:$N$443,'相位SOC复算'!$S$7:$S$443,169)</x:f>
        <x:v>0.07405495169082126</x:v>
      </x:c>
      <x:c r="AM175" s="18" t="n">
        <x:f>SUMIFS('相位SOC复算'!$Q$7:$Q$443,'相位SOC复算'!$S$7:$S$443,169)</x:f>
        <x:v>0</x:v>
      </x:c>
      <x:c r="AN175" s="18" t="n">
        <x:f>SUMIFS('相位SOC复算'!$R$7:$R$443,'相位SOC复算'!$S$7:$S$443,169)</x:f>
        <x:v>24.527</x:v>
      </x:c>
      <x:c r="AO175" s="18" t="n">
        <x:f>'相位SOC复算'!J394</x:f>
        <x:v>84.9170238260865</x:v>
      </x:c>
      <x:c r="AP175" s="18" t="n">
        <x:f>AO175-J175</x:f>
        <x:v>0</x:v>
      </x:c>
      <x:c r="AQ175" s="18" t="n">
        <x:f>IF(ISBLANK('原始输入与口径'!M177),"",'原始输入与口径'!M177)</x:f>
        <x:v>4.9741</x:v>
      </x:c>
      <x:c r="AR175" s="21" t="n">
        <x:f>IF(ISBLANK('原始输入与口径'!L177),"",'原始输入与口径'!L177)</x:f>
        <x:v>45657</x:v>
      </x:c>
      <x:c r="AS175" s="17" t="n">
        <x:f>IF(ISBLANK('原始输入与口径'!A177),"",'原始输入与口径'!A177)</x:f>
        <x:v>45659.666666666664</x:v>
      </x:c>
      <x:c r="AT175" s="18" t="str">
        <x:f>IF(ISBLANK('原始输入与口径'!I177),"",'原始输入与口径'!I177)</x:f>
        <x:v>2025-01-02_18</x:v>
      </x:c>
      <x:c r="AU175" s="19" t="n">
        <x:f>IF(ISBLANK('原始输入与口径'!J177),"",'原始输入与口径'!J177)</x:f>
        <x:v>60</x:v>
      </x:c>
      <x:c r="AV175" s="18" t="str">
        <x:f>IF(ISBLANK('原始输入与口径'!BB177),"",'原始输入与口径'!BB177)</x:f>
        <x:v>OK</x:v>
      </x:c>
    </x:row>
    <x:row r="176" ht="21" customHeight="1">
      <x:c r="A176" s="17" t="n">
        <x:f>45659.760416666664</x:f>
        <x:v>45659.760416666664</x:v>
      </x:c>
      <x:c r="B176" s="23" t="n">
        <x:f>IF(ISNUMBER('原始输入与口径'!H178),'原始输入与口径'!H178,"缺失")</x:f>
        <x:v>170</x:v>
      </x:c>
      <x:c r="C176" s="23" t="str">
        <x:f>IF(ISNUMBER('原始输入与口径'!R178),'原始输入与口径'!R178,"缺失")</x:f>
        <x:v>缺失</x:v>
      </x:c>
      <x:c r="D176" s="23" t="n">
        <x:f>IF(ISNUMBER('原始输入与口径'!W178),'原始输入与口径'!W178,"缺失")</x:f>
        <x:v>13.831647936310086</x:v>
      </x:c>
      <x:c r="E176" s="23" t="n">
        <x:f>IF(ISNUMBER('原始输入与口径'!AB178),'原始输入与口径'!AB178,"缺失")</x:f>
        <x:v>14.676021792887155</x:v>
      </x:c>
      <x:c r="F176" s="23" t="n">
        <x:f>IF(ISNUMBER('原始输入与口径'!AG178),'原始输入与口径'!AG178,"缺失")</x:f>
        <x:v>0</x:v>
      </x:c>
      <x:c r="G176" s="23" t="n">
        <x:f>IF(ISNUMBER('原始输入与口径'!AJ178),'原始输入与口径'!AJ178,"缺失")</x:f>
        <x:v>16.856114674011376</x:v>
      </x:c>
      <x:c r="H176" s="23" t="str">
        <x:f>"未模拟"</x:f>
        <x:v>未模拟</x:v>
      </x:c>
      <x:c r="I176" s="24" t="n">
        <x:f>'原始输入与口径'!BD178</x:f>
        <x:v>84.9170238260865</x:v>
      </x:c>
      <x:c r="J176" s="24" t="n">
        <x:f>'原始输入与口径'!BE178</x:f>
        <x:v>63.20452382608651</x:v>
      </x:c>
      <x:c r="K176" s="24" t="n">
        <x:f>'原始输入与口径'!BF178</x:f>
        <x:v>100</x:v>
      </x:c>
      <x:c r="L176" s="24" t="n">
        <x:f>'原始输入与口径'!BG178</x:f>
        <x:v>0</x:v>
      </x:c>
      <x:c r="M176" s="24" t="n">
        <x:f>'原始输入与口径'!BH178</x:f>
        <x:v>0</x:v>
      </x:c>
      <x:c r="N176" s="24" t="n">
        <x:f>'原始输入与口径'!BI178</x:f>
        <x:v>100</x:v>
      </x:c>
      <x:c r="O176" s="24" t="n">
        <x:f>M176*AE176*AC176</x:f>
        <x:v>0</x:v>
      </x:c>
      <x:c r="P176" s="24" t="n">
        <x:f>N176*AF176*AC176</x:f>
        <x:v>5.0245</x:v>
      </x:c>
      <x:c r="Q176" s="25" t="n">
        <x:f>IF(K176=0,0,IF(ISNUMBER(B176),K176*AC176*B176,NA()))</x:f>
        <x:v>4250</x:v>
      </x:c>
      <x:c r="R176" s="25" t="n">
        <x:f>IF(L176=0,0,IF(ISNUMBER(C176),L176*AC176*C176*AD176,NA()))</x:f>
        <x:v>0</x:v>
      </x:c>
      <x:c r="S176" s="25" t="n">
        <x:f>IF(M176=0,0,IF(ISNUMBER(D176),M176*AC176*D176*AD176,NA()))</x:f>
        <x:v>0</x:v>
      </x:c>
      <x:c r="T176" s="25" t="n">
        <x:f>IF(N176=0,0,IF(ISNUMBER(E176),N176*AC176*E176*AD176,NA()))</x:f>
        <x:v>366.90054482217886</x:v>
      </x:c>
      <x:c r="U176" s="25" t="n">
        <x:f>IF(O176=0,0,IF(ISNUMBER(F176),O176*F176,NA()))</x:f>
        <x:v>0</x:v>
      </x:c>
      <x:c r="V176" s="25" t="n">
        <x:f>IF(P176=0,0,IF(ISNUMBER(G176),-P176*G176,NA()))</x:f>
        <x:v>-84.69354817957016</x:v>
      </x:c>
      <x:c r="W176" s="25" t="n">
        <x:f>SUM(Q176:V176)</x:f>
        <x:v>4532.206996642609</x:v>
      </x:c>
      <x:c r="X176" s="18" t="n">
        <x:f>'原始输入与口径'!BR178</x:f>
        <x:v>4532.206996642609</x:v>
      </x:c>
      <x:c r="Y176" s="18" t="n">
        <x:f>W176-X176</x:f>
        <x:v>0</x:v>
      </x:c>
      <x:c r="Z176" s="18" t="str">
        <x:f>"1月2日计划｜本窗新增"</x:f>
        <x:v>1月2日计划｜本窗新增</x:v>
      </x:c>
      <x:c r="AA176" s="19" t="n">
        <x:f>IF('原始输入与口径'!AW178,1,0)</x:f>
        <x:v>1</x:v>
      </x:c>
      <x:c r="AB176" s="19" t="n">
        <x:f>IF('原始输入与口径'!AY178,1,0)</x:f>
        <x:v>0</x:v>
      </x:c>
      <x:c r="AC176" s="18" t="n">
        <x:f>'原始输入与口径'!E178</x:f>
        <x:v>0.25</x:v>
      </x:c>
      <x:c r="AD176" s="20" t="n">
        <x:f>'原始输入与口径'!$F$5</x:f>
        <x:v>1</x:v>
      </x:c>
      <x:c r="AE176" s="20" t="n">
        <x:f>IF(AA176=0,0,AI176/(AG176*AC176))</x:f>
        <x:v>0</x:v>
      </x:c>
      <x:c r="AF176" s="20" t="n">
        <x:f>IF(AA176=0,0,AJ176/(AH176*AC176))</x:f>
        <x:v>0.20098</x:v>
      </x:c>
      <x:c r="AG176" s="18" t="n">
        <x:f>IF(ISNUMBER('原始输入与口径'!T178),'原始输入与口径'!T178,"缺失")</x:f>
        <x:v>200</x:v>
      </x:c>
      <x:c r="AH176" s="18" t="n">
        <x:f>IF(ISNUMBER('原始输入与口径'!Y178),'原始输入与口径'!Y178,"缺失")</x:f>
        <x:v>200</x:v>
      </x:c>
      <x:c r="AI176" s="18" t="n">
        <x:f>IF(ISNUMBER('原始输入与口径'!AI178),'原始输入与口径'!AI178,"缺失")</x:f>
        <x:v>0</x:v>
      </x:c>
      <x:c r="AJ176" s="18" t="n">
        <x:f>IF(ISNUMBER('原始输入与口径'!AL178),'原始输入与口径'!AL178,"缺失")</x:f>
        <x:v>10.049</x:v>
      </x:c>
      <x:c r="AK176" s="18" t="str">
        <x:f>IF(ISNUMBER('原始输入与口径'!O178),'原始输入与口径'!O178,"缺失")</x:f>
        <x:v>缺失</x:v>
      </x:c>
      <x:c r="AL176" s="18" t="n">
        <x:f>SUMIFS('相位SOC复算'!$N$7:$N$443,'相位SOC复算'!$S$7:$S$443,170)</x:f>
        <x:v>0.0603125</x:v>
      </x:c>
      <x:c r="AM176" s="18" t="n">
        <x:f>SUMIFS('相位SOC复算'!$Q$7:$Q$443,'相位SOC复算'!$S$7:$S$443,170)</x:f>
        <x:v>0</x:v>
      </x:c>
      <x:c r="AN176" s="18" t="n">
        <x:f>SUMIFS('相位SOC复算'!$R$7:$R$443,'相位SOC复算'!$S$7:$S$443,170)</x:f>
        <x:v>19.9755</x:v>
      </x:c>
      <x:c r="AO176" s="18" t="n">
        <x:f>'相位SOC复算'!J396</x:f>
        <x:v>63.20452382608651</x:v>
      </x:c>
      <x:c r="AP176" s="18" t="n">
        <x:f>AO176-J176</x:f>
        <x:v>0</x:v>
      </x:c>
      <x:c r="AQ176" s="18" t="n">
        <x:f>IF(ISBLANK('原始输入与口径'!M178),"",'原始输入与口径'!M178)</x:f>
        <x:v>4.9741</x:v>
      </x:c>
      <x:c r="AR176" s="21" t="n">
        <x:f>IF(ISBLANK('原始输入与口径'!L178),"",'原始输入与口径'!L178)</x:f>
        <x:v>45657</x:v>
      </x:c>
      <x:c r="AS176" s="17" t="n">
        <x:f>IF(ISBLANK('原始输入与口径'!A178),"",'原始输入与口径'!A178)</x:f>
        <x:v>45659.677083333336</x:v>
      </x:c>
      <x:c r="AT176" s="18" t="str">
        <x:f>IF(ISBLANK('原始输入与口径'!I178),"",'原始输入与口径'!I178)</x:f>
        <x:v>2025-01-02_18</x:v>
      </x:c>
      <x:c r="AU176" s="19" t="n">
        <x:f>IF(ISBLANK('原始输入与口径'!J178),"",'原始输入与口径'!J178)</x:f>
        <x:v>60</x:v>
      </x:c>
      <x:c r="AV176" s="18" t="str">
        <x:f>IF(ISBLANK('原始输入与口径'!BB178),"",'原始输入与口径'!BB178)</x:f>
        <x:v>OK</x:v>
      </x:c>
    </x:row>
    <x:row r="177" ht="21" customHeight="1">
      <x:c r="A177" s="17" t="n">
        <x:f>45659.770833333336</x:f>
        <x:v>45659.770833333336</x:v>
      </x:c>
      <x:c r="B177" s="23" t="n">
        <x:f>IF(ISNUMBER('原始输入与口径'!H179),'原始输入与口径'!H179,"缺失")</x:f>
        <x:v>170</x:v>
      </x:c>
      <x:c r="C177" s="23" t="str">
        <x:f>IF(ISNUMBER('原始输入与口径'!R179),'原始输入与口径'!R179,"缺失")</x:f>
        <x:v>缺失</x:v>
      </x:c>
      <x:c r="D177" s="23" t="n">
        <x:f>IF(ISNUMBER('原始输入与口径'!W179),'原始输入与口径'!W179,"缺失")</x:f>
        <x:v>13.831647936310086</x:v>
      </x:c>
      <x:c r="E177" s="23" t="n">
        <x:f>IF(ISNUMBER('原始输入与口径'!AB179),'原始输入与口径'!AB179,"缺失")</x:f>
        <x:v>14.676021792887155</x:v>
      </x:c>
      <x:c r="F177" s="23" t="n">
        <x:f>IF(ISNUMBER('原始输入与口径'!AG179),'原始输入与口径'!AG179,"缺失")</x:f>
        <x:v>0</x:v>
      </x:c>
      <x:c r="G177" s="23" t="n">
        <x:f>IF(ISNUMBER('原始输入与口径'!AJ179),'原始输入与口径'!AJ179,"缺失")</x:f>
        <x:v>22.3956092559458</x:v>
      </x:c>
      <x:c r="H177" s="23" t="str">
        <x:f>"未模拟"</x:f>
        <x:v>未模拟</x:v>
      </x:c>
      <x:c r="I177" s="24" t="n">
        <x:f>'原始输入与口径'!BD179</x:f>
        <x:v>63.20452382608651</x:v>
      </x:c>
      <x:c r="J177" s="24" t="n">
        <x:f>'原始输入与口径'!BE179</x:f>
        <x:v>38.505610782608244</x:v>
      </x:c>
      <x:c r="K177" s="24" t="n">
        <x:f>'原始输入与口径'!BF179</x:f>
        <x:v>100</x:v>
      </x:c>
      <x:c r="L177" s="24" t="n">
        <x:f>'原始输入与口径'!BG179</x:f>
        <x:v>0</x:v>
      </x:c>
      <x:c r="M177" s="24" t="n">
        <x:f>'原始输入与口径'!BH179</x:f>
        <x:v>0</x:v>
      </x:c>
      <x:c r="N177" s="24" t="n">
        <x:f>'原始输入与口径'!BI179</x:f>
        <x:v>100</x:v>
      </x:c>
      <x:c r="O177" s="24" t="n">
        <x:f>M177*AE177*AC177</x:f>
        <x:v>0</x:v>
      </x:c>
      <x:c r="P177" s="24" t="n">
        <x:f>N177*AF177*AC177</x:f>
        <x:v>2.277</x:v>
      </x:c>
      <x:c r="Q177" s="25" t="n">
        <x:f>IF(K177=0,0,IF(ISNUMBER(B177),K177*AC177*B177,NA()))</x:f>
        <x:v>4250</x:v>
      </x:c>
      <x:c r="R177" s="25" t="n">
        <x:f>IF(L177=0,0,IF(ISNUMBER(C177),L177*AC177*C177*AD177,NA()))</x:f>
        <x:v>0</x:v>
      </x:c>
      <x:c r="S177" s="25" t="n">
        <x:f>IF(M177=0,0,IF(ISNUMBER(D177),M177*AC177*D177*AD177,NA()))</x:f>
        <x:v>0</x:v>
      </x:c>
      <x:c r="T177" s="25" t="n">
        <x:f>IF(N177=0,0,IF(ISNUMBER(E177),N177*AC177*E177*AD177,NA()))</x:f>
        <x:v>366.90054482217886</x:v>
      </x:c>
      <x:c r="U177" s="25" t="n">
        <x:f>IF(O177=0,0,IF(ISNUMBER(F177),O177*F177,NA()))</x:f>
        <x:v>0</x:v>
      </x:c>
      <x:c r="V177" s="25" t="n">
        <x:f>IF(P177=0,0,IF(ISNUMBER(G177),-P177*G177,NA()))</x:f>
        <x:v>-50.99480227578859</x:v>
      </x:c>
      <x:c r="W177" s="25" t="n">
        <x:f>SUM(Q177:V177)</x:f>
        <x:v>4565.90574254639</x:v>
      </x:c>
      <x:c r="X177" s="18" t="n">
        <x:f>'原始输入与口径'!BR179</x:f>
        <x:v>4565.905742546391</x:v>
      </x:c>
      <x:c r="Y177" s="18" t="n">
        <x:f>W177-X177</x:f>
        <x:v>-9.094947017729282e-13</x:v>
      </x:c>
      <x:c r="Z177" s="18" t="str">
        <x:f>"1月2日计划｜本窗新增"</x:f>
        <x:v>1月2日计划｜本窗新增</x:v>
      </x:c>
      <x:c r="AA177" s="19" t="n">
        <x:f>IF('原始输入与口径'!AW179,1,0)</x:f>
        <x:v>1</x:v>
      </x:c>
      <x:c r="AB177" s="19" t="n">
        <x:f>IF('原始输入与口径'!AY179,1,0)</x:f>
        <x:v>0</x:v>
      </x:c>
      <x:c r="AC177" s="18" t="n">
        <x:f>'原始输入与口径'!E179</x:f>
        <x:v>0.25</x:v>
      </x:c>
      <x:c r="AD177" s="20" t="n">
        <x:f>'原始输入与口径'!$F$5</x:f>
        <x:v>1</x:v>
      </x:c>
      <x:c r="AE177" s="20" t="n">
        <x:f>IF(AA177=0,0,AI177/(AG177*AC177))</x:f>
        <x:v>0</x:v>
      </x:c>
      <x:c r="AF177" s="20" t="n">
        <x:f>IF(AA177=0,0,AJ177/(AH177*AC177))</x:f>
        <x:v>0.09108000000000001</x:v>
      </x:c>
      <x:c r="AG177" s="18" t="n">
        <x:f>IF(ISNUMBER('原始输入与口径'!T179),'原始输入与口径'!T179,"缺失")</x:f>
        <x:v>200</x:v>
      </x:c>
      <x:c r="AH177" s="18" t="n">
        <x:f>IF(ISNUMBER('原始输入与口径'!Y179),'原始输入与口径'!Y179,"缺失")</x:f>
        <x:v>200</x:v>
      </x:c>
      <x:c r="AI177" s="18" t="n">
        <x:f>IF(ISNUMBER('原始输入与口径'!AI179),'原始输入与口径'!AI179,"缺失")</x:f>
        <x:v>0</x:v>
      </x:c>
      <x:c r="AJ177" s="18" t="n">
        <x:f>IF(ISNUMBER('原始输入与口径'!AL179),'原始输入与口径'!AL179,"缺失")</x:f>
        <x:v>4.554</x:v>
      </x:c>
      <x:c r="AK177" s="18" t="str">
        <x:f>IF(ISNUMBER('原始输入与口径'!O179),'原始输入与口径'!O179,"缺失")</x:f>
        <x:v>缺失</x:v>
      </x:c>
      <x:c r="AL177" s="18" t="n">
        <x:f>SUMIFS('相位SOC复算'!$N$7:$N$443,'相位SOC复算'!$S$7:$S$443,171)</x:f>
        <x:v>0.0686080917874396</x:v>
      </x:c>
      <x:c r="AM177" s="18" t="n">
        <x:f>SUMIFS('相位SOC复算'!$Q$7:$Q$443,'相位SOC复算'!$S$7:$S$443,171)</x:f>
        <x:v>0</x:v>
      </x:c>
      <x:c r="AN177" s="18" t="n">
        <x:f>SUMIFS('相位SOC复算'!$R$7:$R$443,'相位SOC复算'!$S$7:$S$443,171)</x:f>
        <x:v>22.723</x:v>
      </x:c>
      <x:c r="AO177" s="18" t="n">
        <x:f>'相位SOC复算'!J398</x:f>
        <x:v>38.50561078260825</x:v>
      </x:c>
      <x:c r="AP177" s="18" t="n">
        <x:f>AO177-J177</x:f>
        <x:v>7.105427357601002e-15</x:v>
      </x:c>
      <x:c r="AQ177" s="18" t="n">
        <x:f>IF(ISBLANK('原始输入与口径'!M179),"",'原始输入与口径'!M179)</x:f>
        <x:v>4.9741</x:v>
      </x:c>
      <x:c r="AR177" s="21" t="n">
        <x:f>IF(ISBLANK('原始输入与口径'!L179),"",'原始输入与口径'!L179)</x:f>
        <x:v>45657</x:v>
      </x:c>
      <x:c r="AS177" s="17" t="n">
        <x:f>IF(ISBLANK('原始输入与口径'!A179),"",'原始输入与口径'!A179)</x:f>
        <x:v>45659.6875</x:v>
      </x:c>
      <x:c r="AT177" s="18" t="str">
        <x:f>IF(ISBLANK('原始输入与口径'!I179),"",'原始输入与口径'!I179)</x:f>
        <x:v>2025-01-02_18</x:v>
      </x:c>
      <x:c r="AU177" s="19" t="n">
        <x:f>IF(ISBLANK('原始输入与口径'!J179),"",'原始输入与口径'!J179)</x:f>
        <x:v>60</x:v>
      </x:c>
      <x:c r="AV177" s="18" t="str">
        <x:f>IF(ISBLANK('原始输入与口径'!BB179),"",'原始输入与口径'!BB179)</x:f>
        <x:v>OK</x:v>
      </x:c>
    </x:row>
    <x:row r="178" ht="21" customHeight="1">
      <x:c r="A178" s="17" t="n">
        <x:f>45659.78125</x:f>
        <x:v>45659.78125</x:v>
      </x:c>
      <x:c r="B178" s="23" t="n">
        <x:f>IF(ISNUMBER('原始输入与口径'!H180),'原始输入与口径'!H180,"缺失")</x:f>
        <x:v>170</x:v>
      </x:c>
      <x:c r="C178" s="23" t="str">
        <x:f>IF(ISNUMBER('原始输入与口径'!R180),'原始输入与口径'!R180,"缺失")</x:f>
        <x:v>缺失</x:v>
      </x:c>
      <x:c r="D178" s="23" t="n">
        <x:f>IF(ISNUMBER('原始输入与口径'!W180),'原始输入与口径'!W180,"缺失")</x:f>
        <x:v>13.831647936310086</x:v>
      </x:c>
      <x:c r="E178" s="23" t="n">
        <x:f>IF(ISNUMBER('原始输入与口径'!AB180),'原始输入与口径'!AB180,"缺失")</x:f>
        <x:v>14.676021792887155</x:v>
      </x:c>
      <x:c r="F178" s="23" t="n">
        <x:f>IF(ISNUMBER('原始输入与口径'!AG180),'原始输入与口径'!AG180,"缺失")</x:f>
        <x:v>0</x:v>
      </x:c>
      <x:c r="G178" s="23" t="n">
        <x:f>IF(ISNUMBER('原始输入与口径'!AJ180),'原始输入与口径'!AJ180,"缺失")</x:f>
        <x:v>53.934380088860294</x:v>
      </x:c>
      <x:c r="H178" s="23" t="str">
        <x:f>"未模拟"</x:f>
        <x:v>未模拟</x:v>
      </x:c>
      <x:c r="I178" s="24" t="n">
        <x:f>'原始输入与口径'!BD180</x:f>
        <x:v>38.505610782608244</x:v>
      </x:c>
      <x:c r="J178" s="24" t="n">
        <x:f>'原始输入与口径'!BE180</x:f>
        <x:v>12.175719478260419</x:v>
      </x:c>
      <x:c r="K178" s="24" t="n">
        <x:f>'原始输入与口径'!BF180</x:f>
        <x:v>100</x:v>
      </x:c>
      <x:c r="L178" s="24" t="n">
        <x:f>'原始输入与口径'!BG180</x:f>
        <x:v>0</x:v>
      </x:c>
      <x:c r="M178" s="24" t="n">
        <x:f>'原始输入与口径'!BH180</x:f>
        <x:v>0</x:v>
      </x:c>
      <x:c r="N178" s="24" t="n">
        <x:f>'原始输入与口径'!BI180</x:f>
        <x:v>100</x:v>
      </x:c>
      <x:c r="O178" s="24" t="n">
        <x:f>M178*AE178*AC178</x:f>
        <x:v>0</x:v>
      </x:c>
      <x:c r="P178" s="24" t="n">
        <x:f>N178*AF178*AC178</x:f>
        <x:v>0.7765</x:v>
      </x:c>
      <x:c r="Q178" s="25" t="n">
        <x:f>IF(K178=0,0,IF(ISNUMBER(B178),K178*AC178*B178,NA()))</x:f>
        <x:v>4250</x:v>
      </x:c>
      <x:c r="R178" s="25" t="n">
        <x:f>IF(L178=0,0,IF(ISNUMBER(C178),L178*AC178*C178*AD178,NA()))</x:f>
        <x:v>0</x:v>
      </x:c>
      <x:c r="S178" s="25" t="n">
        <x:f>IF(M178=0,0,IF(ISNUMBER(D178),M178*AC178*D178*AD178,NA()))</x:f>
        <x:v>0</x:v>
      </x:c>
      <x:c r="T178" s="25" t="n">
        <x:f>IF(N178=0,0,IF(ISNUMBER(E178),N178*AC178*E178*AD178,NA()))</x:f>
        <x:v>366.90054482217886</x:v>
      </x:c>
      <x:c r="U178" s="25" t="n">
        <x:f>IF(O178=0,0,IF(ISNUMBER(F178),O178*F178,NA()))</x:f>
        <x:v>0</x:v>
      </x:c>
      <x:c r="V178" s="25" t="n">
        <x:f>IF(P178=0,0,IF(ISNUMBER(G178),-P178*G178,NA()))</x:f>
        <x:v>-41.880046139000015</x:v>
      </x:c>
      <x:c r="W178" s="25" t="n">
        <x:f>SUM(Q178:V178)</x:f>
        <x:v>4575.020498683179</x:v>
      </x:c>
      <x:c r="X178" s="18" t="n">
        <x:f>'原始输入与口径'!BR180</x:f>
        <x:v>4575.020498683179</x:v>
      </x:c>
      <x:c r="Y178" s="18" t="n">
        <x:f>W178-X178</x:f>
        <x:v>0</x:v>
      </x:c>
      <x:c r="Z178" s="18" t="str">
        <x:f>"1月2日计划｜本窗新增"</x:f>
        <x:v>1月2日计划｜本窗新增</x:v>
      </x:c>
      <x:c r="AA178" s="19" t="n">
        <x:f>IF('原始输入与口径'!AW180,1,0)</x:f>
        <x:v>1</x:v>
      </x:c>
      <x:c r="AB178" s="19" t="n">
        <x:f>IF('原始输入与口径'!AY180,1,0)</x:f>
        <x:v>0</x:v>
      </x:c>
      <x:c r="AC178" s="18" t="n">
        <x:f>'原始输入与口径'!E180</x:f>
        <x:v>0.25</x:v>
      </x:c>
      <x:c r="AD178" s="20" t="n">
        <x:f>'原始输入与口径'!$F$5</x:f>
        <x:v>1</x:v>
      </x:c>
      <x:c r="AE178" s="20" t="n">
        <x:f>IF(AA178=0,0,AI178/(AG178*AC178))</x:f>
        <x:v>0</x:v>
      </x:c>
      <x:c r="AF178" s="20" t="n">
        <x:f>IF(AA178=0,0,AJ178/(AH178*AC178))</x:f>
        <x:v>0.031059999999999997</x:v>
      </x:c>
      <x:c r="AG178" s="18" t="n">
        <x:f>IF(ISNUMBER('原始输入与口径'!T180),'原始输入与口径'!T180,"缺失")</x:f>
        <x:v>200</x:v>
      </x:c>
      <x:c r="AH178" s="18" t="n">
        <x:f>IF(ISNUMBER('原始输入与口径'!Y180),'原始输入与口径'!Y180,"缺失")</x:f>
        <x:v>200</x:v>
      </x:c>
      <x:c r="AI178" s="18" t="n">
        <x:f>IF(ISNUMBER('原始输入与口径'!AI180),'原始输入与口径'!AI180,"缺失")</x:f>
        <x:v>0</x:v>
      </x:c>
      <x:c r="AJ178" s="18" t="n">
        <x:f>IF(ISNUMBER('原始输入与口径'!AL180),'原始输入与口径'!AL180,"缺失")</x:f>
        <x:v>1.553</x:v>
      </x:c>
      <x:c r="AK178" s="18" t="str">
        <x:f>IF(ISNUMBER('原始输入与口径'!O180),'原始输入与口径'!O180,"缺失")</x:f>
        <x:v>缺失</x:v>
      </x:c>
      <x:c r="AL178" s="18" t="n">
        <x:f>SUMIFS('相位SOC复算'!$N$7:$N$443,'相位SOC复算'!$S$7:$S$443,172)</x:f>
        <x:v>0.07313858695652174</x:v>
      </x:c>
      <x:c r="AM178" s="18" t="n">
        <x:f>SUMIFS('相位SOC复算'!$Q$7:$Q$443,'相位SOC复算'!$S$7:$S$443,172)</x:f>
        <x:v>0</x:v>
      </x:c>
      <x:c r="AN178" s="18" t="n">
        <x:f>SUMIFS('相位SOC复算'!$R$7:$R$443,'相位SOC复算'!$S$7:$S$443,172)</x:f>
        <x:v>24.2235</x:v>
      </x:c>
      <x:c r="AO178" s="18" t="n">
        <x:f>'相位SOC复算'!J400</x:f>
        <x:v>12.175719478260426</x:v>
      </x:c>
      <x:c r="AP178" s="18" t="n">
        <x:f>AO178-J178</x:f>
        <x:v>7.105427357601002e-15</x:v>
      </x:c>
      <x:c r="AQ178" s="18" t="n">
        <x:f>IF(ISBLANK('原始输入与口径'!M180),"",'原始输入与口径'!M180)</x:f>
        <x:v>4.9741</x:v>
      </x:c>
      <x:c r="AR178" s="21" t="n">
        <x:f>IF(ISBLANK('原始输入与口径'!L180),"",'原始输入与口径'!L180)</x:f>
        <x:v>45657</x:v>
      </x:c>
      <x:c r="AS178" s="17" t="n">
        <x:f>IF(ISBLANK('原始输入与口径'!A180),"",'原始输入与口径'!A180)</x:f>
        <x:v>45659.697916666664</x:v>
      </x:c>
      <x:c r="AT178" s="18" t="str">
        <x:f>IF(ISBLANK('原始输入与口径'!I180),"",'原始输入与口径'!I180)</x:f>
        <x:v>2025-01-02_18</x:v>
      </x:c>
      <x:c r="AU178" s="19" t="n">
        <x:f>IF(ISBLANK('原始输入与口径'!J180),"",'原始输入与口径'!J180)</x:f>
        <x:v>60</x:v>
      </x:c>
      <x:c r="AV178" s="18" t="str">
        <x:f>IF(ISBLANK('原始输入与口径'!BB180),"",'原始输入与口径'!BB180)</x:f>
        <x:v>OK</x:v>
      </x:c>
    </x:row>
    <x:row r="179" ht="21" customHeight="1">
      <x:c r="A179" s="17" t="n">
        <x:f>45659.791666666664</x:f>
        <x:v>45659.791666666664</x:v>
      </x:c>
      <x:c r="B179" s="23" t="n">
        <x:f>IF(ISNUMBER('原始输入与口径'!H181),'原始输入与口径'!H181,"缺失")</x:f>
        <x:v>159.64</x:v>
      </x:c>
      <x:c r="C179" s="23" t="str">
        <x:f>IF(ISNUMBER('原始输入与口径'!R181),'原始输入与口径'!R181,"缺失")</x:f>
        <x:v>缺失</x:v>
      </x:c>
      <x:c r="D179" s="23" t="n">
        <x:f>IF(ISNUMBER('原始输入与口径'!W181),'原始输入与口径'!W181,"缺失")</x:f>
        <x:v>13.831647936310086</x:v>
      </x:c>
      <x:c r="E179" s="23" t="n">
        <x:f>IF(ISNUMBER('原始输入与口径'!AB181),'原始输入与口径'!AB181,"缺失")</x:f>
        <x:v>14.676021792887155</x:v>
      </x:c>
      <x:c r="F179" s="23" t="n">
        <x:f>IF(ISNUMBER('原始输入与口径'!AG181),'原始输入与口径'!AG181,"缺失")</x:f>
        <x:v>0</x:v>
      </x:c>
      <x:c r="G179" s="23" t="n">
        <x:f>IF(ISNUMBER('原始输入与口径'!AJ181),'原始输入与口径'!AJ181,"缺失")</x:f>
        <x:v>-479.45879656621304</x:v>
      </x:c>
      <x:c r="H179" s="23" t="str">
        <x:f>"未模拟"</x:f>
        <x:v>未模拟</x:v>
      </x:c>
      <x:c r="I179" s="24" t="n">
        <x:f>'原始输入与口径'!BD181</x:f>
        <x:v>12.175719478260419</x:v>
      </x:c>
      <x:c r="J179" s="24" t="n">
        <x:f>'原始输入与口径'!BE181</x:f>
        <x:v>24.687259478260422</x:v>
      </x:c>
      <x:c r="K179" s="24" t="n">
        <x:f>'原始输入与口径'!BF181</x:f>
        <x:v>0</x:v>
      </x:c>
      <x:c r="L179" s="24" t="n">
        <x:f>'原始输入与口径'!BG181</x:f>
        <x:v>0</x:v>
      </x:c>
      <x:c r="M179" s="24" t="n">
        <x:f>'原始输入与口径'!BH181</x:f>
        <x:v>100</x:v>
      </x:c>
      <x:c r="N179" s="24" t="n">
        <x:f>'原始输入与口径'!BI181</x:f>
        <x:v>100</x:v>
      </x:c>
      <x:c r="O179" s="24" t="n">
        <x:f>M179*AE179*AC179</x:f>
        <x:v>0</x:v>
      </x:c>
      <x:c r="P179" s="24" t="n">
        <x:f>N179*AF179*AC179</x:f>
        <x:v>13.5995</x:v>
      </x:c>
      <x:c r="Q179" s="25" t="n">
        <x:f>IF(K179=0,0,IF(ISNUMBER(B179),K179*AC179*B179,NA()))</x:f>
        <x:v>0</x:v>
      </x:c>
      <x:c r="R179" s="25" t="n">
        <x:f>IF(L179=0,0,IF(ISNUMBER(C179),L179*AC179*C179*AD179,NA()))</x:f>
        <x:v>0</x:v>
      </x:c>
      <x:c r="S179" s="25" t="n">
        <x:f>IF(M179=0,0,IF(ISNUMBER(D179),M179*AC179*D179*AD179,NA()))</x:f>
        <x:v>345.7911984077521</x:v>
      </x:c>
      <x:c r="T179" s="25" t="n">
        <x:f>IF(N179=0,0,IF(ISNUMBER(E179),N179*AC179*E179*AD179,NA()))</x:f>
        <x:v>366.90054482217886</x:v>
      </x:c>
      <x:c r="U179" s="25" t="n">
        <x:f>IF(O179=0,0,IF(ISNUMBER(F179),O179*F179,NA()))</x:f>
        <x:v>0</x:v>
      </x:c>
      <x:c r="V179" s="25" t="n">
        <x:f>IF(P179=0,0,IF(ISNUMBER(G179),-P179*G179,NA()))</x:f>
        <x:v>6520.399903902215</x:v>
      </x:c>
      <x:c r="W179" s="25" t="n">
        <x:f>SUM(Q179:V179)</x:f>
        <x:v>7233.091647132145</x:v>
      </x:c>
      <x:c r="X179" s="18" t="n">
        <x:f>'原始输入与口径'!BR181</x:f>
        <x:v>7233.091647132145</x:v>
      </x:c>
      <x:c r="Y179" s="18" t="n">
        <x:f>W179-X179</x:f>
        <x:v>0</x:v>
      </x:c>
      <x:c r="Z179" s="18" t="str">
        <x:f>"1月2日计划｜本窗新增"</x:f>
        <x:v>1月2日计划｜本窗新增</x:v>
      </x:c>
      <x:c r="AA179" s="19" t="n">
        <x:f>IF('原始输入与口径'!AW181,1,0)</x:f>
        <x:v>1</x:v>
      </x:c>
      <x:c r="AB179" s="19" t="n">
        <x:f>IF('原始输入与口径'!AY181,1,0)</x:f>
        <x:v>0</x:v>
      </x:c>
      <x:c r="AC179" s="18" t="n">
        <x:f>'原始输入与口径'!E181</x:f>
        <x:v>0.25</x:v>
      </x:c>
      <x:c r="AD179" s="20" t="n">
        <x:f>'原始输入与口径'!$F$5</x:f>
        <x:v>1</x:v>
      </x:c>
      <x:c r="AE179" s="20" t="n">
        <x:f>IF(AA179=0,0,AI179/(AG179*AC179))</x:f>
        <x:v>0</x:v>
      </x:c>
      <x:c r="AF179" s="20" t="n">
        <x:f>IF(AA179=0,0,AJ179/(AH179*AC179))</x:f>
        <x:v>0.54398</x:v>
      </x:c>
      <x:c r="AG179" s="18" t="n">
        <x:f>IF(ISNUMBER('原始输入与口径'!T181),'原始输入与口径'!T181,"缺失")</x:f>
        <x:v>200</x:v>
      </x:c>
      <x:c r="AH179" s="18" t="n">
        <x:f>IF(ISNUMBER('原始输入与口径'!Y181),'原始输入与口径'!Y181,"缺失")</x:f>
        <x:v>200</x:v>
      </x:c>
      <x:c r="AI179" s="18" t="n">
        <x:f>IF(ISNUMBER('原始输入与口径'!AI181),'原始输入与口径'!AI181,"缺失")</x:f>
        <x:v>0</x:v>
      </x:c>
      <x:c r="AJ179" s="18" t="n">
        <x:f>IF(ISNUMBER('原始输入与口径'!AL181),'原始输入与口径'!AL181,"缺失")</x:f>
        <x:v>27.199</x:v>
      </x:c>
      <x:c r="AK179" s="18" t="str">
        <x:f>IF(ISNUMBER('原始输入与口径'!O181),'原始输入与口径'!O181,"缺失")</x:f>
        <x:v>缺失</x:v>
      </x:c>
      <x:c r="AL179" s="18" t="n">
        <x:f>SUMIFS('相位SOC复算'!$N$7:$N$443,'相位SOC复算'!$S$7:$S$443,173)</x:f>
        <x:v>0.03475427777777778</x:v>
      </x:c>
      <x:c r="AM179" s="18" t="n">
        <x:f>SUMIFS('相位SOC复算'!$Q$7:$Q$443,'相位SOC复算'!$S$7:$S$443,173)</x:f>
        <x:v>13.5995</x:v>
      </x:c>
      <x:c r="AN179" s="18" t="n">
        <x:f>SUMIFS('相位SOC复算'!$R$7:$R$443,'相位SOC复算'!$S$7:$S$443,173)</x:f>
        <x:v>0</x:v>
      </x:c>
      <x:c r="AO179" s="18" t="n">
        <x:f>'相位SOC复算'!J402</x:f>
        <x:v>24.687259478260426</x:v>
      </x:c>
      <x:c r="AP179" s="18" t="n">
        <x:f>AO179-J179</x:f>
        <x:v>3.552713678800501e-15</x:v>
      </x:c>
      <x:c r="AQ179" s="18" t="n">
        <x:f>IF(ISBLANK('原始输入与口径'!M181),"",'原始输入与口径'!M181)</x:f>
        <x:v>4.9741</x:v>
      </x:c>
      <x:c r="AR179" s="21" t="n">
        <x:f>IF(ISBLANK('原始输入与口径'!L181),"",'原始输入与口径'!L181)</x:f>
        <x:v>45657</x:v>
      </x:c>
      <x:c r="AS179" s="17" t="n">
        <x:f>IF(ISBLANK('原始输入与口径'!A181),"",'原始输入与口径'!A181)</x:f>
        <x:v>45659.708333333336</x:v>
      </x:c>
      <x:c r="AT179" s="18" t="str">
        <x:f>IF(ISBLANK('原始输入与口径'!I181),"",'原始输入与口径'!I181)</x:f>
        <x:v>2025-01-02_19</x:v>
      </x:c>
      <x:c r="AU179" s="19" t="n">
        <x:f>IF(ISBLANK('原始输入与口径'!J181),"",'原始输入与口径'!J181)</x:f>
        <x:v>60</x:v>
      </x:c>
      <x:c r="AV179" s="18" t="str">
        <x:f>IF(ISBLANK('原始输入与口径'!BB181),"",'原始输入与口径'!BB181)</x:f>
        <x:v>OK</x:v>
      </x:c>
    </x:row>
    <x:row r="180" ht="21" customHeight="1">
      <x:c r="A180" s="17" t="n">
        <x:f>45659.802083333336</x:f>
        <x:v>45659.802083333336</x:v>
      </x:c>
      <x:c r="B180" s="23" t="n">
        <x:f>IF(ISNUMBER('原始输入与口径'!H182),'原始输入与口径'!H182,"缺失")</x:f>
        <x:v>159.64</x:v>
      </x:c>
      <x:c r="C180" s="23" t="str">
        <x:f>IF(ISNUMBER('原始输入与口径'!R182),'原始输入与口径'!R182,"缺失")</x:f>
        <x:v>缺失</x:v>
      </x:c>
      <x:c r="D180" s="23" t="n">
        <x:f>IF(ISNUMBER('原始输入与口径'!W182),'原始输入与口径'!W182,"缺失")</x:f>
        <x:v>13.831647936310086</x:v>
      </x:c>
      <x:c r="E180" s="23" t="n">
        <x:f>IF(ISNUMBER('原始输入与口径'!AB182),'原始输入与口径'!AB182,"缺失")</x:f>
        <x:v>14.676021792887155</x:v>
      </x:c>
      <x:c r="F180" s="23" t="n">
        <x:f>IF(ISNUMBER('原始输入与口径'!AG182),'原始输入与口径'!AG182,"缺失")</x:f>
        <x:v>0</x:v>
      </x:c>
      <x:c r="G180" s="23" t="n">
        <x:f>IF(ISNUMBER('原始输入与口径'!AJ182),'原始输入与口径'!AJ182,"缺失")</x:f>
        <x:v>-162.58901107738083</x:v>
      </x:c>
      <x:c r="H180" s="23" t="str">
        <x:f>"未模拟"</x:f>
        <x:v>未模拟</x:v>
      </x:c>
      <x:c r="I180" s="24" t="n">
        <x:f>'原始输入与口径'!BD182</x:f>
        <x:v>24.687259478260422</x:v>
      </x:c>
      <x:c r="J180" s="24" t="n">
        <x:f>'原始输入与口径'!BE182</x:f>
        <x:v>30.175979478260423</x:v>
      </x:c>
      <x:c r="K180" s="24" t="n">
        <x:f>'原始输入与口径'!BF182</x:f>
        <x:v>0</x:v>
      </x:c>
      <x:c r="L180" s="24" t="n">
        <x:f>'原始输入与口径'!BG182</x:f>
        <x:v>0</x:v>
      </x:c>
      <x:c r="M180" s="24" t="n">
        <x:f>'原始输入与口径'!BH182</x:f>
        <x:v>100</x:v>
      </x:c>
      <x:c r="N180" s="24" t="n">
        <x:f>'原始输入与口径'!BI182</x:f>
        <x:v>100</x:v>
      </x:c>
      <x:c r="O180" s="24" t="n">
        <x:f>M180*AE180*AC180</x:f>
        <x:v>0</x:v>
      </x:c>
      <x:c r="P180" s="24" t="n">
        <x:f>N180*AF180*AC180</x:f>
        <x:v>5.966</x:v>
      </x:c>
      <x:c r="Q180" s="25" t="n">
        <x:f>IF(K180=0,0,IF(ISNUMBER(B180),K180*AC180*B180,NA()))</x:f>
        <x:v>0</x:v>
      </x:c>
      <x:c r="R180" s="25" t="n">
        <x:f>IF(L180=0,0,IF(ISNUMBER(C180),L180*AC180*C180*AD180,NA()))</x:f>
        <x:v>0</x:v>
      </x:c>
      <x:c r="S180" s="25" t="n">
        <x:f>IF(M180=0,0,IF(ISNUMBER(D180),M180*AC180*D180*AD180,NA()))</x:f>
        <x:v>345.7911984077521</x:v>
      </x:c>
      <x:c r="T180" s="25" t="n">
        <x:f>IF(N180=0,0,IF(ISNUMBER(E180),N180*AC180*E180*AD180,NA()))</x:f>
        <x:v>366.90054482217886</x:v>
      </x:c>
      <x:c r="U180" s="25" t="n">
        <x:f>IF(O180=0,0,IF(ISNUMBER(F180),O180*F180,NA()))</x:f>
        <x:v>0</x:v>
      </x:c>
      <x:c r="V180" s="25" t="n">
        <x:f>IF(P180=0,0,IF(ISNUMBER(G180),-P180*G180,NA()))</x:f>
        <x:v>970.0060400876541</x:v>
      </x:c>
      <x:c r="W180" s="25" t="n">
        <x:f>SUM(Q180:V180)</x:f>
        <x:v>1682.6977833175852</x:v>
      </x:c>
      <x:c r="X180" s="18" t="n">
        <x:f>'原始输入与口径'!BR182</x:f>
        <x:v>1682.6977833175852</x:v>
      </x:c>
      <x:c r="Y180" s="18" t="n">
        <x:f>W180-X180</x:f>
        <x:v>0</x:v>
      </x:c>
      <x:c r="Z180" s="18" t="str">
        <x:f>"1月2日计划｜本窗新增"</x:f>
        <x:v>1月2日计划｜本窗新增</x:v>
      </x:c>
      <x:c r="AA180" s="19" t="n">
        <x:f>IF('原始输入与口径'!AW182,1,0)</x:f>
        <x:v>1</x:v>
      </x:c>
      <x:c r="AB180" s="19" t="n">
        <x:f>IF('原始输入与口径'!AY182,1,0)</x:f>
        <x:v>0</x:v>
      </x:c>
      <x:c r="AC180" s="18" t="n">
        <x:f>'原始输入与口径'!E182</x:f>
        <x:v>0.25</x:v>
      </x:c>
      <x:c r="AD180" s="20" t="n">
        <x:f>'原始输入与口径'!$F$5</x:f>
        <x:v>1</x:v>
      </x:c>
      <x:c r="AE180" s="20" t="n">
        <x:f>IF(AA180=0,0,AI180/(AG180*AC180))</x:f>
        <x:v>0</x:v>
      </x:c>
      <x:c r="AF180" s="20" t="n">
        <x:f>IF(AA180=0,0,AJ180/(AH180*AC180))</x:f>
        <x:v>0.23864000000000002</x:v>
      </x:c>
      <x:c r="AG180" s="18" t="n">
        <x:f>IF(ISNUMBER('原始输入与口径'!T182),'原始输入与口径'!T182,"缺失")</x:f>
        <x:v>200</x:v>
      </x:c>
      <x:c r="AH180" s="18" t="n">
        <x:f>IF(ISNUMBER('原始输入与口径'!Y182),'原始输入与口径'!Y182,"缺失")</x:f>
        <x:v>200</x:v>
      </x:c>
      <x:c r="AI180" s="18" t="n">
        <x:f>IF(ISNUMBER('原始输入与口径'!AI182),'原始输入与口径'!AI182,"缺失")</x:f>
        <x:v>0</x:v>
      </x:c>
      <x:c r="AJ180" s="18" t="n">
        <x:f>IF(ISNUMBER('原始输入与口径'!AL182),'原始输入与口径'!AL182,"缺失")</x:f>
        <x:v>11.932</x:v>
      </x:c>
      <x:c r="AK180" s="18" t="str">
        <x:f>IF(ISNUMBER('原始输入与口径'!O182),'原始输入与口径'!O182,"缺失")</x:f>
        <x:v>缺失</x:v>
      </x:c>
      <x:c r="AL180" s="18" t="n">
        <x:f>SUMIFS('相位SOC复算'!$N$7:$N$443,'相位SOC复算'!$S$7:$S$443,174)</x:f>
        <x:v>0.015246444444444446</x:v>
      </x:c>
      <x:c r="AM180" s="18" t="n">
        <x:f>SUMIFS('相位SOC复算'!$Q$7:$Q$443,'相位SOC复算'!$S$7:$S$443,174)</x:f>
        <x:v>5.966</x:v>
      </x:c>
      <x:c r="AN180" s="18" t="n">
        <x:f>SUMIFS('相位SOC复算'!$R$7:$R$443,'相位SOC复算'!$S$7:$S$443,174)</x:f>
        <x:v>0</x:v>
      </x:c>
      <x:c r="AO180" s="18" t="n">
        <x:f>'相位SOC复算'!J404</x:f>
        <x:v>30.175979478260427</x:v>
      </x:c>
      <x:c r="AP180" s="18" t="n">
        <x:f>AO180-J180</x:f>
        <x:v>3.552713678800501e-15</x:v>
      </x:c>
      <x:c r="AQ180" s="18" t="n">
        <x:f>IF(ISBLANK('原始输入与口径'!M182),"",'原始输入与口径'!M182)</x:f>
        <x:v>4.9741</x:v>
      </x:c>
      <x:c r="AR180" s="21" t="n">
        <x:f>IF(ISBLANK('原始输入与口径'!L182),"",'原始输入与口径'!L182)</x:f>
        <x:v>45657</x:v>
      </x:c>
      <x:c r="AS180" s="17" t="n">
        <x:f>IF(ISBLANK('原始输入与口径'!A182),"",'原始输入与口径'!A182)</x:f>
        <x:v>45659.71875</x:v>
      </x:c>
      <x:c r="AT180" s="18" t="str">
        <x:f>IF(ISBLANK('原始输入与口径'!I182),"",'原始输入与口径'!I182)</x:f>
        <x:v>2025-01-02_19</x:v>
      </x:c>
      <x:c r="AU180" s="19" t="n">
        <x:f>IF(ISBLANK('原始输入与口径'!J182),"",'原始输入与口径'!J182)</x:f>
        <x:v>60</x:v>
      </x:c>
      <x:c r="AV180" s="18" t="str">
        <x:f>IF(ISBLANK('原始输入与口径'!BB182),"",'原始输入与口径'!BB182)</x:f>
        <x:v>OK</x:v>
      </x:c>
    </x:row>
    <x:row r="181" ht="21" customHeight="1">
      <x:c r="A181" s="17" t="n">
        <x:f>45659.8125</x:f>
        <x:v>45659.8125</x:v>
      </x:c>
      <x:c r="B181" s="23" t="n">
        <x:f>IF(ISNUMBER('原始输入与口径'!H183),'原始输入与口径'!H183,"缺失")</x:f>
        <x:v>159.64</x:v>
      </x:c>
      <x:c r="C181" s="23" t="str">
        <x:f>IF(ISNUMBER('原始输入与口径'!R183),'原始输入与口径'!R183,"缺失")</x:f>
        <x:v>缺失</x:v>
      </x:c>
      <x:c r="D181" s="23" t="n">
        <x:f>IF(ISNUMBER('原始输入与口径'!W183),'原始输入与口径'!W183,"缺失")</x:f>
        <x:v>13.831647936310086</x:v>
      </x:c>
      <x:c r="E181" s="23" t="n">
        <x:f>IF(ISNUMBER('原始输入与口径'!AB183),'原始输入与口径'!AB183,"缺失")</x:f>
        <x:v>14.676021792887155</x:v>
      </x:c>
      <x:c r="F181" s="23" t="n">
        <x:f>IF(ISNUMBER('原始输入与口径'!AG183),'原始输入与口径'!AG183,"缺失")</x:f>
        <x:v>60.31241832693352</x:v>
      </x:c>
      <x:c r="G181" s="23" t="n">
        <x:f>IF(ISNUMBER('原始输入与口径'!AJ183),'原始输入与口径'!AJ183,"缺失")</x:f>
        <x:v>19.669286906173983</x:v>
      </x:c>
      <x:c r="H181" s="23" t="str">
        <x:f>"未模拟"</x:f>
        <x:v>未模拟</x:v>
      </x:c>
      <x:c r="I181" s="24" t="n">
        <x:f>'原始输入与口径'!BD183</x:f>
        <x:v>30.175979478260423</x:v>
      </x:c>
      <x:c r="J181" s="24" t="n">
        <x:f>'原始输入与口径'!BE183</x:f>
        <x:v>32.71142121739086</x:v>
      </x:c>
      <x:c r="K181" s="24" t="n">
        <x:f>'原始输入与口径'!BF183</x:f>
        <x:v>0</x:v>
      </x:c>
      <x:c r="L181" s="24" t="n">
        <x:f>'原始输入与口径'!BG183</x:f>
        <x:v>0</x:v>
      </x:c>
      <x:c r="M181" s="24" t="n">
        <x:f>'原始输入与口径'!BH183</x:f>
        <x:v>100</x:v>
      </x:c>
      <x:c r="N181" s="24" t="n">
        <x:f>'原始输入与口径'!BI183</x:f>
        <x:v>100</x:v>
      </x:c>
      <x:c r="O181" s="24" t="n">
        <x:f>M181*AE181*AC181</x:f>
        <x:v>0.017</x:v>
      </x:c>
      <x:c r="P181" s="24" t="n">
        <x:f>N181*AF181*AC181</x:f>
        <x:v>2.776</x:v>
      </x:c>
      <x:c r="Q181" s="25" t="n">
        <x:f>IF(K181=0,0,IF(ISNUMBER(B181),K181*AC181*B181,NA()))</x:f>
        <x:v>0</x:v>
      </x:c>
      <x:c r="R181" s="25" t="n">
        <x:f>IF(L181=0,0,IF(ISNUMBER(C181),L181*AC181*C181*AD181,NA()))</x:f>
        <x:v>0</x:v>
      </x:c>
      <x:c r="S181" s="25" t="n">
        <x:f>IF(M181=0,0,IF(ISNUMBER(D181),M181*AC181*D181*AD181,NA()))</x:f>
        <x:v>345.7911984077521</x:v>
      </x:c>
      <x:c r="T181" s="25" t="n">
        <x:f>IF(N181=0,0,IF(ISNUMBER(E181),N181*AC181*E181*AD181,NA()))</x:f>
        <x:v>366.90054482217886</x:v>
      </x:c>
      <x:c r="U181" s="25" t="n">
        <x:f>IF(O181=0,0,IF(ISNUMBER(F181),O181*F181,NA()))</x:f>
        <x:v>1.02531111155787</x:v>
      </x:c>
      <x:c r="V181" s="25" t="n">
        <x:f>IF(P181=0,0,IF(ISNUMBER(G181),-P181*G181,NA()))</x:f>
        <x:v>-54.60194045153897</x:v>
      </x:c>
      <x:c r="W181" s="25" t="n">
        <x:f>SUM(Q181:V181)</x:f>
        <x:v>659.11511388995</x:v>
      </x:c>
      <x:c r="X181" s="18" t="n">
        <x:f>'原始输入与口径'!BR183</x:f>
        <x:v>659.1151138899498</x:v>
      </x:c>
      <x:c r="Y181" s="18" t="n">
        <x:f>W181-X181</x:f>
        <x:v>1.1368683772161603e-13</x:v>
      </x:c>
      <x:c r="Z181" s="18" t="str">
        <x:f>"1月2日计划｜本窗新增"</x:f>
        <x:v>1月2日计划｜本窗新增</x:v>
      </x:c>
      <x:c r="AA181" s="19" t="n">
        <x:f>IF('原始输入与口径'!AW183,1,0)</x:f>
        <x:v>1</x:v>
      </x:c>
      <x:c r="AB181" s="19" t="n">
        <x:f>IF('原始输入与口径'!AY183,1,0)</x:f>
        <x:v>0</x:v>
      </x:c>
      <x:c r="AC181" s="18" t="n">
        <x:f>'原始输入与口径'!E183</x:f>
        <x:v>0.25</x:v>
      </x:c>
      <x:c r="AD181" s="20" t="n">
        <x:f>'原始输入与口径'!$F$5</x:f>
        <x:v>1</x:v>
      </x:c>
      <x:c r="AE181" s="20" t="n">
        <x:f>IF(AA181=0,0,AI181/(AG181*AC181))</x:f>
        <x:v>0.00068</x:v>
      </x:c>
      <x:c r="AF181" s="20" t="n">
        <x:f>IF(AA181=0,0,AJ181/(AH181*AC181))</x:f>
        <x:v>0.11103999999999999</x:v>
      </x:c>
      <x:c r="AG181" s="18" t="n">
        <x:f>IF(ISNUMBER('原始输入与口径'!T183),'原始输入与口径'!T183,"缺失")</x:f>
        <x:v>200</x:v>
      </x:c>
      <x:c r="AH181" s="18" t="n">
        <x:f>IF(ISNUMBER('原始输入与口径'!Y183),'原始输入与口径'!Y183,"缺失")</x:f>
        <x:v>200</x:v>
      </x:c>
      <x:c r="AI181" s="18" t="n">
        <x:f>IF(ISNUMBER('原始输入与口径'!AI183),'原始输入与口径'!AI183,"缺失")</x:f>
        <x:v>0.034</x:v>
      </x:c>
      <x:c r="AJ181" s="18" t="n">
        <x:f>IF(ISNUMBER('原始输入与口径'!AL183),'原始输入与口径'!AL183,"缺失")</x:f>
        <x:v>5.552</x:v>
      </x:c>
      <x:c r="AK181" s="18" t="str">
        <x:f>IF(ISNUMBER('原始输入与口径'!O183),'原始输入与口径'!O183,"缺失")</x:f>
        <x:v>缺失</x:v>
      </x:c>
      <x:c r="AL181" s="18" t="n">
        <x:f>SUMIFS('相位SOC复算'!$N$7:$N$443,'相位SOC复算'!$S$7:$S$443,175)</x:f>
        <x:v>0.00714555072463768</x:v>
      </x:c>
      <x:c r="AM181" s="18" t="n">
        <x:f>SUMIFS('相位SOC复算'!$Q$7:$Q$443,'相位SOC复算'!$S$7:$S$443,175)</x:f>
        <x:v>2.776</x:v>
      </x:c>
      <x:c r="AN181" s="18" t="n">
        <x:f>SUMIFS('相位SOC复算'!$R$7:$R$443,'相位SOC复算'!$S$7:$S$443,175)</x:f>
        <x:v>0.017</x:v>
      </x:c>
      <x:c r="AO181" s="18" t="n">
        <x:f>'相位SOC复算'!J407</x:f>
        <x:v>32.711421217390864</x:v>
      </x:c>
      <x:c r="AP181" s="18" t="n">
        <x:f>AO181-J181</x:f>
        <x:v>7.105427357601002e-15</x:v>
      </x:c>
      <x:c r="AQ181" s="18" t="n">
        <x:f>IF(ISBLANK('原始输入与口径'!M183),"",'原始输入与口径'!M183)</x:f>
        <x:v>4.9741</x:v>
      </x:c>
      <x:c r="AR181" s="21" t="n">
        <x:f>IF(ISBLANK('原始输入与口径'!L183),"",'原始输入与口径'!L183)</x:f>
        <x:v>45657</x:v>
      </x:c>
      <x:c r="AS181" s="17" t="n">
        <x:f>IF(ISBLANK('原始输入与口径'!A183),"",'原始输入与口径'!A183)</x:f>
        <x:v>45659.729166666664</x:v>
      </x:c>
      <x:c r="AT181" s="18" t="str">
        <x:f>IF(ISBLANK('原始输入与口径'!I183),"",'原始输入与口径'!I183)</x:f>
        <x:v>2025-01-02_19</x:v>
      </x:c>
      <x:c r="AU181" s="19" t="n">
        <x:f>IF(ISBLANK('原始输入与口径'!J183),"",'原始输入与口径'!J183)</x:f>
        <x:v>60</x:v>
      </x:c>
      <x:c r="AV181" s="18" t="str">
        <x:f>IF(ISBLANK('原始输入与口径'!BB183),"",'原始输入与口径'!BB183)</x:f>
        <x:v>OK</x:v>
      </x:c>
    </x:row>
    <x:row r="182" ht="21" customHeight="1">
      <x:c r="A182" s="17" t="n">
        <x:f>45659.822916666664</x:f>
        <x:v>45659.822916666664</x:v>
      </x:c>
      <x:c r="B182" s="23" t="n">
        <x:f>IF(ISNUMBER('原始输入与口径'!H184),'原始输入与口径'!H184,"缺失")</x:f>
        <x:v>159.64</x:v>
      </x:c>
      <x:c r="C182" s="23" t="str">
        <x:f>IF(ISNUMBER('原始输入与口径'!R184),'原始输入与口径'!R184,"缺失")</x:f>
        <x:v>缺失</x:v>
      </x:c>
      <x:c r="D182" s="23" t="n">
        <x:f>IF(ISNUMBER('原始输入与口径'!W184),'原始输入与口径'!W184,"缺失")</x:f>
        <x:v>13.831647936310086</x:v>
      </x:c>
      <x:c r="E182" s="23" t="n">
        <x:f>IF(ISNUMBER('原始输入与口径'!AB184),'原始输入与口径'!AB184,"缺失")</x:f>
        <x:v>14.676021792887155</x:v>
      </x:c>
      <x:c r="F182" s="23" t="n">
        <x:f>IF(ISNUMBER('原始输入与口径'!AG184),'原始输入与口径'!AG184,"缺失")</x:f>
        <x:v>0</x:v>
      </x:c>
      <x:c r="G182" s="23" t="n">
        <x:f>IF(ISNUMBER('原始输入与口径'!AJ184),'原始输入与口径'!AJ184,"缺失")</x:f>
        <x:v>12.25286986590539</x:v>
      </x:c>
      <x:c r="H182" s="23" t="str">
        <x:f>"未模拟"</x:f>
        <x:v>未模拟</x:v>
      </x:c>
      <x:c r="I182" s="24" t="n">
        <x:f>'原始输入与口径'!BD184</x:f>
        <x:v>32.71142121739086</x:v>
      </x:c>
      <x:c r="J182" s="24" t="n">
        <x:f>'原始输入与口径'!BE184</x:f>
        <x:v>37.98808121739086</x:v>
      </x:c>
      <x:c r="K182" s="24" t="n">
        <x:f>'原始输入与口径'!BF184</x:f>
        <x:v>0</x:v>
      </x:c>
      <x:c r="L182" s="24" t="n">
        <x:f>'原始输入与口径'!BG184</x:f>
        <x:v>0</x:v>
      </x:c>
      <x:c r="M182" s="24" t="n">
        <x:f>'原始输入与口径'!BH184</x:f>
        <x:v>100</x:v>
      </x:c>
      <x:c r="N182" s="24" t="n">
        <x:f>'原始输入与口径'!BI184</x:f>
        <x:v>100</x:v>
      </x:c>
      <x:c r="O182" s="24" t="n">
        <x:f>M182*AE182*AC182</x:f>
        <x:v>0</x:v>
      </x:c>
      <x:c r="P182" s="24" t="n">
        <x:f>N182*AF182*AC182</x:f>
        <x:v>5.7355</x:v>
      </x:c>
      <x:c r="Q182" s="25" t="n">
        <x:f>IF(K182=0,0,IF(ISNUMBER(B182),K182*AC182*B182,NA()))</x:f>
        <x:v>0</x:v>
      </x:c>
      <x:c r="R182" s="25" t="n">
        <x:f>IF(L182=0,0,IF(ISNUMBER(C182),L182*AC182*C182*AD182,NA()))</x:f>
        <x:v>0</x:v>
      </x:c>
      <x:c r="S182" s="25" t="n">
        <x:f>IF(M182=0,0,IF(ISNUMBER(D182),M182*AC182*D182*AD182,NA()))</x:f>
        <x:v>345.7911984077521</x:v>
      </x:c>
      <x:c r="T182" s="25" t="n">
        <x:f>IF(N182=0,0,IF(ISNUMBER(E182),N182*AC182*E182*AD182,NA()))</x:f>
        <x:v>366.90054482217886</x:v>
      </x:c>
      <x:c r="U182" s="25" t="n">
        <x:f>IF(O182=0,0,IF(ISNUMBER(F182),O182*F182,NA()))</x:f>
        <x:v>0</x:v>
      </x:c>
      <x:c r="V182" s="25" t="n">
        <x:f>IF(P182=0,0,IF(ISNUMBER(G182),-P182*G182,NA()))</x:f>
        <x:v>-70.27633511590037</x:v>
      </x:c>
      <x:c r="W182" s="25" t="n">
        <x:f>SUM(Q182:V182)</x:f>
        <x:v>642.4154081140307</x:v>
      </x:c>
      <x:c r="X182" s="18" t="n">
        <x:f>'原始输入与口径'!BR184</x:f>
        <x:v>642.4154081140306</x:v>
      </x:c>
      <x:c r="Y182" s="18" t="n">
        <x:f>W182-X182</x:f>
        <x:v>1.1368683772161603e-13</x:v>
      </x:c>
      <x:c r="Z182" s="18" t="str">
        <x:f>"1月2日计划｜本窗新增"</x:f>
        <x:v>1月2日计划｜本窗新增</x:v>
      </x:c>
      <x:c r="AA182" s="19" t="n">
        <x:f>IF('原始输入与口径'!AW184,1,0)</x:f>
        <x:v>1</x:v>
      </x:c>
      <x:c r="AB182" s="19" t="n">
        <x:f>IF('原始输入与口径'!AY184,1,0)</x:f>
        <x:v>0</x:v>
      </x:c>
      <x:c r="AC182" s="18" t="n">
        <x:f>'原始输入与口径'!E184</x:f>
        <x:v>0.25</x:v>
      </x:c>
      <x:c r="AD182" s="20" t="n">
        <x:f>'原始输入与口径'!$F$5</x:f>
        <x:v>1</x:v>
      </x:c>
      <x:c r="AE182" s="20" t="n">
        <x:f>IF(AA182=0,0,AI182/(AG182*AC182))</x:f>
        <x:v>0</x:v>
      </x:c>
      <x:c r="AF182" s="20" t="n">
        <x:f>IF(AA182=0,0,AJ182/(AH182*AC182))</x:f>
        <x:v>0.22942</x:v>
      </x:c>
      <x:c r="AG182" s="18" t="n">
        <x:f>IF(ISNUMBER('原始输入与口径'!T184),'原始输入与口径'!T184,"缺失")</x:f>
        <x:v>200</x:v>
      </x:c>
      <x:c r="AH182" s="18" t="n">
        <x:f>IF(ISNUMBER('原始输入与口径'!Y184),'原始输入与口径'!Y184,"缺失")</x:f>
        <x:v>200</x:v>
      </x:c>
      <x:c r="AI182" s="18" t="n">
        <x:f>IF(ISNUMBER('原始输入与口径'!AI184),'原始输入与口径'!AI184,"缺失")</x:f>
        <x:v>0</x:v>
      </x:c>
      <x:c r="AJ182" s="18" t="n">
        <x:f>IF(ISNUMBER('原始输入与口径'!AL184),'原始输入与口径'!AL184,"缺失")</x:f>
        <x:v>11.471</x:v>
      </x:c>
      <x:c r="AK182" s="18" t="str">
        <x:f>IF(ISNUMBER('原始输入与口径'!O184),'原始输入与口径'!O184,"缺失")</x:f>
        <x:v>缺失</x:v>
      </x:c>
      <x:c r="AL182" s="18" t="n">
        <x:f>SUMIFS('相位SOC复算'!$N$7:$N$443,'相位SOC复算'!$S$7:$S$443,176)</x:f>
        <x:v>0.01465738888888889</x:v>
      </x:c>
      <x:c r="AM182" s="18" t="n">
        <x:f>SUMIFS('相位SOC复算'!$Q$7:$Q$443,'相位SOC复算'!$S$7:$S$443,176)</x:f>
        <x:v>5.7355</x:v>
      </x:c>
      <x:c r="AN182" s="18" t="n">
        <x:f>SUMIFS('相位SOC复算'!$R$7:$R$443,'相位SOC复算'!$S$7:$S$443,176)</x:f>
        <x:v>0</x:v>
      </x:c>
      <x:c r="AO182" s="18" t="n">
        <x:f>'相位SOC复算'!J409</x:f>
        <x:v>37.988081217390864</x:v>
      </x:c>
      <x:c r="AP182" s="18" t="n">
        <x:f>AO182-J182</x:f>
        <x:v>7.105427357601002e-15</x:v>
      </x:c>
      <x:c r="AQ182" s="18" t="n">
        <x:f>IF(ISBLANK('原始输入与口径'!M184),"",'原始输入与口径'!M184)</x:f>
        <x:v>4.9741</x:v>
      </x:c>
      <x:c r="AR182" s="21" t="n">
        <x:f>IF(ISBLANK('原始输入与口径'!L184),"",'原始输入与口径'!L184)</x:f>
        <x:v>45657</x:v>
      </x:c>
      <x:c r="AS182" s="17" t="n">
        <x:f>IF(ISBLANK('原始输入与口径'!A184),"",'原始输入与口径'!A184)</x:f>
        <x:v>45659.739583333336</x:v>
      </x:c>
      <x:c r="AT182" s="18" t="str">
        <x:f>IF(ISBLANK('原始输入与口径'!I184),"",'原始输入与口径'!I184)</x:f>
        <x:v>2025-01-02_19</x:v>
      </x:c>
      <x:c r="AU182" s="19" t="n">
        <x:f>IF(ISBLANK('原始输入与口径'!J184),"",'原始输入与口径'!J184)</x:f>
        <x:v>60</x:v>
      </x:c>
      <x:c r="AV182" s="18" t="str">
        <x:f>IF(ISBLANK('原始输入与口径'!BB184),"",'原始输入与口径'!BB184)</x:f>
        <x:v>OK</x:v>
      </x:c>
    </x:row>
    <x:row r="183" ht="21" customHeight="1">
      <x:c r="A183" s="17" t="n">
        <x:f>45659.833333333336</x:f>
        <x:v>45659.833333333336</x:v>
      </x:c>
      <x:c r="B183" s="23" t="n">
        <x:f>IF(ISNUMBER('原始输入与口径'!H185),'原始输入与口径'!H185,"缺失")</x:f>
        <x:v>159.64</x:v>
      </x:c>
      <x:c r="C183" s="23" t="str">
        <x:f>IF(ISNUMBER('原始输入与口径'!R185),'原始输入与口径'!R185,"缺失")</x:f>
        <x:v>缺失</x:v>
      </x:c>
      <x:c r="D183" s="23" t="n">
        <x:f>IF(ISNUMBER('原始输入与口径'!W185),'原始输入与口径'!W185,"缺失")</x:f>
        <x:v>13.831647936310086</x:v>
      </x:c>
      <x:c r="E183" s="23" t="n">
        <x:f>IF(ISNUMBER('原始输入与口径'!AB185),'原始输入与口径'!AB185,"缺失")</x:f>
        <x:v>14.710198829939085</x:v>
      </x:c>
      <x:c r="F183" s="23" t="n">
        <x:f>IF(ISNUMBER('原始输入与口径'!AG185),'原始输入与口径'!AG185,"缺失")</x:f>
        <x:v>195.37805834221268</x:v>
      </x:c>
      <x:c r="G183" s="23" t="n">
        <x:f>IF(ISNUMBER('原始输入与口径'!AJ185),'原始输入与口径'!AJ185,"缺失")</x:f>
        <x:v>22.700790092680084</x:v>
      </x:c>
      <x:c r="H183" s="23" t="str">
        <x:f>"未模拟"</x:f>
        <x:v>未模拟</x:v>
      </x:c>
      <x:c r="I183" s="24" t="n">
        <x:f>'原始输入与口径'!BD185</x:f>
        <x:v>37.98808121739086</x:v>
      </x:c>
      <x:c r="J183" s="24" t="n">
        <x:f>'原始输入与口径'!BE185</x:f>
        <x:v>32.84638382608651</x:v>
      </x:c>
      <x:c r="K183" s="24" t="n">
        <x:f>'原始输入与口径'!BF185</x:f>
        <x:v>0</x:v>
      </x:c>
      <x:c r="L183" s="24" t="n">
        <x:f>'原始输入与口径'!BG185</x:f>
        <x:v>0</x:v>
      </x:c>
      <x:c r="M183" s="24" t="n">
        <x:f>'原始输入与口径'!BH185</x:f>
        <x:v>100</x:v>
      </x:c>
      <x:c r="N183" s="24" t="n">
        <x:f>'原始输入与口径'!BI185</x:f>
        <x:v>100</x:v>
      </x:c>
      <x:c r="O183" s="24" t="n">
        <x:f>M183*AE183*AC183</x:f>
        <x:v>5.074</x:v>
      </x:c>
      <x:c r="P183" s="24" t="n">
        <x:f>N183*AF183*AC183</x:f>
        <x:v>0.406</x:v>
      </x:c>
      <x:c r="Q183" s="25" t="n">
        <x:f>IF(K183=0,0,IF(ISNUMBER(B183),K183*AC183*B183,NA()))</x:f>
        <x:v>0</x:v>
      </x:c>
      <x:c r="R183" s="25" t="n">
        <x:f>IF(L183=0,0,IF(ISNUMBER(C183),L183*AC183*C183*AD183,NA()))</x:f>
        <x:v>0</x:v>
      </x:c>
      <x:c r="S183" s="25" t="n">
        <x:f>IF(M183=0,0,IF(ISNUMBER(D183),M183*AC183*D183*AD183,NA()))</x:f>
        <x:v>345.7911984077521</x:v>
      </x:c>
      <x:c r="T183" s="25" t="n">
        <x:f>IF(N183=0,0,IF(ISNUMBER(E183),N183*AC183*E183*AD183,NA()))</x:f>
        <x:v>367.7549707484771</x:v>
      </x:c>
      <x:c r="U183" s="25" t="n">
        <x:f>IF(O183=0,0,IF(ISNUMBER(F183),O183*F183,NA()))</x:f>
        <x:v>991.3482680283871</x:v>
      </x:c>
      <x:c r="V183" s="25" t="n">
        <x:f>IF(P183=0,0,IF(ISNUMBER(G183),-P183*G183,NA()))</x:f>
        <x:v>-9.216520777628114</x:v>
      </x:c>
      <x:c r="W183" s="25" t="n">
        <x:f>SUM(Q183:V183)</x:f>
        <x:v>1695.6779164069883</x:v>
      </x:c>
      <x:c r="X183" s="18" t="n">
        <x:f>'原始输入与口径'!BR185</x:f>
        <x:v>1695.6779164069883</x:v>
      </x:c>
      <x:c r="Y183" s="18" t="n">
        <x:f>W183-X183</x:f>
        <x:v>0</x:v>
      </x:c>
      <x:c r="Z183" s="18" t="str">
        <x:f>"1月2日计划｜本窗新增"</x:f>
        <x:v>1月2日计划｜本窗新增</x:v>
      </x:c>
      <x:c r="AA183" s="19" t="n">
        <x:f>IF('原始输入与口径'!AW185,1,0)</x:f>
        <x:v>1</x:v>
      </x:c>
      <x:c r="AB183" s="19" t="n">
        <x:f>IF('原始输入与口径'!AY185,1,0)</x:f>
        <x:v>0</x:v>
      </x:c>
      <x:c r="AC183" s="18" t="n">
        <x:f>'原始输入与口径'!E185</x:f>
        <x:v>0.25</x:v>
      </x:c>
      <x:c r="AD183" s="20" t="n">
        <x:f>'原始输入与口径'!$F$5</x:f>
        <x:v>1</x:v>
      </x:c>
      <x:c r="AE183" s="20" t="n">
        <x:f>IF(AA183=0,0,AI183/(AG183*AC183))</x:f>
        <x:v>0.20296</x:v>
      </x:c>
      <x:c r="AF183" s="20" t="n">
        <x:f>IF(AA183=0,0,AJ183/(AH183*AC183))</x:f>
        <x:v>0.01624</x:v>
      </x:c>
      <x:c r="AG183" s="18" t="n">
        <x:f>IF(ISNUMBER('原始输入与口径'!T185),'原始输入与口径'!T185,"缺失")</x:f>
        <x:v>200</x:v>
      </x:c>
      <x:c r="AH183" s="18" t="n">
        <x:f>IF(ISNUMBER('原始输入与口径'!Y185),'原始输入与口径'!Y185,"缺失")</x:f>
        <x:v>200</x:v>
      </x:c>
      <x:c r="AI183" s="18" t="n">
        <x:f>IF(ISNUMBER('原始输入与口径'!AI185),'原始输入与口径'!AI185,"缺失")</x:f>
        <x:v>10.148</x:v>
      </x:c>
      <x:c r="AJ183" s="18" t="n">
        <x:f>IF(ISNUMBER('原始输入与口径'!AL185),'原始输入与口径'!AL185,"缺失")</x:f>
        <x:v>0.812</x:v>
      </x:c>
      <x:c r="AK183" s="18" t="str">
        <x:f>IF(ISNUMBER('原始输入与口径'!O185),'原始输入与口径'!O185,"缺失")</x:f>
        <x:v>缺失</x:v>
      </x:c>
      <x:c r="AL183" s="18" t="n">
        <x:f>SUMIFS('相位SOC复算'!$N$7:$N$443,'相位SOC复算'!$S$7:$S$443,177)</x:f>
        <x:v>0.016357603864734296</x:v>
      </x:c>
      <x:c r="AM183" s="18" t="n">
        <x:f>SUMIFS('相位SOC复算'!$Q$7:$Q$443,'相位SOC复算'!$S$7:$S$443,177)</x:f>
        <x:v>0.406</x:v>
      </x:c>
      <x:c r="AN183" s="18" t="n">
        <x:f>SUMIFS('相位SOC复算'!$R$7:$R$443,'相位SOC复算'!$S$7:$S$443,177)</x:f>
        <x:v>5.074</x:v>
      </x:c>
      <x:c r="AO183" s="18" t="n">
        <x:f>'相位SOC复算'!J412</x:f>
        <x:v>32.846383826086516</x:v>
      </x:c>
      <x:c r="AP183" s="18" t="n">
        <x:f>AO183-J183</x:f>
        <x:v>7.105427357601002e-15</x:v>
      </x:c>
      <x:c r="AQ183" s="18" t="n">
        <x:f>IF(ISBLANK('原始输入与口径'!M185),"",'原始输入与口径'!M185)</x:f>
        <x:v>4.9741</x:v>
      </x:c>
      <x:c r="AR183" s="21" t="n">
        <x:f>IF(ISBLANK('原始输入与口径'!L185),"",'原始输入与口径'!L185)</x:f>
        <x:v>45657</x:v>
      </x:c>
      <x:c r="AS183" s="17" t="n">
        <x:f>IF(ISBLANK('原始输入与口径'!A185),"",'原始输入与口径'!A185)</x:f>
        <x:v>45659.75</x:v>
      </x:c>
      <x:c r="AT183" s="18" t="str">
        <x:f>IF(ISBLANK('原始输入与口径'!I185),"",'原始输入与口径'!I185)</x:f>
        <x:v>2025-01-02_20</x:v>
      </x:c>
      <x:c r="AU183" s="19" t="n">
        <x:f>IF(ISBLANK('原始输入与口径'!J185),"",'原始输入与口径'!J185)</x:f>
        <x:v>60</x:v>
      </x:c>
      <x:c r="AV183" s="18" t="str">
        <x:f>IF(ISBLANK('原始输入与口径'!BB185),"",'原始输入与口径'!BB185)</x:f>
        <x:v>OK</x:v>
      </x:c>
    </x:row>
    <x:row r="184" ht="21" customHeight="1">
      <x:c r="A184" s="17" t="n">
        <x:f>45659.84375</x:f>
        <x:v>45659.84375</x:v>
      </x:c>
      <x:c r="B184" s="23" t="n">
        <x:f>IF(ISNUMBER('原始输入与口径'!H186),'原始输入与口径'!H186,"缺失")</x:f>
        <x:v>159.64</x:v>
      </x:c>
      <x:c r="C184" s="23" t="str">
        <x:f>IF(ISNUMBER('原始输入与口径'!R186),'原始输入与口径'!R186,"缺失")</x:f>
        <x:v>缺失</x:v>
      </x:c>
      <x:c r="D184" s="23" t="n">
        <x:f>IF(ISNUMBER('原始输入与口径'!W186),'原始输入与口径'!W186,"缺失")</x:f>
        <x:v>13.831647936310086</x:v>
      </x:c>
      <x:c r="E184" s="23" t="n">
        <x:f>IF(ISNUMBER('原始输入与口径'!AB186),'原始输入与口径'!AB186,"缺失")</x:f>
        <x:v>14.710198829939085</x:v>
      </x:c>
      <x:c r="F184" s="23" t="n">
        <x:f>IF(ISNUMBER('原始输入与口径'!AG186),'原始输入与口径'!AG186,"缺失")</x:f>
        <x:v>162.63685892925352</x:v>
      </x:c>
      <x:c r="G184" s="23" t="n">
        <x:f>IF(ISNUMBER('原始输入与口径'!AJ186),'原始输入与口径'!AJ186,"缺失")</x:f>
        <x:v>0</x:v>
      </x:c>
      <x:c r="H184" s="23" t="str">
        <x:f>"未模拟"</x:f>
        <x:v>未模拟</x:v>
      </x:c>
      <x:c r="I184" s="24" t="n">
        <x:f>'原始输入与口径'!BD186</x:f>
        <x:v>32.84638382608651</x:v>
      </x:c>
      <x:c r="J184" s="24" t="n">
        <x:f>'原始输入与口径'!BE186</x:f>
        <x:v>28.484970782608247</x:v>
      </x:c>
      <x:c r="K184" s="24" t="n">
        <x:f>'原始输入与口径'!BF186</x:f>
        <x:v>0</x:v>
      </x:c>
      <x:c r="L184" s="24" t="n">
        <x:f>'原始输入与口径'!BG186</x:f>
        <x:v>0</x:v>
      </x:c>
      <x:c r="M184" s="24" t="n">
        <x:f>'原始输入与口径'!BH186</x:f>
        <x:v>100</x:v>
      </x:c>
      <x:c r="N184" s="24" t="n">
        <x:f>'原始输入与口径'!BI186</x:f>
        <x:v>100</x:v>
      </x:c>
      <x:c r="O184" s="24" t="n">
        <x:f>M184*AE184*AC184</x:f>
        <x:v>4.0125</x:v>
      </x:c>
      <x:c r="P184" s="24" t="n">
        <x:f>N184*AF184*AC184</x:f>
        <x:v>0</x:v>
      </x:c>
      <x:c r="Q184" s="25" t="n">
        <x:f>IF(K184=0,0,IF(ISNUMBER(B184),K184*AC184*B184,NA()))</x:f>
        <x:v>0</x:v>
      </x:c>
      <x:c r="R184" s="25" t="n">
        <x:f>IF(L184=0,0,IF(ISNUMBER(C184),L184*AC184*C184*AD184,NA()))</x:f>
        <x:v>0</x:v>
      </x:c>
      <x:c r="S184" s="25" t="n">
        <x:f>IF(M184=0,0,IF(ISNUMBER(D184),M184*AC184*D184*AD184,NA()))</x:f>
        <x:v>345.7911984077521</x:v>
      </x:c>
      <x:c r="T184" s="25" t="n">
        <x:f>IF(N184=0,0,IF(ISNUMBER(E184),N184*AC184*E184*AD184,NA()))</x:f>
        <x:v>367.7549707484771</x:v>
      </x:c>
      <x:c r="U184" s="25" t="n">
        <x:f>IF(O184=0,0,IF(ISNUMBER(F184),O184*F184,NA()))</x:f>
        <x:v>652.5803964536298</x:v>
      </x:c>
      <x:c r="V184" s="25" t="n">
        <x:f>IF(P184=0,0,IF(ISNUMBER(G184),-P184*G184,NA()))</x:f>
        <x:v>0</x:v>
      </x:c>
      <x:c r="W184" s="25" t="n">
        <x:f>SUM(Q184:V184)</x:f>
        <x:v>1366.126565609859</x:v>
      </x:c>
      <x:c r="X184" s="18" t="n">
        <x:f>'原始输入与口径'!BR186</x:f>
        <x:v>1366.126565609859</x:v>
      </x:c>
      <x:c r="Y184" s="18" t="n">
        <x:f>W184-X184</x:f>
        <x:v>0</x:v>
      </x:c>
      <x:c r="Z184" s="18" t="str">
        <x:f>"1月2日计划｜本窗新增"</x:f>
        <x:v>1月2日计划｜本窗新增</x:v>
      </x:c>
      <x:c r="AA184" s="19" t="n">
        <x:f>IF('原始输入与口径'!AW186,1,0)</x:f>
        <x:v>1</x:v>
      </x:c>
      <x:c r="AB184" s="19" t="n">
        <x:f>IF('原始输入与口径'!AY186,1,0)</x:f>
        <x:v>0</x:v>
      </x:c>
      <x:c r="AC184" s="18" t="n">
        <x:f>'原始输入与口径'!E186</x:f>
        <x:v>0.25</x:v>
      </x:c>
      <x:c r="AD184" s="20" t="n">
        <x:f>'原始输入与口径'!$F$5</x:f>
        <x:v>1</x:v>
      </x:c>
      <x:c r="AE184" s="20" t="n">
        <x:f>IF(AA184=0,0,AI184/(AG184*AC184))</x:f>
        <x:v>0.1605</x:v>
      </x:c>
      <x:c r="AF184" s="20" t="n">
        <x:f>IF(AA184=0,0,AJ184/(AH184*AC184))</x:f>
        <x:v>0</x:v>
      </x:c>
      <x:c r="AG184" s="18" t="n">
        <x:f>IF(ISNUMBER('原始输入与口径'!T186),'原始输入与口径'!T186,"缺失")</x:f>
        <x:v>200</x:v>
      </x:c>
      <x:c r="AH184" s="18" t="n">
        <x:f>IF(ISNUMBER('原始输入与口径'!Y186),'原始输入与口径'!Y186,"缺失")</x:f>
        <x:v>200</x:v>
      </x:c>
      <x:c r="AI184" s="18" t="n">
        <x:f>IF(ISNUMBER('原始输入与口径'!AI186),'原始输入与口径'!AI186,"缺失")</x:f>
        <x:v>8.025</x:v>
      </x:c>
      <x:c r="AJ184" s="18" t="n">
        <x:f>IF(ISNUMBER('原始输入与口径'!AL186),'原始输入与口径'!AL186,"缺失")</x:f>
        <x:v>0</x:v>
      </x:c>
      <x:c r="AK184" s="18" t="str">
        <x:f>IF(ISNUMBER('原始输入与口径'!O186),'原始输入与口径'!O186,"缺失")</x:f>
        <x:v>缺失</x:v>
      </x:c>
      <x:c r="AL184" s="18" t="n">
        <x:f>SUMIFS('相位SOC复算'!$N$7:$N$443,'相位SOC复算'!$S$7:$S$443,178)</x:f>
        <x:v>0.012115036231884058</x:v>
      </x:c>
      <x:c r="AM184" s="18" t="n">
        <x:f>SUMIFS('相位SOC复算'!$Q$7:$Q$443,'相位SOC复算'!$S$7:$S$443,178)</x:f>
        <x:v>0</x:v>
      </x:c>
      <x:c r="AN184" s="18" t="n">
        <x:f>SUMIFS('相位SOC复算'!$R$7:$R$443,'相位SOC复算'!$S$7:$S$443,178)</x:f>
        <x:v>4.0125</x:v>
      </x:c>
      <x:c r="AO184" s="18" t="n">
        <x:f>'相位SOC复算'!J414</x:f>
        <x:v>28.484970782608254</x:v>
      </x:c>
      <x:c r="AP184" s="18" t="n">
        <x:f>AO184-J184</x:f>
        <x:v>7.105427357601002e-15</x:v>
      </x:c>
      <x:c r="AQ184" s="18" t="n">
        <x:f>IF(ISBLANK('原始输入与口径'!M186),"",'原始输入与口径'!M186)</x:f>
        <x:v>4.9741</x:v>
      </x:c>
      <x:c r="AR184" s="21" t="n">
        <x:f>IF(ISBLANK('原始输入与口径'!L186),"",'原始输入与口径'!L186)</x:f>
        <x:v>45657</x:v>
      </x:c>
      <x:c r="AS184" s="17" t="n">
        <x:f>IF(ISBLANK('原始输入与口径'!A186),"",'原始输入与口径'!A186)</x:f>
        <x:v>45659.760416666664</x:v>
      </x:c>
      <x:c r="AT184" s="18" t="str">
        <x:f>IF(ISBLANK('原始输入与口径'!I186),"",'原始输入与口径'!I186)</x:f>
        <x:v>2025-01-02_20</x:v>
      </x:c>
      <x:c r="AU184" s="19" t="n">
        <x:f>IF(ISBLANK('原始输入与口径'!J186),"",'原始输入与口径'!J186)</x:f>
        <x:v>60</x:v>
      </x:c>
      <x:c r="AV184" s="18" t="str">
        <x:f>IF(ISBLANK('原始输入与口径'!BB186),"",'原始输入与口径'!BB186)</x:f>
        <x:v>OK</x:v>
      </x:c>
    </x:row>
    <x:row r="185" ht="21" customHeight="1">
      <x:c r="A185" s="17" t="n">
        <x:f>45659.854166666664</x:f>
        <x:v>45659.854166666664</x:v>
      </x:c>
      <x:c r="B185" s="23" t="n">
        <x:f>IF(ISNUMBER('原始输入与口径'!H187),'原始输入与口径'!H187,"缺失")</x:f>
        <x:v>159.64</x:v>
      </x:c>
      <x:c r="C185" s="23" t="str">
        <x:f>IF(ISNUMBER('原始输入与口径'!R187),'原始输入与口径'!R187,"缺失")</x:f>
        <x:v>缺失</x:v>
      </x:c>
      <x:c r="D185" s="23" t="n">
        <x:f>IF(ISNUMBER('原始输入与口径'!W187),'原始输入与口径'!W187,"缺失")</x:f>
        <x:v>13.831647936310086</x:v>
      </x:c>
      <x:c r="E185" s="23" t="n">
        <x:f>IF(ISNUMBER('原始输入与口径'!AB187),'原始输入与口径'!AB187,"缺失")</x:f>
        <x:v>14.710198829939085</x:v>
      </x:c>
      <x:c r="F185" s="23" t="n">
        <x:f>IF(ISNUMBER('原始输入与口径'!AG187),'原始输入与口径'!AG187,"缺失")</x:f>
        <x:v>156.78233248225808</x:v>
      </x:c>
      <x:c r="G185" s="23" t="n">
        <x:f>IF(ISNUMBER('原始输入与口径'!AJ187),'原始输入与口径'!AJ187,"缺失")</x:f>
        <x:v>0</x:v>
      </x:c>
      <x:c r="H185" s="23" t="str">
        <x:f>"未模拟"</x:f>
        <x:v>未模拟</x:v>
      </x:c>
      <x:c r="I185" s="24" t="n">
        <x:f>'原始输入与口径'!BD187</x:f>
        <x:v>28.484970782608247</x:v>
      </x:c>
      <x:c r="J185" s="24" t="n">
        <x:f>'原始输入与口径'!BE187</x:f>
        <x:v>25.26486208695607</x:v>
      </x:c>
      <x:c r="K185" s="24" t="n">
        <x:f>'原始输入与口径'!BF187</x:f>
        <x:v>0</x:v>
      </x:c>
      <x:c r="L185" s="24" t="n">
        <x:f>'原始输入与口径'!BG187</x:f>
        <x:v>0</x:v>
      </x:c>
      <x:c r="M185" s="24" t="n">
        <x:f>'原始输入与口径'!BH187</x:f>
        <x:v>100</x:v>
      </x:c>
      <x:c r="N185" s="24" t="n">
        <x:f>'原始输入与口径'!BI187</x:f>
        <x:v>100</x:v>
      </x:c>
      <x:c r="O185" s="24" t="n">
        <x:f>M185*AE185*AC185</x:f>
        <x:v>2.9625</x:v>
      </x:c>
      <x:c r="P185" s="24" t="n">
        <x:f>N185*AF185*AC185</x:f>
        <x:v>0</x:v>
      </x:c>
      <x:c r="Q185" s="25" t="n">
        <x:f>IF(K185=0,0,IF(ISNUMBER(B185),K185*AC185*B185,NA()))</x:f>
        <x:v>0</x:v>
      </x:c>
      <x:c r="R185" s="25" t="n">
        <x:f>IF(L185=0,0,IF(ISNUMBER(C185),L185*AC185*C185*AD185,NA()))</x:f>
        <x:v>0</x:v>
      </x:c>
      <x:c r="S185" s="25" t="n">
        <x:f>IF(M185=0,0,IF(ISNUMBER(D185),M185*AC185*D185*AD185,NA()))</x:f>
        <x:v>345.7911984077521</x:v>
      </x:c>
      <x:c r="T185" s="25" t="n">
        <x:f>IF(N185=0,0,IF(ISNUMBER(E185),N185*AC185*E185*AD185,NA()))</x:f>
        <x:v>367.7549707484771</x:v>
      </x:c>
      <x:c r="U185" s="25" t="n">
        <x:f>IF(O185=0,0,IF(ISNUMBER(F185),O185*F185,NA()))</x:f>
        <x:v>464.46765997868954</x:v>
      </x:c>
      <x:c r="V185" s="25" t="n">
        <x:f>IF(P185=0,0,IF(ISNUMBER(G185),-P185*G185,NA()))</x:f>
        <x:v>0</x:v>
      </x:c>
      <x:c r="W185" s="25" t="n">
        <x:f>SUM(Q185:V185)</x:f>
        <x:v>1178.0138291349188</x:v>
      </x:c>
      <x:c r="X185" s="18" t="n">
        <x:f>'原始输入与口径'!BR187</x:f>
        <x:v>1178.0138291349188</x:v>
      </x:c>
      <x:c r="Y185" s="18" t="n">
        <x:f>W185-X185</x:f>
        <x:v>0</x:v>
      </x:c>
      <x:c r="Z185" s="18" t="str">
        <x:f>"1月2日计划｜本窗新增"</x:f>
        <x:v>1月2日计划｜本窗新增</x:v>
      </x:c>
      <x:c r="AA185" s="19" t="n">
        <x:f>IF('原始输入与口径'!AW187,1,0)</x:f>
        <x:v>1</x:v>
      </x:c>
      <x:c r="AB185" s="19" t="n">
        <x:f>IF('原始输入与口径'!AY187,1,0)</x:f>
        <x:v>0</x:v>
      </x:c>
      <x:c r="AC185" s="18" t="n">
        <x:f>'原始输入与口径'!E187</x:f>
        <x:v>0.25</x:v>
      </x:c>
      <x:c r="AD185" s="20" t="n">
        <x:f>'原始输入与口径'!$F$5</x:f>
        <x:v>1</x:v>
      </x:c>
      <x:c r="AE185" s="20" t="n">
        <x:f>IF(AA185=0,0,AI185/(AG185*AC185))</x:f>
        <x:v>0.1185</x:v>
      </x:c>
      <x:c r="AF185" s="20" t="n">
        <x:f>IF(AA185=0,0,AJ185/(AH185*AC185))</x:f>
        <x:v>0</x:v>
      </x:c>
      <x:c r="AG185" s="18" t="n">
        <x:f>IF(ISNUMBER('原始输入与口径'!T187),'原始输入与口径'!T187,"缺失")</x:f>
        <x:v>200</x:v>
      </x:c>
      <x:c r="AH185" s="18" t="n">
        <x:f>IF(ISNUMBER('原始输入与口径'!Y187),'原始输入与口径'!Y187,"缺失")</x:f>
        <x:v>200</x:v>
      </x:c>
      <x:c r="AI185" s="18" t="n">
        <x:f>IF(ISNUMBER('原始输入与口径'!AI187),'原始输入与口径'!AI187,"缺失")</x:f>
        <x:v>5.925</x:v>
      </x:c>
      <x:c r="AJ185" s="18" t="n">
        <x:f>IF(ISNUMBER('原始输入与口径'!AL187),'原始输入与口径'!AL187,"缺失")</x:f>
        <x:v>0</x:v>
      </x:c>
      <x:c r="AK185" s="18" t="str">
        <x:f>IF(ISNUMBER('原始输入与口径'!O187),'原始输入与口径'!O187,"缺失")</x:f>
        <x:v>缺失</x:v>
      </x:c>
      <x:c r="AL185" s="18" t="n">
        <x:f>SUMIFS('相位SOC复算'!$N$7:$N$443,'相位SOC复算'!$S$7:$S$443,179)</x:f>
        <x:v>0.008944746376811592</x:v>
      </x:c>
      <x:c r="AM185" s="18" t="n">
        <x:f>SUMIFS('相位SOC复算'!$Q$7:$Q$443,'相位SOC复算'!$S$7:$S$443,179)</x:f>
        <x:v>0</x:v>
      </x:c>
      <x:c r="AN185" s="18" t="n">
        <x:f>SUMIFS('相位SOC复算'!$R$7:$R$443,'相位SOC复算'!$S$7:$S$443,179)</x:f>
        <x:v>2.9625</x:v>
      </x:c>
      <x:c r="AO185" s="18" t="n">
        <x:f>'相位SOC复算'!J416</x:f>
        <x:v>25.264862086956082</x:v>
      </x:c>
      <x:c r="AP185" s="18" t="n">
        <x:f>AO185-J185</x:f>
        <x:v>1.0658141036401503e-14</x:v>
      </x:c>
      <x:c r="AQ185" s="18" t="n">
        <x:f>IF(ISBLANK('原始输入与口径'!M187),"",'原始输入与口径'!M187)</x:f>
        <x:v>4.9741</x:v>
      </x:c>
      <x:c r="AR185" s="21" t="n">
        <x:f>IF(ISBLANK('原始输入与口径'!L187),"",'原始输入与口径'!L187)</x:f>
        <x:v>45657</x:v>
      </x:c>
      <x:c r="AS185" s="17" t="n">
        <x:f>IF(ISBLANK('原始输入与口径'!A187),"",'原始输入与口径'!A187)</x:f>
        <x:v>45659.770833333336</x:v>
      </x:c>
      <x:c r="AT185" s="18" t="str">
        <x:f>IF(ISBLANK('原始输入与口径'!I187),"",'原始输入与口径'!I187)</x:f>
        <x:v>2025-01-02_20</x:v>
      </x:c>
      <x:c r="AU185" s="19" t="n">
        <x:f>IF(ISBLANK('原始输入与口径'!J187),"",'原始输入与口径'!J187)</x:f>
        <x:v>60</x:v>
      </x:c>
      <x:c r="AV185" s="18" t="str">
        <x:f>IF(ISBLANK('原始输入与口径'!BB187),"",'原始输入与口径'!BB187)</x:f>
        <x:v>OK</x:v>
      </x:c>
    </x:row>
    <x:row r="186" ht="21" customHeight="1">
      <x:c r="A186" s="17" t="n">
        <x:f>45659.864583333336</x:f>
        <x:v>45659.864583333336</x:v>
      </x:c>
      <x:c r="B186" s="23" t="n">
        <x:f>IF(ISNUMBER('原始输入与口径'!H188),'原始输入与口径'!H188,"缺失")</x:f>
        <x:v>159.64</x:v>
      </x:c>
      <x:c r="C186" s="23" t="str">
        <x:f>IF(ISNUMBER('原始输入与口径'!R188),'原始输入与口径'!R188,"缺失")</x:f>
        <x:v>缺失</x:v>
      </x:c>
      <x:c r="D186" s="23" t="n">
        <x:f>IF(ISNUMBER('原始输入与口径'!W188),'原始输入与口径'!W188,"缺失")</x:f>
        <x:v>13.831647936310086</x:v>
      </x:c>
      <x:c r="E186" s="23" t="n">
        <x:f>IF(ISNUMBER('原始输入与口径'!AB188),'原始输入与口径'!AB188,"缺失")</x:f>
        <x:v>14.710198829939085</x:v>
      </x:c>
      <x:c r="F186" s="23" t="n">
        <x:f>IF(ISNUMBER('原始输入与口径'!AG188),'原始输入与口径'!AG188,"缺失")</x:f>
        <x:v>183.02708027582878</x:v>
      </x:c>
      <x:c r="G186" s="23" t="n">
        <x:f>IF(ISNUMBER('原始输入与口径'!AJ188),'原始输入与口径'!AJ188,"缺失")</x:f>
        <x:v>0</x:v>
      </x:c>
      <x:c r="H186" s="23" t="str">
        <x:f>"未模拟"</x:f>
        <x:v>未模拟</x:v>
      </x:c>
      <x:c r="I186" s="24" t="n">
        <x:f>'原始输入与口径'!BD188</x:f>
        <x:v>25.26486208695607</x:v>
      </x:c>
      <x:c r="J186" s="24" t="n">
        <x:f>'原始输入与口径'!BE188</x:f>
        <x:v>20.88062295652129</x:v>
      </x:c>
      <x:c r="K186" s="24" t="n">
        <x:f>'原始输入与口径'!BF188</x:f>
        <x:v>0</x:v>
      </x:c>
      <x:c r="L186" s="24" t="n">
        <x:f>'原始输入与口径'!BG188</x:f>
        <x:v>0</x:v>
      </x:c>
      <x:c r="M186" s="24" t="n">
        <x:f>'原始输入与口径'!BH188</x:f>
        <x:v>100</x:v>
      </x:c>
      <x:c r="N186" s="24" t="n">
        <x:f>'原始输入与口径'!BI188</x:f>
        <x:v>100</x:v>
      </x:c>
      <x:c r="O186" s="24" t="n">
        <x:f>M186*AE186*AC186</x:f>
        <x:v>4.0335</x:v>
      </x:c>
      <x:c r="P186" s="24" t="n">
        <x:f>N186*AF186*AC186</x:f>
        <x:v>0</x:v>
      </x:c>
      <x:c r="Q186" s="25" t="n">
        <x:f>IF(K186=0,0,IF(ISNUMBER(B186),K186*AC186*B186,NA()))</x:f>
        <x:v>0</x:v>
      </x:c>
      <x:c r="R186" s="25" t="n">
        <x:f>IF(L186=0,0,IF(ISNUMBER(C186),L186*AC186*C186*AD186,NA()))</x:f>
        <x:v>0</x:v>
      </x:c>
      <x:c r="S186" s="25" t="n">
        <x:f>IF(M186=0,0,IF(ISNUMBER(D186),M186*AC186*D186*AD186,NA()))</x:f>
        <x:v>345.7911984077521</x:v>
      </x:c>
      <x:c r="T186" s="25" t="n">
        <x:f>IF(N186=0,0,IF(ISNUMBER(E186),N186*AC186*E186*AD186,NA()))</x:f>
        <x:v>367.7549707484771</x:v>
      </x:c>
      <x:c r="U186" s="25" t="n">
        <x:f>IF(O186=0,0,IF(ISNUMBER(F186),O186*F186,NA()))</x:f>
        <x:v>738.2397282925554</x:v>
      </x:c>
      <x:c r="V186" s="25" t="n">
        <x:f>IF(P186=0,0,IF(ISNUMBER(G186),-P186*G186,NA()))</x:f>
        <x:v>0</x:v>
      </x:c>
      <x:c r="W186" s="25" t="n">
        <x:f>SUM(Q186:V186)</x:f>
        <x:v>1451.7858974487845</x:v>
      </x:c>
      <x:c r="X186" s="18" t="n">
        <x:f>'原始输入与口径'!BR188</x:f>
        <x:v>1451.7858974487845</x:v>
      </x:c>
      <x:c r="Y186" s="18" t="n">
        <x:f>W186-X186</x:f>
        <x:v>0</x:v>
      </x:c>
      <x:c r="Z186" s="18" t="str">
        <x:f>"1月2日计划｜本窗新增"</x:f>
        <x:v>1月2日计划｜本窗新增</x:v>
      </x:c>
      <x:c r="AA186" s="19" t="n">
        <x:f>IF('原始输入与口径'!AW188,1,0)</x:f>
        <x:v>1</x:v>
      </x:c>
      <x:c r="AB186" s="19" t="n">
        <x:f>IF('原始输入与口径'!AY188,1,0)</x:f>
        <x:v>0</x:v>
      </x:c>
      <x:c r="AC186" s="18" t="n">
        <x:f>'原始输入与口径'!E188</x:f>
        <x:v>0.25</x:v>
      </x:c>
      <x:c r="AD186" s="20" t="n">
        <x:f>'原始输入与口径'!$F$5</x:f>
        <x:v>1</x:v>
      </x:c>
      <x:c r="AE186" s="20" t="n">
        <x:f>IF(AA186=0,0,AI186/(AG186*AC186))</x:f>
        <x:v>0.16134</x:v>
      </x:c>
      <x:c r="AF186" s="20" t="n">
        <x:f>IF(AA186=0,0,AJ186/(AH186*AC186))</x:f>
        <x:v>0</x:v>
      </x:c>
      <x:c r="AG186" s="18" t="n">
        <x:f>IF(ISNUMBER('原始输入与口径'!T188),'原始输入与口径'!T188,"缺失")</x:f>
        <x:v>200</x:v>
      </x:c>
      <x:c r="AH186" s="18" t="n">
        <x:f>IF(ISNUMBER('原始输入与口径'!Y188),'原始输入与口径'!Y188,"缺失")</x:f>
        <x:v>200</x:v>
      </x:c>
      <x:c r="AI186" s="18" t="n">
        <x:f>IF(ISNUMBER('原始输入与口径'!AI188),'原始输入与口径'!AI188,"缺失")</x:f>
        <x:v>8.067</x:v>
      </x:c>
      <x:c r="AJ186" s="18" t="n">
        <x:f>IF(ISNUMBER('原始输入与口径'!AL188),'原始输入与口径'!AL188,"缺失")</x:f>
        <x:v>0</x:v>
      </x:c>
      <x:c r="AK186" s="18" t="str">
        <x:f>IF(ISNUMBER('原始输入与口径'!O188),'原始输入与口径'!O188,"缺失")</x:f>
        <x:v>缺失</x:v>
      </x:c>
      <x:c r="AL186" s="18" t="n">
        <x:f>SUMIFS('相位SOC复算'!$N$7:$N$443,'相位SOC复算'!$S$7:$S$443,180)</x:f>
        <x:v>0.012178442028985506</x:v>
      </x:c>
      <x:c r="AM186" s="18" t="n">
        <x:f>SUMIFS('相位SOC复算'!$Q$7:$Q$443,'相位SOC复算'!$S$7:$S$443,180)</x:f>
        <x:v>0</x:v>
      </x:c>
      <x:c r="AN186" s="18" t="n">
        <x:f>SUMIFS('相位SOC复算'!$R$7:$R$443,'相位SOC复算'!$S$7:$S$443,180)</x:f>
        <x:v>4.0335</x:v>
      </x:c>
      <x:c r="AO186" s="18" t="n">
        <x:f>'相位SOC复算'!J418</x:f>
        <x:v>20.8806229565213</x:v>
      </x:c>
      <x:c r="AP186" s="18" t="n">
        <x:f>AO186-J186</x:f>
        <x:v>1.0658141036401503e-14</x:v>
      </x:c>
      <x:c r="AQ186" s="18" t="n">
        <x:f>IF(ISBLANK('原始输入与口径'!M188),"",'原始输入与口径'!M188)</x:f>
        <x:v>4.9741</x:v>
      </x:c>
      <x:c r="AR186" s="21" t="n">
        <x:f>IF(ISBLANK('原始输入与口径'!L188),"",'原始输入与口径'!L188)</x:f>
        <x:v>45657</x:v>
      </x:c>
      <x:c r="AS186" s="17" t="n">
        <x:f>IF(ISBLANK('原始输入与口径'!A188),"",'原始输入与口径'!A188)</x:f>
        <x:v>45659.78125</x:v>
      </x:c>
      <x:c r="AT186" s="18" t="str">
        <x:f>IF(ISBLANK('原始输入与口径'!I188),"",'原始输入与口径'!I188)</x:f>
        <x:v>2025-01-02_20</x:v>
      </x:c>
      <x:c r="AU186" s="19" t="n">
        <x:f>IF(ISBLANK('原始输入与口径'!J188),"",'原始输入与口径'!J188)</x:f>
        <x:v>60</x:v>
      </x:c>
      <x:c r="AV186" s="18" t="str">
        <x:f>IF(ISBLANK('原始输入与口径'!BB188),"",'原始输入与口径'!BB188)</x:f>
        <x:v>OK</x:v>
      </x:c>
    </x:row>
    <x:row r="187" ht="21" customHeight="1">
      <x:c r="A187" s="17" t="n">
        <x:f>45659.875</x:f>
        <x:v>45659.875</x:v>
      </x:c>
      <x:c r="B187" s="23" t="n">
        <x:f>IF(ISNUMBER('原始输入与口径'!H189),'原始输入与口径'!H189,"缺失")</x:f>
        <x:v>131.19</x:v>
      </x:c>
      <x:c r="C187" s="23" t="str">
        <x:f>IF(ISNUMBER('原始输入与口径'!R189),'原始输入与口径'!R189,"缺失")</x:f>
        <x:v>缺失</x:v>
      </x:c>
      <x:c r="D187" s="23" t="n">
        <x:f>IF(ISNUMBER('原始输入与口径'!W189),'原始输入与口径'!W189,"缺失")</x:f>
        <x:v>13.831647936310086</x:v>
      </x:c>
      <x:c r="E187" s="23" t="n">
        <x:f>IF(ISNUMBER('原始输入与口径'!AB189),'原始输入与口径'!AB189,"缺失")</x:f>
        <x:v>14.710198829939085</x:v>
      </x:c>
      <x:c r="F187" s="23" t="n">
        <x:f>IF(ISNUMBER('原始输入与口径'!AG189),'原始输入与口径'!AG189,"缺失")</x:f>
        <x:v>172.98606783136648</x:v>
      </x:c>
      <x:c r="G187" s="23" t="n">
        <x:f>IF(ISNUMBER('原始输入与口径'!AJ189),'原始输入与口径'!AJ189,"缺失")</x:f>
        <x:v>27.437928469471867</x:v>
      </x:c>
      <x:c r="H187" s="23" t="str">
        <x:f>"未模拟"</x:f>
        <x:v>未模拟</x:v>
      </x:c>
      <x:c r="I187" s="24" t="n">
        <x:f>'原始输入与口径'!BD189</x:f>
        <x:v>20.88062295652129</x:v>
      </x:c>
      <x:c r="J187" s="24" t="n">
        <x:f>'原始输入与口径'!BE189</x:f>
        <x:v>9.999999999997465</x:v>
      </x:c>
      <x:c r="K187" s="24" t="n">
        <x:f>'原始输入与口径'!BF189</x:f>
        <x:v>38.0000000000077</x:v>
      </x:c>
      <x:c r="L187" s="24" t="n">
        <x:f>'原始输入与口径'!BG189</x:f>
        <x:v>0</x:v>
      </x:c>
      <x:c r="M187" s="24" t="n">
        <x:f>'原始输入与口径'!BH189</x:f>
        <x:v>62</x:v>
      </x:c>
      <x:c r="N187" s="24" t="n">
        <x:f>'原始输入与口径'!BI189</x:f>
        <x:v>100</x:v>
      </x:c>
      <x:c r="O187" s="24" t="n">
        <x:f>M187*AE187*AC187</x:f>
        <x:v>1.10732</x:v>
      </x:c>
      <x:c r="P187" s="24" t="n">
        <x:f>N187*AF187*AC187</x:f>
        <x:v>0.66</x:v>
      </x:c>
      <x:c r="Q187" s="25" t="n">
        <x:f>IF(K187=0,0,IF(ISNUMBER(B187),K187*AC187*B187,NA()))</x:f>
        <x:v>1246.3050000002527</x:v>
      </x:c>
      <x:c r="R187" s="25" t="n">
        <x:f>IF(L187=0,0,IF(ISNUMBER(C187),L187*AC187*C187*AD187,NA()))</x:f>
        <x:v>0</x:v>
      </x:c>
      <x:c r="S187" s="25" t="n">
        <x:f>IF(M187=0,0,IF(ISNUMBER(D187),M187*AC187*D187*AD187,NA()))</x:f>
        <x:v>214.39054301280632</x:v>
      </x:c>
      <x:c r="T187" s="25" t="n">
        <x:f>IF(N187=0,0,IF(ISNUMBER(E187),N187*AC187*E187*AD187,NA()))</x:f>
        <x:v>367.7549707484771</x:v>
      </x:c>
      <x:c r="U187" s="25" t="n">
        <x:f>IF(O187=0,0,IF(ISNUMBER(F187),O187*F187,NA()))</x:f>
        <x:v>191.55093263102876</x:v>
      </x:c>
      <x:c r="V187" s="25" t="n">
        <x:f>IF(P187=0,0,IF(ISNUMBER(G187),-P187*G187,NA()))</x:f>
        <x:v>-18.109032789851433</x:v>
      </x:c>
      <x:c r="W187" s="25" t="n">
        <x:f>SUM(Q187:V187)</x:f>
        <x:v>2001.8924136027133</x:v>
      </x:c>
      <x:c r="X187" s="18" t="n">
        <x:f>'原始输入与口径'!BR189</x:f>
        <x:v>2001.8924136027133</x:v>
      </x:c>
      <x:c r="Y187" s="18" t="n">
        <x:f>W187-X187</x:f>
        <x:v>0</x:v>
      </x:c>
      <x:c r="Z187" s="18" t="str">
        <x:f>"1月2日计划｜本窗新增"</x:f>
        <x:v>1月2日计划｜本窗新增</x:v>
      </x:c>
      <x:c r="AA187" s="19" t="n">
        <x:f>IF('原始输入与口径'!AW189,1,0)</x:f>
        <x:v>1</x:v>
      </x:c>
      <x:c r="AB187" s="19" t="n">
        <x:f>IF('原始输入与口径'!AY189,1,0)</x:f>
        <x:v>0</x:v>
      </x:c>
      <x:c r="AC187" s="18" t="n">
        <x:f>'原始输入与口径'!E189</x:f>
        <x:v>0.25</x:v>
      </x:c>
      <x:c r="AD187" s="20" t="n">
        <x:f>'原始输入与口径'!$F$5</x:f>
        <x:v>1</x:v>
      </x:c>
      <x:c r="AE187" s="20" t="n">
        <x:f>IF(AA187=0,0,AI187/(AG187*AC187))</x:f>
        <x:v>0.07144</x:v>
      </x:c>
      <x:c r="AF187" s="20" t="n">
        <x:f>IF(AA187=0,0,AJ187/(AH187*AC187))</x:f>
        <x:v>0.0264</x:v>
      </x:c>
      <x:c r="AG187" s="18" t="n">
        <x:f>IF(ISNUMBER('原始输入与口径'!T189),'原始输入与口径'!T189,"缺失")</x:f>
        <x:v>200</x:v>
      </x:c>
      <x:c r="AH187" s="18" t="n">
        <x:f>IF(ISNUMBER('原始输入与口径'!Y189),'原始输入与口径'!Y189,"缺失")</x:f>
        <x:v>200</x:v>
      </x:c>
      <x:c r="AI187" s="18" t="n">
        <x:f>IF(ISNUMBER('原始输入与口径'!AI189),'原始输入与口径'!AI189,"缺失")</x:f>
        <x:v>3.572</x:v>
      </x:c>
      <x:c r="AJ187" s="18" t="n">
        <x:f>IF(ISNUMBER('原始输入与口径'!AL189),'原始输入与口径'!AL189,"缺失")</x:f>
        <x:v>1.32</x:v>
      </x:c>
      <x:c r="AK187" s="18" t="str">
        <x:f>IF(ISNUMBER('原始输入与口径'!O189),'原始输入与口径'!O189,"缺失")</x:f>
        <x:v>缺失</x:v>
      </x:c>
      <x:c r="AL187" s="18" t="n">
        <x:f>SUMIFS('相位SOC复算'!$N$7:$N$443,'相位SOC复算'!$S$7:$S$443,181)</x:f>
        <x:v>0.03231541932367703</x:v>
      </x:c>
      <x:c r="AM187" s="18" t="n">
        <x:f>SUMIFS('相位SOC复算'!$Q$7:$Q$443,'相位SOC复算'!$S$7:$S$443,181)</x:f>
        <x:v>0.40919999999994916</x:v>
      </x:c>
      <x:c r="AN187" s="18" t="n">
        <x:f>SUMIFS('相位SOC复算'!$R$7:$R$443,'相位SOC复算'!$S$7:$S$443,181)</x:f>
        <x:v>10.356520000001876</x:v>
      </x:c>
      <x:c r="AO187" s="18" t="n">
        <x:f>'相位SOC复算'!J421</x:f>
        <x:v>9.999999999997476</x:v>
      </x:c>
      <x:c r="AP187" s="18" t="n">
        <x:f>AO187-J187</x:f>
        <x:v>1.0658141036401503e-14</x:v>
      </x:c>
      <x:c r="AQ187" s="18" t="n">
        <x:f>IF(ISBLANK('原始输入与口径'!M189),"",'原始输入与口径'!M189)</x:f>
        <x:v>4.9741</x:v>
      </x:c>
      <x:c r="AR187" s="21" t="n">
        <x:f>IF(ISBLANK('原始输入与口径'!L189),"",'原始输入与口径'!L189)</x:f>
        <x:v>45657</x:v>
      </x:c>
      <x:c r="AS187" s="17" t="n">
        <x:f>IF(ISBLANK('原始输入与口径'!A189),"",'原始输入与口径'!A189)</x:f>
        <x:v>45659.791666666664</x:v>
      </x:c>
      <x:c r="AT187" s="18" t="str">
        <x:f>IF(ISBLANK('原始输入与口径'!I189),"",'原始输入与口径'!I189)</x:f>
        <x:v>2025-01-02_21</x:v>
      </x:c>
      <x:c r="AU187" s="19" t="n">
        <x:f>IF(ISBLANK('原始输入与口径'!J189),"",'原始输入与口径'!J189)</x:f>
        <x:v>60</x:v>
      </x:c>
      <x:c r="AV187" s="18" t="str">
        <x:f>IF(ISBLANK('原始输入与口径'!BB189),"",'原始输入与口径'!BB189)</x:f>
        <x:v>OK</x:v>
      </x:c>
    </x:row>
    <x:row r="188" ht="21" customHeight="1">
      <x:c r="A188" s="17" t="n">
        <x:f>45659.885416666664</x:f>
        <x:v>45659.885416666664</x:v>
      </x:c>
      <x:c r="B188" s="23" t="n">
        <x:f>IF(ISNUMBER('原始输入与口径'!H190),'原始输入与口径'!H190,"缺失")</x:f>
        <x:v>131.19</x:v>
      </x:c>
      <x:c r="C188" s="23" t="str">
        <x:f>IF(ISNUMBER('原始输入与口径'!R190),'原始输入与口径'!R190,"缺失")</x:f>
        <x:v>缺失</x:v>
      </x:c>
      <x:c r="D188" s="23" t="n">
        <x:f>IF(ISNUMBER('原始输入与口径'!W190),'原始输入与口径'!W190,"缺失")</x:f>
        <x:v>13.831647936310086</x:v>
      </x:c>
      <x:c r="E188" s="23" t="n">
        <x:f>IF(ISNUMBER('原始输入与口径'!AB190),'原始输入与口径'!AB190,"缺失")</x:f>
        <x:v>14.710198829939085</x:v>
      </x:c>
      <x:c r="F188" s="23" t="n">
        <x:f>IF(ISNUMBER('原始输入与口径'!AG190),'原始输入与口径'!AG190,"缺失")</x:f>
        <x:v>0</x:v>
      </x:c>
      <x:c r="G188" s="23" t="n">
        <x:f>IF(ISNUMBER('原始输入与口径'!AJ190),'原始输入与口径'!AJ190,"缺失")</x:f>
        <x:v>2.203011600088458</x:v>
      </x:c>
      <x:c r="H188" s="23" t="str">
        <x:f>"未模拟"</x:f>
        <x:v>未模拟</x:v>
      </x:c>
      <x:c r="I188" s="24" t="n">
        <x:f>'原始输入与口径'!BD190</x:f>
        <x:v>9.999999999997465</x:v>
      </x:c>
      <x:c r="J188" s="24" t="n">
        <x:f>'原始输入与口径'!BE190</x:f>
        <x:v>10.640291269560734</x:v>
      </x:c>
      <x:c r="K188" s="24" t="n">
        <x:f>'原始输入与口径'!BF190</x:f>
        <x:v>38.0000000000077</x:v>
      </x:c>
      <x:c r="L188" s="24" t="n">
        <x:f>'原始输入与口径'!BG190</x:f>
        <x:v>0</x:v>
      </x:c>
      <x:c r="M188" s="24" t="n">
        <x:f>'原始输入与口径'!BH190</x:f>
        <x:v>62</x:v>
      </x:c>
      <x:c r="N188" s="24" t="n">
        <x:f>'原始输入与口径'!BI190</x:f>
        <x:v>100</x:v>
      </x:c>
      <x:c r="O188" s="24" t="n">
        <x:f>M188*AE188*AC188</x:f>
        <x:v>0</x:v>
      </x:c>
      <x:c r="P188" s="24" t="n">
        <x:f>N188*AF188*AC188</x:f>
        <x:v>11.151</x:v>
      </x:c>
      <x:c r="Q188" s="25" t="n">
        <x:f>IF(K188=0,0,IF(ISNUMBER(B188),K188*AC188*B188,NA()))</x:f>
        <x:v>1246.3050000002527</x:v>
      </x:c>
      <x:c r="R188" s="25" t="n">
        <x:f>IF(L188=0,0,IF(ISNUMBER(C188),L188*AC188*C188*AD188,NA()))</x:f>
        <x:v>0</x:v>
      </x:c>
      <x:c r="S188" s="25" t="n">
        <x:f>IF(M188=0,0,IF(ISNUMBER(D188),M188*AC188*D188*AD188,NA()))</x:f>
        <x:v>214.39054301280632</x:v>
      </x:c>
      <x:c r="T188" s="25" t="n">
        <x:f>IF(N188=0,0,IF(ISNUMBER(E188),N188*AC188*E188*AD188,NA()))</x:f>
        <x:v>367.7549707484771</x:v>
      </x:c>
      <x:c r="U188" s="25" t="n">
        <x:f>IF(O188=0,0,IF(ISNUMBER(F188),O188*F188,NA()))</x:f>
        <x:v>0</x:v>
      </x:c>
      <x:c r="V188" s="25" t="n">
        <x:f>IF(P188=0,0,IF(ISNUMBER(G188),-P188*G188,NA()))</x:f>
        <x:v>-24.565782352586396</x:v>
      </x:c>
      <x:c r="W188" s="25" t="n">
        <x:f>SUM(Q188:V188)</x:f>
        <x:v>1803.8847314089496</x:v>
      </x:c>
      <x:c r="X188" s="18" t="n">
        <x:f>'原始输入与口径'!BR190</x:f>
        <x:v>1803.8847314089496</x:v>
      </x:c>
      <x:c r="Y188" s="18" t="n">
        <x:f>W188-X188</x:f>
        <x:v>0</x:v>
      </x:c>
      <x:c r="Z188" s="18" t="str">
        <x:f>"1月2日计划｜本窗新增"</x:f>
        <x:v>1月2日计划｜本窗新增</x:v>
      </x:c>
      <x:c r="AA188" s="19" t="n">
        <x:f>IF('原始输入与口径'!AW190,1,0)</x:f>
        <x:v>1</x:v>
      </x:c>
      <x:c r="AB188" s="19" t="n">
        <x:f>IF('原始输入与口径'!AY190,1,0)</x:f>
        <x:v>0</x:v>
      </x:c>
      <x:c r="AC188" s="18" t="n">
        <x:f>'原始输入与口径'!E190</x:f>
        <x:v>0.25</x:v>
      </x:c>
      <x:c r="AD188" s="20" t="n">
        <x:f>'原始输入与口径'!$F$5</x:f>
        <x:v>1</x:v>
      </x:c>
      <x:c r="AE188" s="20" t="n">
        <x:f>IF(AA188=0,0,AI188/(AG188*AC188))</x:f>
        <x:v>0</x:v>
      </x:c>
      <x:c r="AF188" s="20" t="n">
        <x:f>IF(AA188=0,0,AJ188/(AH188*AC188))</x:f>
        <x:v>0.44604</x:v>
      </x:c>
      <x:c r="AG188" s="18" t="n">
        <x:f>IF(ISNUMBER('原始输入与口径'!T190),'原始输入与口径'!T190,"缺失")</x:f>
        <x:v>200</x:v>
      </x:c>
      <x:c r="AH188" s="18" t="n">
        <x:f>IF(ISNUMBER('原始输入与口径'!Y190),'原始输入与口径'!Y190,"缺失")</x:f>
        <x:v>200</x:v>
      </x:c>
      <x:c r="AI188" s="18" t="n">
        <x:f>IF(ISNUMBER('原始输入与口径'!AI190),'原始输入与口径'!AI190,"缺失")</x:f>
        <x:v>0</x:v>
      </x:c>
      <x:c r="AJ188" s="18" t="n">
        <x:f>IF(ISNUMBER('原始输入与口径'!AL190),'原始输入与口径'!AL190,"缺失")</x:f>
        <x:v>22.302</x:v>
      </x:c>
      <x:c r="AK188" s="18" t="str">
        <x:f>IF(ISNUMBER('原始输入与口径'!O190),'原始输入与口径'!O190,"缺失")</x:f>
        <x:v>缺失</x:v>
      </x:c>
      <x:c r="AL188" s="18" t="n">
        <x:f>SUMIFS('相位SOC复算'!$N$7:$N$443,'相位SOC复算'!$S$7:$S$443,182)</x:f>
        <x:v>0.03355769314009764</x:v>
      </x:c>
      <x:c r="AM188" s="18" t="n">
        <x:f>SUMIFS('相位SOC复算'!$Q$7:$Q$443,'相位SOC复算'!$S$7:$S$443,182)</x:f>
        <x:v>6.913619999999141</x:v>
      </x:c>
      <x:c r="AN188" s="18" t="n">
        <x:f>SUMIFS('相位SOC复算'!$R$7:$R$443,'相位SOC复算'!$S$7:$S$443,182)</x:f>
        <x:v>5.262620000001067</x:v>
      </x:c>
      <x:c r="AO188" s="18" t="n">
        <x:f>'相位SOC复算'!J423</x:f>
        <x:v>10.640291269560741</x:v>
      </x:c>
      <x:c r="AP188" s="18" t="n">
        <x:f>AO188-J188</x:f>
        <x:v>7.105427357601002e-15</x:v>
      </x:c>
      <x:c r="AQ188" s="18" t="n">
        <x:f>IF(ISBLANK('原始输入与口径'!M190),"",'原始输入与口径'!M190)</x:f>
        <x:v>4.9741</x:v>
      </x:c>
      <x:c r="AR188" s="21" t="n">
        <x:f>IF(ISBLANK('原始输入与口径'!L190),"",'原始输入与口径'!L190)</x:f>
        <x:v>45657</x:v>
      </x:c>
      <x:c r="AS188" s="17" t="n">
        <x:f>IF(ISBLANK('原始输入与口径'!A190),"",'原始输入与口径'!A190)</x:f>
        <x:v>45659.802083333336</x:v>
      </x:c>
      <x:c r="AT188" s="18" t="str">
        <x:f>IF(ISBLANK('原始输入与口径'!I190),"",'原始输入与口径'!I190)</x:f>
        <x:v>2025-01-02_21</x:v>
      </x:c>
      <x:c r="AU188" s="19" t="n">
        <x:f>IF(ISBLANK('原始输入与口径'!J190),"",'原始输入与口径'!J190)</x:f>
        <x:v>60</x:v>
      </x:c>
      <x:c r="AV188" s="18" t="str">
        <x:f>IF(ISBLANK('原始输入与口径'!BB190),"",'原始输入与口径'!BB190)</x:f>
        <x:v>OK</x:v>
      </x:c>
    </x:row>
    <x:row r="189" ht="21" customHeight="1">
      <x:c r="A189" s="17" t="n">
        <x:f>45659.895833333336</x:f>
        <x:v>45659.895833333336</x:v>
      </x:c>
      <x:c r="B189" s="23" t="n">
        <x:f>IF(ISNUMBER('原始输入与口径'!H191),'原始输入与口径'!H191,"缺失")</x:f>
        <x:v>131.19</x:v>
      </x:c>
      <x:c r="C189" s="23" t="str">
        <x:f>IF(ISNUMBER('原始输入与口径'!R191),'原始输入与口径'!R191,"缺失")</x:f>
        <x:v>缺失</x:v>
      </x:c>
      <x:c r="D189" s="23" t="n">
        <x:f>IF(ISNUMBER('原始输入与口径'!W191),'原始输入与口径'!W191,"缺失")</x:f>
        <x:v>13.831647936310086</x:v>
      </x:c>
      <x:c r="E189" s="23" t="n">
        <x:f>IF(ISNUMBER('原始输入与口径'!AB191),'原始输入与口径'!AB191,"缺失")</x:f>
        <x:v>14.710198829939085</x:v>
      </x:c>
      <x:c r="F189" s="23" t="n">
        <x:f>IF(ISNUMBER('原始输入与口径'!AG191),'原始输入与口径'!AG191,"缺失")</x:f>
        <x:v>0</x:v>
      </x:c>
      <x:c r="G189" s="23" t="n">
        <x:f>IF(ISNUMBER('原始输入与口径'!AJ191),'原始输入与口径'!AJ191,"缺失")</x:f>
        <x:v>-100.98228825315132</x:v>
      </x:c>
      <x:c r="H189" s="23" t="str">
        <x:f>"未模拟"</x:f>
        <x:v>未模拟</x:v>
      </x:c>
      <x:c r="I189" s="24" t="n">
        <x:f>'原始输入与口径'!BD191</x:f>
        <x:v>10.640291269560734</x:v>
      </x:c>
      <x:c r="J189" s="24" t="n">
        <x:f>'原始输入与口径'!BE191</x:f>
        <x:v>14.91194758260231</x:v>
      </x:c>
      <x:c r="K189" s="24" t="n">
        <x:f>'原始输入与口径'!BF191</x:f>
        <x:v>38.0000000000077</x:v>
      </x:c>
      <x:c r="L189" s="24" t="n">
        <x:f>'原始输入与口径'!BG191</x:f>
        <x:v>0</x:v>
      </x:c>
      <x:c r="M189" s="24" t="n">
        <x:f>'原始输入与口径'!BH191</x:f>
        <x:v>62</x:v>
      </x:c>
      <x:c r="N189" s="24" t="n">
        <x:f>'原始输入与口径'!BI191</x:f>
        <x:v>100</x:v>
      </x:c>
      <x:c r="O189" s="24" t="n">
        <x:f>M189*AE189*AC189</x:f>
        <x:v>0</x:v>
      </x:c>
      <x:c r="P189" s="24" t="n">
        <x:f>N189*AF189*AC189</x:f>
        <x:v>14.8435</x:v>
      </x:c>
      <x:c r="Q189" s="25" t="n">
        <x:f>IF(K189=0,0,IF(ISNUMBER(B189),K189*AC189*B189,NA()))</x:f>
        <x:v>1246.3050000002527</x:v>
      </x:c>
      <x:c r="R189" s="25" t="n">
        <x:f>IF(L189=0,0,IF(ISNUMBER(C189),L189*AC189*C189*AD189,NA()))</x:f>
        <x:v>0</x:v>
      </x:c>
      <x:c r="S189" s="25" t="n">
        <x:f>IF(M189=0,0,IF(ISNUMBER(D189),M189*AC189*D189*AD189,NA()))</x:f>
        <x:v>214.39054301280632</x:v>
      </x:c>
      <x:c r="T189" s="25" t="n">
        <x:f>IF(N189=0,0,IF(ISNUMBER(E189),N189*AC189*E189*AD189,NA()))</x:f>
        <x:v>367.7549707484771</x:v>
      </x:c>
      <x:c r="U189" s="25" t="n">
        <x:f>IF(O189=0,0,IF(ISNUMBER(F189),O189*F189,NA()))</x:f>
        <x:v>0</x:v>
      </x:c>
      <x:c r="V189" s="25" t="n">
        <x:f>IF(P189=0,0,IF(ISNUMBER(G189),-P189*G189,NA()))</x:f>
        <x:v>1498.9305956856517</x:v>
      </x:c>
      <x:c r="W189" s="25" t="n">
        <x:f>SUM(Q189:V189)</x:f>
        <x:v>3327.3811094471876</x:v>
      </x:c>
      <x:c r="X189" s="18" t="n">
        <x:f>'原始输入与口径'!BR191</x:f>
        <x:v>3327.381109447188</x:v>
      </x:c>
      <x:c r="Y189" s="18" t="n">
        <x:f>W189-X189</x:f>
        <x:v>-4.547473508864641e-13</x:v>
      </x:c>
      <x:c r="Z189" s="18" t="str">
        <x:f>"1月2日计划｜本窗新增"</x:f>
        <x:v>1月2日计划｜本窗新增</x:v>
      </x:c>
      <x:c r="AA189" s="19" t="n">
        <x:f>IF('原始输入与口径'!AW191,1,0)</x:f>
        <x:v>1</x:v>
      </x:c>
      <x:c r="AB189" s="19" t="n">
        <x:f>IF('原始输入与口径'!AY191,1,0)</x:f>
        <x:v>0</x:v>
      </x:c>
      <x:c r="AC189" s="18" t="n">
        <x:f>'原始输入与口径'!E191</x:f>
        <x:v>0.25</x:v>
      </x:c>
      <x:c r="AD189" s="20" t="n">
        <x:f>'原始输入与口径'!$F$5</x:f>
        <x:v>1</x:v>
      </x:c>
      <x:c r="AE189" s="20" t="n">
        <x:f>IF(AA189=0,0,AI189/(AG189*AC189))</x:f>
        <x:v>0</x:v>
      </x:c>
      <x:c r="AF189" s="20" t="n">
        <x:f>IF(AA189=0,0,AJ189/(AH189*AC189))</x:f>
        <x:v>0.59374</x:v>
      </x:c>
      <x:c r="AG189" s="18" t="n">
        <x:f>IF(ISNUMBER('原始输入与口径'!T191),'原始输入与口径'!T191,"缺失")</x:f>
        <x:v>200</x:v>
      </x:c>
      <x:c r="AH189" s="18" t="n">
        <x:f>IF(ISNUMBER('原始输入与口径'!Y191),'原始输入与口径'!Y191,"缺失")</x:f>
        <x:v>200</x:v>
      </x:c>
      <x:c r="AI189" s="18" t="n">
        <x:f>IF(ISNUMBER('原始输入与口径'!AI191),'原始输入与口径'!AI191,"缺失")</x:f>
        <x:v>0</x:v>
      </x:c>
      <x:c r="AJ189" s="18" t="n">
        <x:f>IF(ISNUMBER('原始输入与口径'!AL191),'原始输入与口径'!AL191,"缺失")</x:f>
        <x:v>29.687</x:v>
      </x:c>
      <x:c r="AK189" s="18" t="str">
        <x:f>IF(ISNUMBER('原始输入与口径'!O191),'原始输入与口径'!O191,"缺失")</x:f>
        <x:v>缺失</x:v>
      </x:c>
      <x:c r="AL189" s="18" t="n">
        <x:f>SUMIFS('相位SOC复算'!$N$7:$N$443,'相位SOC复算'!$S$7:$S$443,183)</x:f>
        <x:v>0.03517169024154533</x:v>
      </x:c>
      <x:c r="AM189" s="18" t="n">
        <x:f>SUMIFS('相位SOC复算'!$Q$7:$Q$443,'相位SOC复算'!$S$7:$S$443,183)</x:f>
        <x:v>9.202969999998857</x:v>
      </x:c>
      <x:c r="AN189" s="18" t="n">
        <x:f>SUMIFS('相位SOC复算'!$R$7:$R$443,'相位SOC复算'!$S$7:$S$443,183)</x:f>
        <x:v>3.859470000000782</x:v>
      </x:c>
      <x:c r="AO189" s="18" t="n">
        <x:f>'相位SOC复算'!J425</x:f>
        <x:v>14.911947582602316</x:v>
      </x:c>
      <x:c r="AP189" s="18" t="n">
        <x:f>AO189-J189</x:f>
        <x:v>7.105427357601002e-15</x:v>
      </x:c>
      <x:c r="AQ189" s="18" t="n">
        <x:f>IF(ISBLANK('原始输入与口径'!M191),"",'原始输入与口径'!M191)</x:f>
        <x:v>4.9741</x:v>
      </x:c>
      <x:c r="AR189" s="21" t="n">
        <x:f>IF(ISBLANK('原始输入与口径'!L191),"",'原始输入与口径'!L191)</x:f>
        <x:v>45657</x:v>
      </x:c>
      <x:c r="AS189" s="17" t="n">
        <x:f>IF(ISBLANK('原始输入与口径'!A191),"",'原始输入与口径'!A191)</x:f>
        <x:v>45659.8125</x:v>
      </x:c>
      <x:c r="AT189" s="18" t="str">
        <x:f>IF(ISBLANK('原始输入与口径'!I191),"",'原始输入与口径'!I191)</x:f>
        <x:v>2025-01-02_21</x:v>
      </x:c>
      <x:c r="AU189" s="19" t="n">
        <x:f>IF(ISBLANK('原始输入与口径'!J191),"",'原始输入与口径'!J191)</x:f>
        <x:v>60</x:v>
      </x:c>
      <x:c r="AV189" s="18" t="str">
        <x:f>IF(ISBLANK('原始输入与口径'!BB191),"",'原始输入与口径'!BB191)</x:f>
        <x:v>OK</x:v>
      </x:c>
    </x:row>
    <x:row r="190" ht="21" customHeight="1">
      <x:c r="A190" s="17" t="n">
        <x:f>45659.90625</x:f>
        <x:v>45659.90625</x:v>
      </x:c>
      <x:c r="B190" s="23" t="n">
        <x:f>IF(ISNUMBER('原始输入与口径'!H192),'原始输入与口径'!H192,"缺失")</x:f>
        <x:v>131.19</x:v>
      </x:c>
      <x:c r="C190" s="23" t="str">
        <x:f>IF(ISNUMBER('原始输入与口径'!R192),'原始输入与口径'!R192,"缺失")</x:f>
        <x:v>缺失</x:v>
      </x:c>
      <x:c r="D190" s="23" t="n">
        <x:f>IF(ISNUMBER('原始输入与口径'!W192),'原始输入与口径'!W192,"缺失")</x:f>
        <x:v>13.831647936310086</x:v>
      </x:c>
      <x:c r="E190" s="23" t="n">
        <x:f>IF(ISNUMBER('原始输入与口径'!AB192),'原始输入与口径'!AB192,"缺失")</x:f>
        <x:v>14.710198829939085</x:v>
      </x:c>
      <x:c r="F190" s="23" t="n">
        <x:f>IF(ISNUMBER('原始输入与口径'!AG192),'原始输入与口径'!AG192,"缺失")</x:f>
        <x:v>0</x:v>
      </x:c>
      <x:c r="G190" s="23" t="n">
        <x:f>IF(ISNUMBER('原始输入与口径'!AJ192),'原始输入与口径'!AJ192,"缺失")</x:f>
        <x:v>-223.71966787961642</x:v>
      </x:c>
      <x:c r="H190" s="23" t="str">
        <x:f>"未模拟"</x:f>
        <x:v>未模拟</x:v>
      </x:c>
      <x:c r="I190" s="24" t="n">
        <x:f>'原始输入与口径'!BD192</x:f>
        <x:v>14.91194758260231</x:v>
      </x:c>
      <x:c r="J190" s="24" t="n">
        <x:f>'原始输入与口径'!BE192</x:f>
        <x:v>24.01132793042656</x:v>
      </x:c>
      <x:c r="K190" s="24" t="n">
        <x:f>'原始输入与口径'!BF192</x:f>
        <x:v>38.0000000000077</x:v>
      </x:c>
      <x:c r="L190" s="24" t="n">
        <x:f>'原始输入与口径'!BG192</x:f>
        <x:v>0</x:v>
      </x:c>
      <x:c r="M190" s="24" t="n">
        <x:f>'原始输入与口径'!BH192</x:f>
        <x:v>62</x:v>
      </x:c>
      <x:c r="N190" s="24" t="n">
        <x:f>'原始输入与口径'!BI192</x:f>
        <x:v>100</x:v>
      </x:c>
      <x:c r="O190" s="24" t="n">
        <x:f>M190*AE190*AC190</x:f>
        <x:v>0</x:v>
      </x:c>
      <x:c r="P190" s="24" t="n">
        <x:f>N190*AF190*AC190</x:f>
        <x:v>19.7525</x:v>
      </x:c>
      <x:c r="Q190" s="25" t="n">
        <x:f>IF(K190=0,0,IF(ISNUMBER(B190),K190*AC190*B190,NA()))</x:f>
        <x:v>1246.3050000002527</x:v>
      </x:c>
      <x:c r="R190" s="25" t="n">
        <x:f>IF(L190=0,0,IF(ISNUMBER(C190),L190*AC190*C190*AD190,NA()))</x:f>
        <x:v>0</x:v>
      </x:c>
      <x:c r="S190" s="25" t="n">
        <x:f>IF(M190=0,0,IF(ISNUMBER(D190),M190*AC190*D190*AD190,NA()))</x:f>
        <x:v>214.39054301280632</x:v>
      </x:c>
      <x:c r="T190" s="25" t="n">
        <x:f>IF(N190=0,0,IF(ISNUMBER(E190),N190*AC190*E190*AD190,NA()))</x:f>
        <x:v>367.7549707484771</x:v>
      </x:c>
      <x:c r="U190" s="25" t="n">
        <x:f>IF(O190=0,0,IF(ISNUMBER(F190),O190*F190,NA()))</x:f>
        <x:v>0</x:v>
      </x:c>
      <x:c r="V190" s="25" t="n">
        <x:f>IF(P190=0,0,IF(ISNUMBER(G190),-P190*G190,NA()))</x:f>
        <x:v>4419.0227397921235</x:v>
      </x:c>
      <x:c r="W190" s="25" t="n">
        <x:f>SUM(Q190:V190)</x:f>
        <x:v>6247.47325355366</x:v>
      </x:c>
      <x:c r="X190" s="18" t="n">
        <x:f>'原始输入与口径'!BR192</x:f>
        <x:v>6247.47325355366</x:v>
      </x:c>
      <x:c r="Y190" s="18" t="n">
        <x:f>W190-X190</x:f>
        <x:v>0</x:v>
      </x:c>
      <x:c r="Z190" s="18" t="str">
        <x:f>"1月2日计划｜本窗新增"</x:f>
        <x:v>1月2日计划｜本窗新增</x:v>
      </x:c>
      <x:c r="AA190" s="19" t="n">
        <x:f>IF('原始输入与口径'!AW192,1,0)</x:f>
        <x:v>1</x:v>
      </x:c>
      <x:c r="AB190" s="19" t="n">
        <x:f>IF('原始输入与口径'!AY192,1,0)</x:f>
        <x:v>0</x:v>
      </x:c>
      <x:c r="AC190" s="18" t="n">
        <x:f>'原始输入与口径'!E192</x:f>
        <x:v>0.25</x:v>
      </x:c>
      <x:c r="AD190" s="20" t="n">
        <x:f>'原始输入与口径'!$F$5</x:f>
        <x:v>1</x:v>
      </x:c>
      <x:c r="AE190" s="20" t="n">
        <x:f>IF(AA190=0,0,AI190/(AG190*AC190))</x:f>
        <x:v>0</x:v>
      </x:c>
      <x:c r="AF190" s="20" t="n">
        <x:f>IF(AA190=0,0,AJ190/(AH190*AC190))</x:f>
        <x:v>0.7901</x:v>
      </x:c>
      <x:c r="AG190" s="18" t="n">
        <x:f>IF(ISNUMBER('原始输入与口径'!T192),'原始输入与口径'!T192,"缺失")</x:f>
        <x:v>200</x:v>
      </x:c>
      <x:c r="AH190" s="18" t="n">
        <x:f>IF(ISNUMBER('原始输入与口径'!Y192),'原始输入与口径'!Y192,"缺失")</x:f>
        <x:v>200</x:v>
      </x:c>
      <x:c r="AI190" s="18" t="n">
        <x:f>IF(ISNUMBER('原始输入与口径'!AI192),'原始输入与口径'!AI192,"缺失")</x:f>
        <x:v>0</x:v>
      </x:c>
      <x:c r="AJ190" s="18" t="n">
        <x:f>IF(ISNUMBER('原始输入与口径'!AL192),'原始输入与口径'!AL192,"缺失")</x:f>
        <x:v>39.505</x:v>
      </x:c>
      <x:c r="AK190" s="18" t="str">
        <x:f>IF(ISNUMBER('原始输入与口径'!O192),'原始输入与口径'!O192,"缺失")</x:f>
        <x:v>缺失</x:v>
      </x:c>
      <x:c r="AL190" s="18" t="n">
        <x:f>SUMIFS('相位SOC复算'!$N$7:$N$443,'相位SOC复算'!$S$7:$S$443,184)</x:f>
        <x:v>0.037317421256035974</x:v>
      </x:c>
      <x:c r="AM190" s="18" t="n">
        <x:f>SUMIFS('相位SOC复算'!$Q$7:$Q$443,'相位SOC复算'!$S$7:$S$443,184)</x:f>
        <x:v>12.246549999998479</x:v>
      </x:c>
      <x:c r="AN190" s="18" t="n">
        <x:f>SUMIFS('相位SOC复算'!$R$7:$R$443,'相位SOC复算'!$S$7:$S$443,184)</x:f>
        <x:v>1.994050000000404</x:v>
      </x:c>
      <x:c r="AO190" s="18" t="n">
        <x:f>'相位SOC复算'!J427</x:f>
        <x:v>24.011327930426567</x:v>
      </x:c>
      <x:c r="AP190" s="18" t="n">
        <x:f>AO190-J190</x:f>
        <x:v>7.105427357601002e-15</x:v>
      </x:c>
      <x:c r="AQ190" s="18" t="n">
        <x:f>IF(ISBLANK('原始输入与口径'!M192),"",'原始输入与口径'!M192)</x:f>
        <x:v>4.9741</x:v>
      </x:c>
      <x:c r="AR190" s="21" t="n">
        <x:f>IF(ISBLANK('原始输入与口径'!L192),"",'原始输入与口径'!L192)</x:f>
        <x:v>45657</x:v>
      </x:c>
      <x:c r="AS190" s="17" t="n">
        <x:f>IF(ISBLANK('原始输入与口径'!A192),"",'原始输入与口径'!A192)</x:f>
        <x:v>45659.822916666664</x:v>
      </x:c>
      <x:c r="AT190" s="18" t="str">
        <x:f>IF(ISBLANK('原始输入与口径'!I192),"",'原始输入与口径'!I192)</x:f>
        <x:v>2025-01-02_21</x:v>
      </x:c>
      <x:c r="AU190" s="19" t="n">
        <x:f>IF(ISBLANK('原始输入与口径'!J192),"",'原始输入与口径'!J192)</x:f>
        <x:v>60</x:v>
      </x:c>
      <x:c r="AV190" s="18" t="str">
        <x:f>IF(ISBLANK('原始输入与口径'!BB192),"",'原始输入与口径'!BB192)</x:f>
        <x:v>OK</x:v>
      </x:c>
    </x:row>
    <x:row r="191" ht="21" customHeight="1">
      <x:c r="A191" s="17" t="n">
        <x:f>45659.916666666664</x:f>
        <x:v>45659.916666666664</x:v>
      </x:c>
      <x:c r="B191" s="23" t="n">
        <x:f>IF(ISNUMBER('原始输入与口径'!H193),'原始输入与口径'!H193,"缺失")</x:f>
        <x:v>123.8</x:v>
      </x:c>
      <x:c r="C191" s="23" t="str">
        <x:f>IF(ISNUMBER('原始输入与口径'!R193),'原始输入与口径'!R193,"缺失")</x:f>
        <x:v>缺失</x:v>
      </x:c>
      <x:c r="D191" s="23" t="n">
        <x:f>IF(ISNUMBER('原始输入与口径'!W193),'原始输入与口径'!W193,"缺失")</x:f>
        <x:v>13.831647936310086</x:v>
      </x:c>
      <x:c r="E191" s="23" t="n">
        <x:f>IF(ISNUMBER('原始输入与口径'!AB193),'原始输入与口径'!AB193,"缺失")</x:f>
        <x:v>14.710198829939085</x:v>
      </x:c>
      <x:c r="F191" s="23" t="n">
        <x:f>IF(ISNUMBER('原始输入与口径'!AG193),'原始输入与口径'!AG193,"缺失")</x:f>
        <x:v>0</x:v>
      </x:c>
      <x:c r="G191" s="23" t="n">
        <x:f>IF(ISNUMBER('原始输入与口径'!AJ193),'原始输入与口径'!AJ193,"缺失")</x:f>
        <x:v>-60.837538449166686</x:v>
      </x:c>
      <x:c r="H191" s="23" t="str">
        <x:f>"未模拟"</x:f>
        <x:v>未模拟</x:v>
      </x:c>
      <x:c r="I191" s="24" t="n">
        <x:f>'原始输入与口径'!BD193</x:f>
        <x:v>24.01132793042656</x:v>
      </x:c>
      <x:c r="J191" s="24" t="n">
        <x:f>'原始输入与口径'!BE193</x:f>
        <x:v>19.624577356513527</x:v>
      </x:c>
      <x:c r="K191" s="24" t="n">
        <x:f>'原始输入与口径'!BF193</x:f>
        <x:v>30.999999999999964</x:v>
      </x:c>
      <x:c r="L191" s="24" t="n">
        <x:f>'原始输入与口径'!BG193</x:f>
        <x:v>0</x:v>
      </x:c>
      <x:c r="M191" s="24" t="n">
        <x:f>'原始输入与口径'!BH193</x:f>
        <x:v>69</x:v>
      </x:c>
      <x:c r="N191" s="24" t="n">
        <x:f>'原始输入与口径'!BI193</x:f>
        <x:v>100</x:v>
      </x:c>
      <x:c r="O191" s="24" t="n">
        <x:f>M191*AE191*AC191</x:f>
        <x:v>0</x:v>
      </x:c>
      <x:c r="P191" s="24" t="n">
        <x:f>N191*AF191*AC191</x:f>
        <x:v>4.1545</x:v>
      </x:c>
      <x:c r="Q191" s="25" t="n">
        <x:f>IF(K191=0,0,IF(ISNUMBER(B191),K191*AC191*B191,NA()))</x:f>
        <x:v>959.4499999999989</x:v>
      </x:c>
      <x:c r="R191" s="25" t="n">
        <x:f>IF(L191=0,0,IF(ISNUMBER(C191),L191*AC191*C191*AD191,NA()))</x:f>
        <x:v>0</x:v>
      </x:c>
      <x:c r="S191" s="25" t="n">
        <x:f>IF(M191=0,0,IF(ISNUMBER(D191),M191*AC191*D191*AD191,NA()))</x:f>
        <x:v>238.59592690134897</x:v>
      </x:c>
      <x:c r="T191" s="25" t="n">
        <x:f>IF(N191=0,0,IF(ISNUMBER(E191),N191*AC191*E191*AD191,NA()))</x:f>
        <x:v>367.7549707484771</x:v>
      </x:c>
      <x:c r="U191" s="25" t="n">
        <x:f>IF(O191=0,0,IF(ISNUMBER(F191),O191*F191,NA()))</x:f>
        <x:v>0</x:v>
      </x:c>
      <x:c r="V191" s="25" t="n">
        <x:f>IF(P191=0,0,IF(ISNUMBER(G191),-P191*G191,NA()))</x:f>
        <x:v>252.74955348706297</x:v>
      </x:c>
      <x:c r="W191" s="25" t="n">
        <x:f>SUM(Q191:V191)</x:f>
        <x:v>1818.550451136888</x:v>
      </x:c>
      <x:c r="X191" s="18" t="n">
        <x:f>'原始输入与口径'!BR193</x:f>
        <x:v>1818.550451136888</x:v>
      </x:c>
      <x:c r="Y191" s="18" t="n">
        <x:f>W191-X191</x:f>
        <x:v>0</x:v>
      </x:c>
      <x:c r="Z191" s="18" t="str">
        <x:f>"1月2日计划｜本窗新增"</x:f>
        <x:v>1月2日计划｜本窗新增</x:v>
      </x:c>
      <x:c r="AA191" s="19" t="n">
        <x:f>IF('原始输入与口径'!AW193,1,0)</x:f>
        <x:v>1</x:v>
      </x:c>
      <x:c r="AB191" s="19" t="n">
        <x:f>IF('原始输入与口径'!AY193,1,0)</x:f>
        <x:v>0</x:v>
      </x:c>
      <x:c r="AC191" s="18" t="n">
        <x:f>'原始输入与口径'!E193</x:f>
        <x:v>0.25</x:v>
      </x:c>
      <x:c r="AD191" s="20" t="n">
        <x:f>'原始输入与口径'!$F$5</x:f>
        <x:v>1</x:v>
      </x:c>
      <x:c r="AE191" s="20" t="n">
        <x:f>IF(AA191=0,0,AI191/(AG191*AC191))</x:f>
        <x:v>0</x:v>
      </x:c>
      <x:c r="AF191" s="20" t="n">
        <x:f>IF(AA191=0,0,AJ191/(AH191*AC191))</x:f>
        <x:v>0.16618</x:v>
      </x:c>
      <x:c r="AG191" s="18" t="n">
        <x:f>IF(ISNUMBER('原始输入与口径'!T193),'原始输入与口径'!T193,"缺失")</x:f>
        <x:v>200</x:v>
      </x:c>
      <x:c r="AH191" s="18" t="n">
        <x:f>IF(ISNUMBER('原始输入与口径'!Y193),'原始输入与口径'!Y193,"缺失")</x:f>
        <x:v>200</x:v>
      </x:c>
      <x:c r="AI191" s="18" t="n">
        <x:f>IF(ISNUMBER('原始输入与口径'!AI193),'原始输入与口径'!AI193,"缺失")</x:f>
        <x:v>0</x:v>
      </x:c>
      <x:c r="AJ191" s="18" t="n">
        <x:f>IF(ISNUMBER('原始输入与口径'!AL193),'原始输入与口径'!AL193,"缺失")</x:f>
        <x:v>8.309</x:v>
      </x:c>
      <x:c r="AK191" s="18" t="str">
        <x:f>IF(ISNUMBER('原始输入与口径'!O193),'原始输入与口径'!O193,"缺失")</x:f>
        <x:v>缺失</x:v>
      </x:c>
      <x:c r="AL191" s="18" t="n">
        <x:f>SUMIFS('相位SOC复算'!$N$7:$N$443,'相位SOC复算'!$S$7:$S$443,185)</x:f>
        <x:v>0.02683695492753621</x:v>
      </x:c>
      <x:c r="AM191" s="18" t="n">
        <x:f>SUMIFS('相位SOC复算'!$Q$7:$Q$443,'相位SOC复算'!$S$7:$S$443,185)</x:f>
        <x:v>2.866605000000001</x:v>
      </x:c>
      <x:c r="AN191" s="18" t="n">
        <x:f>SUMIFS('相位SOC复算'!$R$7:$R$443,'相位SOC复算'!$S$7:$S$443,185)</x:f>
        <x:v>6.462104999999992</x:v>
      </x:c>
      <x:c r="AO191" s="18" t="n">
        <x:f>'相位SOC复算'!J429</x:f>
        <x:v>19.624577356513534</x:v>
      </x:c>
      <x:c r="AP191" s="18" t="n">
        <x:f>AO191-J191</x:f>
        <x:v>7.105427357601002e-15</x:v>
      </x:c>
      <x:c r="AQ191" s="18" t="n">
        <x:f>IF(ISBLANK('原始输入与口径'!M193),"",'原始输入与口径'!M193)</x:f>
        <x:v>4.9741</x:v>
      </x:c>
      <x:c r="AR191" s="21" t="n">
        <x:f>IF(ISBLANK('原始输入与口径'!L193),"",'原始输入与口径'!L193)</x:f>
        <x:v>45657</x:v>
      </x:c>
      <x:c r="AS191" s="17" t="n">
        <x:f>IF(ISBLANK('原始输入与口径'!A193),"",'原始输入与口径'!A193)</x:f>
        <x:v>45659.833333333336</x:v>
      </x:c>
      <x:c r="AT191" s="18" t="str">
        <x:f>IF(ISBLANK('原始输入与口径'!I193),"",'原始输入与口径'!I193)</x:f>
        <x:v>2025-01-02_22</x:v>
      </x:c>
      <x:c r="AU191" s="19" t="n">
        <x:f>IF(ISBLANK('原始输入与口径'!J193),"",'原始输入与口径'!J193)</x:f>
        <x:v>60</x:v>
      </x:c>
      <x:c r="AV191" s="18" t="str">
        <x:f>IF(ISBLANK('原始输入与口径'!BB193),"",'原始输入与口径'!BB193)</x:f>
        <x:v>OK</x:v>
      </x:c>
    </x:row>
    <x:row r="192" ht="21" customHeight="1">
      <x:c r="A192" s="17" t="n">
        <x:f>45659.927083333336</x:f>
        <x:v>45659.927083333336</x:v>
      </x:c>
      <x:c r="B192" s="23" t="n">
        <x:f>IF(ISNUMBER('原始输入与口径'!H194),'原始输入与口径'!H194,"缺失")</x:f>
        <x:v>123.8</x:v>
      </x:c>
      <x:c r="C192" s="23" t="str">
        <x:f>IF(ISNUMBER('原始输入与口径'!R194),'原始输入与口径'!R194,"缺失")</x:f>
        <x:v>缺失</x:v>
      </x:c>
      <x:c r="D192" s="23" t="n">
        <x:f>IF(ISNUMBER('原始输入与口径'!W194),'原始输入与口径'!W194,"缺失")</x:f>
        <x:v>13.831647936310086</x:v>
      </x:c>
      <x:c r="E192" s="23" t="n">
        <x:f>IF(ISNUMBER('原始输入与口径'!AB194),'原始输入与口径'!AB194,"缺失")</x:f>
        <x:v>14.710198829939085</x:v>
      </x:c>
      <x:c r="F192" s="23" t="n">
        <x:f>IF(ISNUMBER('原始输入与口径'!AG194),'原始输入与口径'!AG194,"缺失")</x:f>
        <x:v>0</x:v>
      </x:c>
      <x:c r="G192" s="23" t="n">
        <x:f>IF(ISNUMBER('原始输入与口径'!AJ194),'原始输入与口径'!AJ194,"缺失")</x:f>
        <x:v>12.475824772320621</x:v>
      </x:c>
      <x:c r="H192" s="23" t="str">
        <x:f>"未模拟"</x:f>
        <x:v>未模拟</x:v>
      </x:c>
      <x:c r="I192" s="24" t="n">
        <x:f>'原始输入与口径'!BD194</x:f>
        <x:v>19.624577356513527</x:v>
      </x:c>
      <x:c r="J192" s="24" t="n">
        <x:f>'原始输入与口径'!BE194</x:f>
        <x:v>13.491580313035275</x:v>
      </x:c>
      <x:c r="K192" s="24" t="n">
        <x:f>'原始输入与口径'!BF194</x:f>
        <x:v>30.999999999999964</x:v>
      </x:c>
      <x:c r="L192" s="24" t="n">
        <x:f>'原始输入与口径'!BG194</x:f>
        <x:v>0</x:v>
      </x:c>
      <x:c r="M192" s="24" t="n">
        <x:f>'原始输入与口径'!BH194</x:f>
        <x:v>69</x:v>
      </x:c>
      <x:c r="N192" s="24" t="n">
        <x:f>'原始输入与口径'!BI194</x:f>
        <x:v>100</x:v>
      </x:c>
      <x:c r="O192" s="24" t="n">
        <x:f>M192*AE192*AC192</x:f>
        <x:v>0</x:v>
      </x:c>
      <x:c r="P192" s="24" t="n">
        <x:f>N192*AF192*AC192</x:f>
        <x:v>2.3575</x:v>
      </x:c>
      <x:c r="Q192" s="25" t="n">
        <x:f>IF(K192=0,0,IF(ISNUMBER(B192),K192*AC192*B192,NA()))</x:f>
        <x:v>959.4499999999989</x:v>
      </x:c>
      <x:c r="R192" s="25" t="n">
        <x:f>IF(L192=0,0,IF(ISNUMBER(C192),L192*AC192*C192*AD192,NA()))</x:f>
        <x:v>0</x:v>
      </x:c>
      <x:c r="S192" s="25" t="n">
        <x:f>IF(M192=0,0,IF(ISNUMBER(D192),M192*AC192*D192*AD192,NA()))</x:f>
        <x:v>238.59592690134897</x:v>
      </x:c>
      <x:c r="T192" s="25" t="n">
        <x:f>IF(N192=0,0,IF(ISNUMBER(E192),N192*AC192*E192*AD192,NA()))</x:f>
        <x:v>367.7549707484771</x:v>
      </x:c>
      <x:c r="U192" s="25" t="n">
        <x:f>IF(O192=0,0,IF(ISNUMBER(F192),O192*F192,NA()))</x:f>
        <x:v>0</x:v>
      </x:c>
      <x:c r="V192" s="25" t="n">
        <x:f>IF(P192=0,0,IF(ISNUMBER(G192),-P192*G192,NA()))</x:f>
        <x:v>-29.411756900745864</x:v>
      </x:c>
      <x:c r="W192" s="25" t="n">
        <x:f>SUM(Q192:V192)</x:f>
        <x:v>1536.3891407490792</x:v>
      </x:c>
      <x:c r="X192" s="18" t="n">
        <x:f>'原始输入与口径'!BR194</x:f>
        <x:v>1536.3891407490792</x:v>
      </x:c>
      <x:c r="Y192" s="18" t="n">
        <x:f>W192-X192</x:f>
        <x:v>0</x:v>
      </x:c>
      <x:c r="Z192" s="18" t="str">
        <x:f>"1月2日计划｜本窗新增"</x:f>
        <x:v>1月2日计划｜本窗新增</x:v>
      </x:c>
      <x:c r="AA192" s="19" t="n">
        <x:f>IF('原始输入与口径'!AW194,1,0)</x:f>
        <x:v>1</x:v>
      </x:c>
      <x:c r="AB192" s="19" t="n">
        <x:f>IF('原始输入与口径'!AY194,1,0)</x:f>
        <x:v>0</x:v>
      </x:c>
      <x:c r="AC192" s="18" t="n">
        <x:f>'原始输入与口径'!E194</x:f>
        <x:v>0.25</x:v>
      </x:c>
      <x:c r="AD192" s="20" t="n">
        <x:f>'原始输入与口径'!$F$5</x:f>
        <x:v>1</x:v>
      </x:c>
      <x:c r="AE192" s="20" t="n">
        <x:f>IF(AA192=0,0,AI192/(AG192*AC192))</x:f>
        <x:v>0</x:v>
      </x:c>
      <x:c r="AF192" s="20" t="n">
        <x:f>IF(AA192=0,0,AJ192/(AH192*AC192))</x:f>
        <x:v>0.0943</x:v>
      </x:c>
      <x:c r="AG192" s="18" t="n">
        <x:f>IF(ISNUMBER('原始输入与口径'!T194),'原始输入与口径'!T194,"缺失")</x:f>
        <x:v>200</x:v>
      </x:c>
      <x:c r="AH192" s="18" t="n">
        <x:f>IF(ISNUMBER('原始输入与口径'!Y194),'原始输入与口径'!Y194,"缺失")</x:f>
        <x:v>200</x:v>
      </x:c>
      <x:c r="AI192" s="18" t="n">
        <x:f>IF(ISNUMBER('原始输入与口径'!AI194),'原始输入与口径'!AI194,"缺失")</x:f>
        <x:v>0</x:v>
      </x:c>
      <x:c r="AJ192" s="18" t="n">
        <x:f>IF(ISNUMBER('原始输入与口径'!AL194),'原始输入与口径'!AL194,"缺失")</x:f>
        <x:v>4.715</x:v>
      </x:c>
      <x:c r="AK192" s="18" t="str">
        <x:f>IF(ISNUMBER('原始输入与口径'!O194),'原始输入与口径'!O194,"缺失")</x:f>
        <x:v>缺失</x:v>
      </x:c>
      <x:c r="AL192" s="18" t="n">
        <x:f>SUMIFS('相位SOC复算'!$N$7:$N$443,'相位SOC复算'!$S$7:$S$443,186)</x:f>
        <x:v>0.025350219565217366</x:v>
      </x:c>
      <x:c r="AM192" s="18" t="n">
        <x:f>SUMIFS('相位SOC复算'!$Q$7:$Q$443,'相位SOC复算'!$S$7:$S$443,186)</x:f>
        <x:v>1.6266750000000005</x:v>
      </x:c>
      <x:c r="AN192" s="18" t="n">
        <x:f>SUMIFS('相位SOC复算'!$R$7:$R$443,'相位SOC复算'!$S$7:$S$443,186)</x:f>
        <x:v>7.019174999999992</x:v>
      </x:c>
      <x:c r="AO192" s="18" t="n">
        <x:f>'相位SOC复算'!J431</x:f>
        <x:v>13.491580313035282</x:v>
      </x:c>
      <x:c r="AP192" s="18" t="n">
        <x:f>AO192-J192</x:f>
        <x:v>7.105427357601002e-15</x:v>
      </x:c>
      <x:c r="AQ192" s="18" t="n">
        <x:f>IF(ISBLANK('原始输入与口径'!M194),"",'原始输入与口径'!M194)</x:f>
        <x:v>4.9741</x:v>
      </x:c>
      <x:c r="AR192" s="21" t="n">
        <x:f>IF(ISBLANK('原始输入与口径'!L194),"",'原始输入与口径'!L194)</x:f>
        <x:v>45657</x:v>
      </x:c>
      <x:c r="AS192" s="17" t="n">
        <x:f>IF(ISBLANK('原始输入与口径'!A194),"",'原始输入与口径'!A194)</x:f>
        <x:v>45659.84375</x:v>
      </x:c>
      <x:c r="AT192" s="18" t="str">
        <x:f>IF(ISBLANK('原始输入与口径'!I194),"",'原始输入与口径'!I194)</x:f>
        <x:v>2025-01-02_22</x:v>
      </x:c>
      <x:c r="AU192" s="19" t="n">
        <x:f>IF(ISBLANK('原始输入与口径'!J194),"",'原始输入与口径'!J194)</x:f>
        <x:v>60</x:v>
      </x:c>
      <x:c r="AV192" s="18" t="str">
        <x:f>IF(ISBLANK('原始输入与口径'!BB194),"",'原始输入与口径'!BB194)</x:f>
        <x:v>OK</x:v>
      </x:c>
    </x:row>
    <x:row r="193" ht="21" customHeight="1">
      <x:c r="A193" s="17" t="n">
        <x:f>45659.9375</x:f>
        <x:v>45659.9375</x:v>
      </x:c>
      <x:c r="B193" s="23" t="n">
        <x:f>IF(ISNUMBER('原始输入与口径'!H195),'原始输入与口径'!H195,"缺失")</x:f>
        <x:v>123.8</x:v>
      </x:c>
      <x:c r="C193" s="23" t="str">
        <x:f>IF(ISNUMBER('原始输入与口径'!R195),'原始输入与口径'!R195,"缺失")</x:f>
        <x:v>缺失</x:v>
      </x:c>
      <x:c r="D193" s="23" t="n">
        <x:f>IF(ISNUMBER('原始输入与口径'!W195),'原始输入与口径'!W195,"缺失")</x:f>
        <x:v>13.831647936310086</x:v>
      </x:c>
      <x:c r="E193" s="23" t="n">
        <x:f>IF(ISNUMBER('原始输入与口径'!AB195),'原始输入与口径'!AB195,"缺失")</x:f>
        <x:v>14.710198829939085</x:v>
      </x:c>
      <x:c r="F193" s="23" t="n">
        <x:f>IF(ISNUMBER('原始输入与口径'!AG195),'原始输入与口径'!AG195,"缺失")</x:f>
        <x:v>0</x:v>
      </x:c>
      <x:c r="G193" s="23" t="n">
        <x:f>IF(ISNUMBER('原始输入与口径'!AJ195),'原始输入与口径'!AJ195,"缺失")</x:f>
        <x:v>8.356285559196639</x:v>
      </x:c>
      <x:c r="H193" s="23" t="str">
        <x:f>"未模拟"</x:f>
        <x:v>未模拟</x:v>
      </x:c>
      <x:c r="I193" s="24" t="n">
        <x:f>'原始输入与口径'!BD195</x:f>
        <x:v>13.491580313035275</x:v>
      </x:c>
      <x:c r="J193" s="24" t="n">
        <x:f>'原始输入与口径'!BE195</x:f>
        <x:v>10.509503791296153</x:v>
      </x:c>
      <x:c r="K193" s="24" t="n">
        <x:f>'原始输入与口径'!BF195</x:f>
        <x:v>30.999999999999964</x:v>
      </x:c>
      <x:c r="L193" s="24" t="n">
        <x:f>'原始输入与口径'!BG195</x:f>
        <x:v>0</x:v>
      </x:c>
      <x:c r="M193" s="24" t="n">
        <x:f>'原始输入与口径'!BH195</x:f>
        <x:v>69</x:v>
      </x:c>
      <x:c r="N193" s="24" t="n">
        <x:f>'原始输入与口径'!BI195</x:f>
        <x:v>100</x:v>
      </x:c>
      <x:c r="O193" s="24" t="n">
        <x:f>M193*AE193*AC193</x:f>
        <x:v>0</x:v>
      </x:c>
      <x:c r="P193" s="24" t="n">
        <x:f>N193*AF193*AC193</x:f>
        <x:v>5.6</x:v>
      </x:c>
      <x:c r="Q193" s="25" t="n">
        <x:f>IF(K193=0,0,IF(ISNUMBER(B193),K193*AC193*B193,NA()))</x:f>
        <x:v>959.4499999999989</x:v>
      </x:c>
      <x:c r="R193" s="25" t="n">
        <x:f>IF(L193=0,0,IF(ISNUMBER(C193),L193*AC193*C193*AD193,NA()))</x:f>
        <x:v>0</x:v>
      </x:c>
      <x:c r="S193" s="25" t="n">
        <x:f>IF(M193=0,0,IF(ISNUMBER(D193),M193*AC193*D193*AD193,NA()))</x:f>
        <x:v>238.59592690134897</x:v>
      </x:c>
      <x:c r="T193" s="25" t="n">
        <x:f>IF(N193=0,0,IF(ISNUMBER(E193),N193*AC193*E193*AD193,NA()))</x:f>
        <x:v>367.7549707484771</x:v>
      </x:c>
      <x:c r="U193" s="25" t="n">
        <x:f>IF(O193=0,0,IF(ISNUMBER(F193),O193*F193,NA()))</x:f>
        <x:v>0</x:v>
      </x:c>
      <x:c r="V193" s="25" t="n">
        <x:f>IF(P193=0,0,IF(ISNUMBER(G193),-P193*G193,NA()))</x:f>
        <x:v>-46.79519913150118</x:v>
      </x:c>
      <x:c r="W193" s="25" t="n">
        <x:f>SUM(Q193:V193)</x:f>
        <x:v>1519.0056985183237</x:v>
      </x:c>
      <x:c r="X193" s="18" t="n">
        <x:f>'原始输入与口径'!BR195</x:f>
        <x:v>1519.0056985183237</x:v>
      </x:c>
      <x:c r="Y193" s="18" t="n">
        <x:f>W193-X193</x:f>
        <x:v>0</x:v>
      </x:c>
      <x:c r="Z193" s="18" t="str">
        <x:f>"1月2日计划｜本窗新增"</x:f>
        <x:v>1月2日计划｜本窗新增</x:v>
      </x:c>
      <x:c r="AA193" s="19" t="n">
        <x:f>IF('原始输入与口径'!AW195,1,0)</x:f>
        <x:v>1</x:v>
      </x:c>
      <x:c r="AB193" s="19" t="n">
        <x:f>IF('原始输入与口径'!AY195,1,0)</x:f>
        <x:v>0</x:v>
      </x:c>
      <x:c r="AC193" s="18" t="n">
        <x:f>'原始输入与口径'!E195</x:f>
        <x:v>0.25</x:v>
      </x:c>
      <x:c r="AD193" s="20" t="n">
        <x:f>'原始输入与口径'!$F$5</x:f>
        <x:v>1</x:v>
      </x:c>
      <x:c r="AE193" s="20" t="n">
        <x:f>IF(AA193=0,0,AI193/(AG193*AC193))</x:f>
        <x:v>0</x:v>
      </x:c>
      <x:c r="AF193" s="20" t="n">
        <x:f>IF(AA193=0,0,AJ193/(AH193*AC193))</x:f>
        <x:v>0.22399999999999998</x:v>
      </x:c>
      <x:c r="AG193" s="18" t="n">
        <x:f>IF(ISNUMBER('原始输入与口径'!T195),'原始输入与口径'!T195,"缺失")</x:f>
        <x:v>200</x:v>
      </x:c>
      <x:c r="AH193" s="18" t="n">
        <x:f>IF(ISNUMBER('原始输入与口径'!Y195),'原始输入与口径'!Y195,"缺失")</x:f>
        <x:v>200</x:v>
      </x:c>
      <x:c r="AI193" s="18" t="n">
        <x:f>IF(ISNUMBER('原始输入与口径'!AI195),'原始输入与口径'!AI195,"缺失")</x:f>
        <x:v>0</x:v>
      </x:c>
      <x:c r="AJ193" s="18" t="n">
        <x:f>IF(ISNUMBER('原始输入与口径'!AL195),'原始输入与口径'!AL195,"缺失")</x:f>
        <x:v>11.2</x:v>
      </x:c>
      <x:c r="AK193" s="18" t="str">
        <x:f>IF(ISNUMBER('原始输入与口径'!O195),'原始输入与口径'!O195,"缺失")</x:f>
        <x:v>缺失</x:v>
      </x:c>
      <x:c r="AL193" s="18" t="n">
        <x:f>SUMIFS('相位SOC复算'!$N$7:$N$443,'相位SOC复算'!$S$7:$S$443,187)</x:f>
        <x:v>0.028032879227053123</x:v>
      </x:c>
      <x:c r="AM193" s="18" t="n">
        <x:f>SUMIFS('相位SOC复算'!$Q$7:$Q$443,'相位SOC复算'!$S$7:$S$443,187)</x:f>
        <x:v>3.864000000000001</x:v>
      </x:c>
      <x:c r="AN193" s="18" t="n">
        <x:f>SUMIFS('相位SOC复算'!$R$7:$R$443,'相位SOC复算'!$S$7:$S$443,187)</x:f>
        <x:v>6.013999999999993</x:v>
      </x:c>
      <x:c r="AO193" s="18" t="n">
        <x:f>'相位SOC复算'!J433</x:f>
        <x:v>10.50950379129616</x:v>
      </x:c>
      <x:c r="AP193" s="18" t="n">
        <x:f>AO193-J193</x:f>
        <x:v>7.105427357601002e-15</x:v>
      </x:c>
      <x:c r="AQ193" s="18" t="n">
        <x:f>IF(ISBLANK('原始输入与口径'!M195),"",'原始输入与口径'!M195)</x:f>
        <x:v>4.9741</x:v>
      </x:c>
      <x:c r="AR193" s="21" t="n">
        <x:f>IF(ISBLANK('原始输入与口径'!L195),"",'原始输入与口径'!L195)</x:f>
        <x:v>45657</x:v>
      </x:c>
      <x:c r="AS193" s="17" t="n">
        <x:f>IF(ISBLANK('原始输入与口径'!A195),"",'原始输入与口径'!A195)</x:f>
        <x:v>45659.854166666664</x:v>
      </x:c>
      <x:c r="AT193" s="18" t="str">
        <x:f>IF(ISBLANK('原始输入与口径'!I195),"",'原始输入与口径'!I195)</x:f>
        <x:v>2025-01-02_22</x:v>
      </x:c>
      <x:c r="AU193" s="19" t="n">
        <x:f>IF(ISBLANK('原始输入与口径'!J195),"",'原始输入与口径'!J195)</x:f>
        <x:v>60</x:v>
      </x:c>
      <x:c r="AV193" s="18" t="str">
        <x:f>IF(ISBLANK('原始输入与口径'!BB195),"",'原始输入与口径'!BB195)</x:f>
        <x:v>OK</x:v>
      </x:c>
    </x:row>
    <x:row r="194" ht="21" customHeight="1">
      <x:c r="A194" s="17" t="n">
        <x:f>45659.947916666664</x:f>
        <x:v>45659.947916666664</x:v>
      </x:c>
      <x:c r="B194" s="23" t="n">
        <x:f>IF(ISNUMBER('原始输入与口径'!H196),'原始输入与口径'!H196,"缺失")</x:f>
        <x:v>123.8</x:v>
      </x:c>
      <x:c r="C194" s="23" t="str">
        <x:f>IF(ISNUMBER('原始输入与口径'!R196),'原始输入与口径'!R196,"缺失")</x:f>
        <x:v>缺失</x:v>
      </x:c>
      <x:c r="D194" s="23" t="n">
        <x:f>IF(ISNUMBER('原始输入与口径'!W196),'原始输入与口径'!W196,"缺失")</x:f>
        <x:v>13.831647936310086</x:v>
      </x:c>
      <x:c r="E194" s="23" t="n">
        <x:f>IF(ISNUMBER('原始输入与口径'!AB196),'原始输入与口径'!AB196,"缺失")</x:f>
        <x:v>14.710198829939085</x:v>
      </x:c>
      <x:c r="F194" s="23" t="n">
        <x:f>IF(ISNUMBER('原始输入与口径'!AG196),'原始输入与口径'!AG196,"缺失")</x:f>
        <x:v>0</x:v>
      </x:c>
      <x:c r="G194" s="23" t="n">
        <x:f>IF(ISNUMBER('原始输入与口径'!AJ196),'原始输入与口径'!AJ196,"缺失")</x:f>
        <x:v>0.35624535091775394</x:v>
      </x:c>
      <x:c r="H194" s="23" t="str">
        <x:f>"未模拟"</x:f>
        <x:v>未模拟</x:v>
      </x:c>
      <x:c r="I194" s="24" t="n">
        <x:f>'原始输入与口径'!BD196</x:f>
        <x:v>10.509503791296153</x:v>
      </x:c>
      <x:c r="J194" s="24" t="n">
        <x:f>'原始输入与口径'!BE196</x:f>
        <x:v>12.460063373904859</x:v>
      </x:c>
      <x:c r="K194" s="24" t="n">
        <x:f>'原始输入与口径'!BF196</x:f>
        <x:v>30.999999999999964</x:v>
      </x:c>
      <x:c r="L194" s="24" t="n">
        <x:f>'原始输入与口径'!BG196</x:f>
        <x:v>0</x:v>
      </x:c>
      <x:c r="M194" s="24" t="n">
        <x:f>'原始输入与口径'!BH196</x:f>
        <x:v>69</x:v>
      </x:c>
      <x:c r="N194" s="24" t="n">
        <x:f>'原始输入与口径'!BI196</x:f>
        <x:v>100</x:v>
      </x:c>
      <x:c r="O194" s="24" t="n">
        <x:f>M194*AE194*AC194</x:f>
        <x:v>0</x:v>
      </x:c>
      <x:c r="P194" s="24" t="n">
        <x:f>N194*AF194*AC194</x:f>
        <x:v>10.676</x:v>
      </x:c>
      <x:c r="Q194" s="25" t="n">
        <x:f>IF(K194=0,0,IF(ISNUMBER(B194),K194*AC194*B194,NA()))</x:f>
        <x:v>959.4499999999989</x:v>
      </x:c>
      <x:c r="R194" s="25" t="n">
        <x:f>IF(L194=0,0,IF(ISNUMBER(C194),L194*AC194*C194*AD194,NA()))</x:f>
        <x:v>0</x:v>
      </x:c>
      <x:c r="S194" s="25" t="n">
        <x:f>IF(M194=0,0,IF(ISNUMBER(D194),M194*AC194*D194*AD194,NA()))</x:f>
        <x:v>238.59592690134897</x:v>
      </x:c>
      <x:c r="T194" s="25" t="n">
        <x:f>IF(N194=0,0,IF(ISNUMBER(E194),N194*AC194*E194*AD194,NA()))</x:f>
        <x:v>367.7549707484771</x:v>
      </x:c>
      <x:c r="U194" s="25" t="n">
        <x:f>IF(O194=0,0,IF(ISNUMBER(F194),O194*F194,NA()))</x:f>
        <x:v>0</x:v>
      </x:c>
      <x:c r="V194" s="25" t="n">
        <x:f>IF(P194=0,0,IF(ISNUMBER(G194),-P194*G194,NA()))</x:f>
        <x:v>-3.803275366397941</x:v>
      </x:c>
      <x:c r="W194" s="25" t="n">
        <x:f>SUM(Q194:V194)</x:f>
        <x:v>1561.997622283427</x:v>
      </x:c>
      <x:c r="X194" s="18" t="n">
        <x:f>'原始输入与口径'!BR196</x:f>
        <x:v>1561.997622283427</x:v>
      </x:c>
      <x:c r="Y194" s="18" t="n">
        <x:f>W194-X194</x:f>
        <x:v>0</x:v>
      </x:c>
      <x:c r="Z194" s="18" t="str">
        <x:f>"1月2日计划｜本窗新增"</x:f>
        <x:v>1月2日计划｜本窗新增</x:v>
      </x:c>
      <x:c r="AA194" s="19" t="n">
        <x:f>IF('原始输入与口径'!AW196,1,0)</x:f>
        <x:v>1</x:v>
      </x:c>
      <x:c r="AB194" s="19" t="n">
        <x:f>IF('原始输入与口径'!AY196,1,0)</x:f>
        <x:v>0</x:v>
      </x:c>
      <x:c r="AC194" s="18" t="n">
        <x:f>'原始输入与口径'!E196</x:f>
        <x:v>0.25</x:v>
      </x:c>
      <x:c r="AD194" s="20" t="n">
        <x:f>'原始输入与口径'!$F$5</x:f>
        <x:v>1</x:v>
      </x:c>
      <x:c r="AE194" s="20" t="n">
        <x:f>IF(AA194=0,0,AI194/(AG194*AC194))</x:f>
        <x:v>0</x:v>
      </x:c>
      <x:c r="AF194" s="20" t="n">
        <x:f>IF(AA194=0,0,AJ194/(AH194*AC194))</x:f>
        <x:v>0.42704000000000003</x:v>
      </x:c>
      <x:c r="AG194" s="18" t="n">
        <x:f>IF(ISNUMBER('原始输入与口径'!T196),'原始输入与口径'!T196,"缺失")</x:f>
        <x:v>200</x:v>
      </x:c>
      <x:c r="AH194" s="18" t="n">
        <x:f>IF(ISNUMBER('原始输入与口径'!Y196),'原始输入与口径'!Y196,"缺失")</x:f>
        <x:v>200</x:v>
      </x:c>
      <x:c r="AI194" s="18" t="n">
        <x:f>IF(ISNUMBER('原始输入与口径'!AI196),'原始输入与口径'!AI196,"缺失")</x:f>
        <x:v>0</x:v>
      </x:c>
      <x:c r="AJ194" s="18" t="n">
        <x:f>IF(ISNUMBER('原始输入与口径'!AL196),'原始输入与口径'!AL196,"缺失")</x:f>
        <x:v>21.352</x:v>
      </x:c>
      <x:c r="AK194" s="18" t="str">
        <x:f>IF(ISNUMBER('原始输入与口径'!O196),'原始输入与口径'!O196,"缺失")</x:f>
        <x:v>缺失</x:v>
      </x:c>
      <x:c r="AL194" s="18" t="n">
        <x:f>SUMIFS('相位SOC复算'!$N$7:$N$443,'相位SOC复算'!$S$7:$S$443,188)</x:f>
        <x:v>0.032232472270531394</x:v>
      </x:c>
      <x:c r="AM194" s="18" t="n">
        <x:f>SUMIFS('相位SOC复算'!$Q$7:$Q$443,'相位SOC复算'!$S$7:$S$443,188)</x:f>
        <x:v>7.366440000000003</x:v>
      </x:c>
      <x:c r="AN194" s="18" t="n">
        <x:f>SUMIFS('相位SOC复算'!$R$7:$R$443,'相位SOC复算'!$S$7:$S$443,188)</x:f>
        <x:v>4.440439999999994</x:v>
      </x:c>
      <x:c r="AO194" s="18" t="n">
        <x:f>'相位SOC复算'!J435</x:f>
        <x:v>12.460063373904866</x:v>
      </x:c>
      <x:c r="AP194" s="18" t="n">
        <x:f>AO194-J194</x:f>
        <x:v>7.105427357601002e-15</x:v>
      </x:c>
      <x:c r="AQ194" s="18" t="n">
        <x:f>IF(ISBLANK('原始输入与口径'!M196),"",'原始输入与口径'!M196)</x:f>
        <x:v>4.9741</x:v>
      </x:c>
      <x:c r="AR194" s="21" t="n">
        <x:f>IF(ISBLANK('原始输入与口径'!L196),"",'原始输入与口径'!L196)</x:f>
        <x:v>45657</x:v>
      </x:c>
      <x:c r="AS194" s="17" t="n">
        <x:f>IF(ISBLANK('原始输入与口径'!A196),"",'原始输入与口径'!A196)</x:f>
        <x:v>45659.864583333336</x:v>
      </x:c>
      <x:c r="AT194" s="18" t="str">
        <x:f>IF(ISBLANK('原始输入与口径'!I196),"",'原始输入与口径'!I196)</x:f>
        <x:v>2025-01-02_22</x:v>
      </x:c>
      <x:c r="AU194" s="19" t="n">
        <x:f>IF(ISBLANK('原始输入与口径'!J196),"",'原始输入与口径'!J196)</x:f>
        <x:v>60</x:v>
      </x:c>
      <x:c r="AV194" s="18" t="str">
        <x:f>IF(ISBLANK('原始输入与口径'!BB196),"",'原始输入与口径'!BB196)</x:f>
        <x:v>OK</x:v>
      </x:c>
    </x:row>
    <x:row r="195" ht="21" customHeight="1">
      <x:c r="A195" s="17" t="n">
        <x:f>45659.958333333336</x:f>
        <x:v>45659.958333333336</x:v>
      </x:c>
      <x:c r="B195" s="23" t="n">
        <x:f>IF(ISNUMBER('原始输入与口径'!H197),'原始输入与口径'!H197,"缺失")</x:f>
        <x:v>116.81</x:v>
      </x:c>
      <x:c r="C195" s="23" t="str">
        <x:f>IF(ISNUMBER('原始输入与口径'!R197),'原始输入与口径'!R197,"缺失")</x:f>
        <x:v>缺失</x:v>
      </x:c>
      <x:c r="D195" s="23" t="n">
        <x:f>IF(ISNUMBER('原始输入与口径'!W197),'原始输入与口径'!W197,"缺失")</x:f>
        <x:v>13.831647936310086</x:v>
      </x:c>
      <x:c r="E195" s="23" t="n">
        <x:f>IF(ISNUMBER('原始输入与口径'!AB197),'原始输入与口径'!AB197,"缺失")</x:f>
        <x:v>14.710198829939085</x:v>
      </x:c>
      <x:c r="F195" s="23" t="n">
        <x:f>IF(ISNUMBER('原始输入与口径'!AG197),'原始输入与口径'!AG197,"缺失")</x:f>
        <x:v>0</x:v>
      </x:c>
      <x:c r="G195" s="23" t="n">
        <x:f>IF(ISNUMBER('原始输入与口径'!AJ197),'原始输入与口径'!AJ197,"缺失")</x:f>
        <x:v>21.54178645383084</x:v>
      </x:c>
      <x:c r="H195" s="23" t="str">
        <x:f>"未模拟"</x:f>
        <x:v>未模拟</x:v>
      </x:c>
      <x:c r="I195" s="24" t="n">
        <x:f>'原始输入与口径'!BD197</x:f>
        <x:v>12.460063373904859</x:v>
      </x:c>
      <x:c r="J195" s="24" t="n">
        <x:f>'原始输入与口径'!BE197</x:f>
        <x:v>15.117023373904859</x:v>
      </x:c>
      <x:c r="K195" s="24" t="n">
        <x:f>'原始输入与口径'!BF197</x:f>
        <x:v>0</x:v>
      </x:c>
      <x:c r="L195" s="24" t="n">
        <x:f>'原始输入与口径'!BG197</x:f>
        <x:v>0</x:v>
      </x:c>
      <x:c r="M195" s="24" t="n">
        <x:f>'原始输入与口径'!BH197</x:f>
        <x:v>100</x:v>
      </x:c>
      <x:c r="N195" s="24" t="n">
        <x:f>'原始输入与口径'!BI197</x:f>
        <x:v>100</x:v>
      </x:c>
      <x:c r="O195" s="24" t="n">
        <x:f>M195*AE195*AC195</x:f>
        <x:v>0</x:v>
      </x:c>
      <x:c r="P195" s="24" t="n">
        <x:f>N195*AF195*AC195</x:f>
        <x:v>2.888</x:v>
      </x:c>
      <x:c r="Q195" s="25" t="n">
        <x:f>IF(K195=0,0,IF(ISNUMBER(B195),K195*AC195*B195,NA()))</x:f>
        <x:v>0</x:v>
      </x:c>
      <x:c r="R195" s="25" t="n">
        <x:f>IF(L195=0,0,IF(ISNUMBER(C195),L195*AC195*C195*AD195,NA()))</x:f>
        <x:v>0</x:v>
      </x:c>
      <x:c r="S195" s="25" t="n">
        <x:f>IF(M195=0,0,IF(ISNUMBER(D195),M195*AC195*D195*AD195,NA()))</x:f>
        <x:v>345.7911984077521</x:v>
      </x:c>
      <x:c r="T195" s="25" t="n">
        <x:f>IF(N195=0,0,IF(ISNUMBER(E195),N195*AC195*E195*AD195,NA()))</x:f>
        <x:v>367.7549707484771</x:v>
      </x:c>
      <x:c r="U195" s="25" t="n">
        <x:f>IF(O195=0,0,IF(ISNUMBER(F195),O195*F195,NA()))</x:f>
        <x:v>0</x:v>
      </x:c>
      <x:c r="V195" s="25" t="n">
        <x:f>IF(P195=0,0,IF(ISNUMBER(G195),-P195*G195,NA()))</x:f>
        <x:v>-62.212679278663465</x:v>
      </x:c>
      <x:c r="W195" s="25" t="n">
        <x:f>SUM(Q195:V195)</x:f>
        <x:v>651.3334898775657</x:v>
      </x:c>
      <x:c r="X195" s="18" t="n">
        <x:f>'原始输入与口径'!BR197</x:f>
        <x:v>651.3334898775657</x:v>
      </x:c>
      <x:c r="Y195" s="18" t="n">
        <x:f>W195-X195</x:f>
        <x:v>0</x:v>
      </x:c>
      <x:c r="Z195" s="18" t="str">
        <x:f>"1月2日计划｜本窗新增"</x:f>
        <x:v>1月2日计划｜本窗新增</x:v>
      </x:c>
      <x:c r="AA195" s="19" t="n">
        <x:f>IF('原始输入与口径'!AW197,1,0)</x:f>
        <x:v>1</x:v>
      </x:c>
      <x:c r="AB195" s="19" t="n">
        <x:f>IF('原始输入与口径'!AY197,1,0)</x:f>
        <x:v>0</x:v>
      </x:c>
      <x:c r="AC195" s="18" t="n">
        <x:f>'原始输入与口径'!E197</x:f>
        <x:v>0.25</x:v>
      </x:c>
      <x:c r="AD195" s="20" t="n">
        <x:f>'原始输入与口径'!$F$5</x:f>
        <x:v>1</x:v>
      </x:c>
      <x:c r="AE195" s="20" t="n">
        <x:f>IF(AA195=0,0,AI195/(AG195*AC195))</x:f>
        <x:v>0</x:v>
      </x:c>
      <x:c r="AF195" s="20" t="n">
        <x:f>IF(AA195=0,0,AJ195/(AH195*AC195))</x:f>
        <x:v>0.11552</x:v>
      </x:c>
      <x:c r="AG195" s="18" t="n">
        <x:f>IF(ISNUMBER('原始输入与口径'!T197),'原始输入与口径'!T197,"缺失")</x:f>
        <x:v>200</x:v>
      </x:c>
      <x:c r="AH195" s="18" t="n">
        <x:f>IF(ISNUMBER('原始输入与口径'!Y197),'原始输入与口径'!Y197,"缺失")</x:f>
        <x:v>200</x:v>
      </x:c>
      <x:c r="AI195" s="18" t="n">
        <x:f>IF(ISNUMBER('原始输入与口径'!AI197),'原始输入与口径'!AI197,"缺失")</x:f>
        <x:v>0</x:v>
      </x:c>
      <x:c r="AJ195" s="18" t="n">
        <x:f>IF(ISNUMBER('原始输入与口径'!AL197),'原始输入与口径'!AL197,"缺失")</x:f>
        <x:v>5.776</x:v>
      </x:c>
      <x:c r="AK195" s="18" t="str">
        <x:f>IF(ISNUMBER('原始输入与口径'!O197),'原始输入与口径'!O197,"缺失")</x:f>
        <x:v>缺失</x:v>
      </x:c>
      <x:c r="AL195" s="18" t="n">
        <x:f>SUMIFS('相位SOC复算'!$N$7:$N$443,'相位SOC复算'!$S$7:$S$443,189)</x:f>
        <x:v>0.007380444444444444</x:v>
      </x:c>
      <x:c r="AM195" s="18" t="n">
        <x:f>SUMIFS('相位SOC复算'!$Q$7:$Q$443,'相位SOC复算'!$S$7:$S$443,189)</x:f>
        <x:v>2.888</x:v>
      </x:c>
      <x:c r="AN195" s="18" t="n">
        <x:f>SUMIFS('相位SOC复算'!$R$7:$R$443,'相位SOC复算'!$S$7:$S$443,189)</x:f>
        <x:v>0</x:v>
      </x:c>
      <x:c r="AO195" s="18" t="n">
        <x:f>'相位SOC复算'!J437</x:f>
        <x:v>15.117023373904866</x:v>
      </x:c>
      <x:c r="AP195" s="18" t="n">
        <x:f>AO195-J195</x:f>
        <x:v>7.105427357601002e-15</x:v>
      </x:c>
      <x:c r="AQ195" s="18" t="n">
        <x:f>IF(ISBLANK('原始输入与口径'!M197),"",'原始输入与口径'!M197)</x:f>
        <x:v>4.9741</x:v>
      </x:c>
      <x:c r="AR195" s="21" t="n">
        <x:f>IF(ISBLANK('原始输入与口径'!L197),"",'原始输入与口径'!L197)</x:f>
        <x:v>45657</x:v>
      </x:c>
      <x:c r="AS195" s="17" t="n">
        <x:f>IF(ISBLANK('原始输入与口径'!A197),"",'原始输入与口径'!A197)</x:f>
        <x:v>45659.875</x:v>
      </x:c>
      <x:c r="AT195" s="18" t="str">
        <x:f>IF(ISBLANK('原始输入与口径'!I197),"",'原始输入与口径'!I197)</x:f>
        <x:v>2025-01-02_23</x:v>
      </x:c>
      <x:c r="AU195" s="19" t="n">
        <x:f>IF(ISBLANK('原始输入与口径'!J197),"",'原始输入与口径'!J197)</x:f>
        <x:v>60</x:v>
      </x:c>
      <x:c r="AV195" s="18" t="str">
        <x:f>IF(ISBLANK('原始输入与口径'!BB197),"",'原始输入与口径'!BB197)</x:f>
        <x:v>OK</x:v>
      </x:c>
    </x:row>
    <x:row r="196" ht="21" customHeight="1">
      <x:c r="A196" s="17" t="n">
        <x:f>45659.96875</x:f>
        <x:v>45659.96875</x:v>
      </x:c>
      <x:c r="B196" s="23" t="n">
        <x:f>IF(ISNUMBER('原始输入与口径'!H198),'原始输入与口径'!H198,"缺失")</x:f>
        <x:v>116.81</x:v>
      </x:c>
      <x:c r="C196" s="23" t="str">
        <x:f>IF(ISNUMBER('原始输入与口径'!R198),'原始输入与口径'!R198,"缺失")</x:f>
        <x:v>缺失</x:v>
      </x:c>
      <x:c r="D196" s="23" t="n">
        <x:f>IF(ISNUMBER('原始输入与口径'!W198),'原始输入与口径'!W198,"缺失")</x:f>
        <x:v>13.831647936310086</x:v>
      </x:c>
      <x:c r="E196" s="23" t="n">
        <x:f>IF(ISNUMBER('原始输入与口径'!AB198),'原始输入与口径'!AB198,"缺失")</x:f>
        <x:v>14.710198829939085</x:v>
      </x:c>
      <x:c r="F196" s="23" t="n">
        <x:f>IF(ISNUMBER('原始输入与口径'!AG198),'原始输入与口径'!AG198,"缺失")</x:f>
        <x:v>0</x:v>
      </x:c>
      <x:c r="G196" s="23" t="n">
        <x:f>IF(ISNUMBER('原始输入与口径'!AJ198),'原始输入与口径'!AJ198,"缺失")</x:f>
        <x:v>23.30773406244346</x:v>
      </x:c>
      <x:c r="H196" s="23" t="str">
        <x:f>"未模拟"</x:f>
        <x:v>未模拟</x:v>
      </x:c>
      <x:c r="I196" s="24" t="n">
        <x:f>'原始输入与口径'!BD198</x:f>
        <x:v>15.117023373904859</x:v>
      </x:c>
      <x:c r="J196" s="24" t="n">
        <x:f>'原始输入与口径'!BE198</x:f>
        <x:v>17.54628337390486</x:v>
      </x:c>
      <x:c r="K196" s="24" t="n">
        <x:f>'原始输入与口径'!BF198</x:f>
        <x:v>0</x:v>
      </x:c>
      <x:c r="L196" s="24" t="n">
        <x:f>'原始输入与口径'!BG198</x:f>
        <x:v>0</x:v>
      </x:c>
      <x:c r="M196" s="24" t="n">
        <x:f>'原始输入与口径'!BH198</x:f>
        <x:v>100</x:v>
      </x:c>
      <x:c r="N196" s="24" t="n">
        <x:f>'原始输入与口径'!BI198</x:f>
        <x:v>100</x:v>
      </x:c>
      <x:c r="O196" s="24" t="n">
        <x:f>M196*AE196*AC196</x:f>
        <x:v>0</x:v>
      </x:c>
      <x:c r="P196" s="24" t="n">
        <x:f>N196*AF196*AC196</x:f>
        <x:v>2.6405</x:v>
      </x:c>
      <x:c r="Q196" s="25" t="n">
        <x:f>IF(K196=0,0,IF(ISNUMBER(B196),K196*AC196*B196,NA()))</x:f>
        <x:v>0</x:v>
      </x:c>
      <x:c r="R196" s="25" t="n">
        <x:f>IF(L196=0,0,IF(ISNUMBER(C196),L196*AC196*C196*AD196,NA()))</x:f>
        <x:v>0</x:v>
      </x:c>
      <x:c r="S196" s="25" t="n">
        <x:f>IF(M196=0,0,IF(ISNUMBER(D196),M196*AC196*D196*AD196,NA()))</x:f>
        <x:v>345.7911984077521</x:v>
      </x:c>
      <x:c r="T196" s="25" t="n">
        <x:f>IF(N196=0,0,IF(ISNUMBER(E196),N196*AC196*E196*AD196,NA()))</x:f>
        <x:v>367.7549707484771</x:v>
      </x:c>
      <x:c r="U196" s="25" t="n">
        <x:f>IF(O196=0,0,IF(ISNUMBER(F196),O196*F196,NA()))</x:f>
        <x:v>0</x:v>
      </x:c>
      <x:c r="V196" s="25" t="n">
        <x:f>IF(P196=0,0,IF(ISNUMBER(G196),-P196*G196,NA()))</x:f>
        <x:v>-61.54407179188195</x:v>
      </x:c>
      <x:c r="W196" s="25" t="n">
        <x:f>SUM(Q196:V196)</x:f>
        <x:v>652.0020973643473</x:v>
      </x:c>
      <x:c r="X196" s="18" t="n">
        <x:f>'原始输入与口径'!BR198</x:f>
        <x:v>652.0020973643473</x:v>
      </x:c>
      <x:c r="Y196" s="18" t="n">
        <x:f>W196-X196</x:f>
        <x:v>0</x:v>
      </x:c>
      <x:c r="Z196" s="18" t="str">
        <x:f>"1月2日计划｜本窗新增"</x:f>
        <x:v>1月2日计划｜本窗新增</x:v>
      </x:c>
      <x:c r="AA196" s="19" t="n">
        <x:f>IF('原始输入与口径'!AW198,1,0)</x:f>
        <x:v>1</x:v>
      </x:c>
      <x:c r="AB196" s="19" t="n">
        <x:f>IF('原始输入与口径'!AY198,1,0)</x:f>
        <x:v>0</x:v>
      </x:c>
      <x:c r="AC196" s="18" t="n">
        <x:f>'原始输入与口径'!E198</x:f>
        <x:v>0.25</x:v>
      </x:c>
      <x:c r="AD196" s="20" t="n">
        <x:f>'原始输入与口径'!$F$5</x:f>
        <x:v>1</x:v>
      </x:c>
      <x:c r="AE196" s="20" t="n">
        <x:f>IF(AA196=0,0,AI196/(AG196*AC196))</x:f>
        <x:v>0</x:v>
      </x:c>
      <x:c r="AF196" s="20" t="n">
        <x:f>IF(AA196=0,0,AJ196/(AH196*AC196))</x:f>
        <x:v>0.10561999999999999</x:v>
      </x:c>
      <x:c r="AG196" s="18" t="n">
        <x:f>IF(ISNUMBER('原始输入与口径'!T198),'原始输入与口径'!T198,"缺失")</x:f>
        <x:v>200</x:v>
      </x:c>
      <x:c r="AH196" s="18" t="n">
        <x:f>IF(ISNUMBER('原始输入与口径'!Y198),'原始输入与口径'!Y198,"缺失")</x:f>
        <x:v>200</x:v>
      </x:c>
      <x:c r="AI196" s="18" t="n">
        <x:f>IF(ISNUMBER('原始输入与口径'!AI198),'原始输入与口径'!AI198,"缺失")</x:f>
        <x:v>0</x:v>
      </x:c>
      <x:c r="AJ196" s="18" t="n">
        <x:f>IF(ISNUMBER('原始输入与口径'!AL198),'原始输入与口径'!AL198,"缺失")</x:f>
        <x:v>5.281</x:v>
      </x:c>
      <x:c r="AK196" s="18" t="str">
        <x:f>IF(ISNUMBER('原始输入与口径'!O198),'原始输入与口径'!O198,"缺失")</x:f>
        <x:v>缺失</x:v>
      </x:c>
      <x:c r="AL196" s="18" t="n">
        <x:f>SUMIFS('相位SOC复算'!$N$7:$N$443,'相位SOC复算'!$S$7:$S$443,190)</x:f>
        <x:v>0.0067479444444444436</x:v>
      </x:c>
      <x:c r="AM196" s="18" t="n">
        <x:f>SUMIFS('相位SOC复算'!$Q$7:$Q$443,'相位SOC复算'!$S$7:$S$443,190)</x:f>
        <x:v>2.6405</x:v>
      </x:c>
      <x:c r="AN196" s="18" t="n">
        <x:f>SUMIFS('相位SOC复算'!$R$7:$R$443,'相位SOC复算'!$S$7:$S$443,190)</x:f>
        <x:v>0</x:v>
      </x:c>
      <x:c r="AO196" s="18" t="n">
        <x:f>'相位SOC复算'!J439</x:f>
        <x:v>17.546283373904867</x:v>
      </x:c>
      <x:c r="AP196" s="18" t="n">
        <x:f>AO196-J196</x:f>
        <x:v>7.105427357601002e-15</x:v>
      </x:c>
      <x:c r="AQ196" s="18" t="n">
        <x:f>IF(ISBLANK('原始输入与口径'!M198),"",'原始输入与口径'!M198)</x:f>
        <x:v>4.9741</x:v>
      </x:c>
      <x:c r="AR196" s="21" t="n">
        <x:f>IF(ISBLANK('原始输入与口径'!L198),"",'原始输入与口径'!L198)</x:f>
        <x:v>45657</x:v>
      </x:c>
      <x:c r="AS196" s="17" t="n">
        <x:f>IF(ISBLANK('原始输入与口径'!A198),"",'原始输入与口径'!A198)</x:f>
        <x:v>45659.885416666664</x:v>
      </x:c>
      <x:c r="AT196" s="18" t="str">
        <x:f>IF(ISBLANK('原始输入与口径'!I198),"",'原始输入与口径'!I198)</x:f>
        <x:v>2025-01-02_23</x:v>
      </x:c>
      <x:c r="AU196" s="19" t="n">
        <x:f>IF(ISBLANK('原始输入与口径'!J198),"",'原始输入与口径'!J198)</x:f>
        <x:v>60</x:v>
      </x:c>
      <x:c r="AV196" s="18" t="str">
        <x:f>IF(ISBLANK('原始输入与口径'!BB198),"",'原始输入与口径'!BB198)</x:f>
        <x:v>OK</x:v>
      </x:c>
    </x:row>
    <x:row r="197" ht="21" customHeight="1">
      <x:c r="A197" s="17" t="n">
        <x:f>45659.979166666664</x:f>
        <x:v>45659.979166666664</x:v>
      </x:c>
      <x:c r="B197" s="23" t="n">
        <x:f>IF(ISNUMBER('原始输入与口径'!H199),'原始输入与口径'!H199,"缺失")</x:f>
        <x:v>116.81</x:v>
      </x:c>
      <x:c r="C197" s="23" t="str">
        <x:f>IF(ISNUMBER('原始输入与口径'!R199),'原始输入与口径'!R199,"缺失")</x:f>
        <x:v>缺失</x:v>
      </x:c>
      <x:c r="D197" s="23" t="n">
        <x:f>IF(ISNUMBER('原始输入与口径'!W199),'原始输入与口径'!W199,"缺失")</x:f>
        <x:v>13.831647936310086</x:v>
      </x:c>
      <x:c r="E197" s="23" t="n">
        <x:f>IF(ISNUMBER('原始输入与口径'!AB199),'原始输入与口径'!AB199,"缺失")</x:f>
        <x:v>14.710198829939085</x:v>
      </x:c>
      <x:c r="F197" s="23" t="n">
        <x:f>IF(ISNUMBER('原始输入与口径'!AG199),'原始输入与口径'!AG199,"缺失")</x:f>
        <x:v>0</x:v>
      </x:c>
      <x:c r="G197" s="23" t="n">
        <x:f>IF(ISNUMBER('原始输入与口径'!AJ199),'原始输入与口径'!AJ199,"缺失")</x:f>
        <x:v>30.26457047506081</x:v>
      </x:c>
      <x:c r="H197" s="23" t="str">
        <x:f>"未模拟"</x:f>
        <x:v>未模拟</x:v>
      </x:c>
      <x:c r="I197" s="24" t="n">
        <x:f>'原始输入与口径'!BD199</x:f>
        <x:v>17.54628337390486</x:v>
      </x:c>
      <x:c r="J197" s="24" t="n">
        <x:f>'原始输入与口径'!BE199</x:f>
        <x:v>18.46260337390486</x:v>
      </x:c>
      <x:c r="K197" s="24" t="n">
        <x:f>'原始输入与口径'!BF199</x:f>
        <x:v>0</x:v>
      </x:c>
      <x:c r="L197" s="24" t="n">
        <x:f>'原始输入与口径'!BG199</x:f>
        <x:v>0</x:v>
      </x:c>
      <x:c r="M197" s="24" t="n">
        <x:f>'原始输入与口径'!BH199</x:f>
        <x:v>100</x:v>
      </x:c>
      <x:c r="N197" s="24" t="n">
        <x:f>'原始输入与口径'!BI199</x:f>
        <x:v>100</x:v>
      </x:c>
      <x:c r="O197" s="24" t="n">
        <x:f>M197*AE197*AC197</x:f>
        <x:v>0</x:v>
      </x:c>
      <x:c r="P197" s="24" t="n">
        <x:f>N197*AF197*AC197</x:f>
        <x:v>0.996</x:v>
      </x:c>
      <x:c r="Q197" s="25" t="n">
        <x:f>IF(K197=0,0,IF(ISNUMBER(B197),K197*AC197*B197,NA()))</x:f>
        <x:v>0</x:v>
      </x:c>
      <x:c r="R197" s="25" t="n">
        <x:f>IF(L197=0,0,IF(ISNUMBER(C197),L197*AC197*C197*AD197,NA()))</x:f>
        <x:v>0</x:v>
      </x:c>
      <x:c r="S197" s="25" t="n">
        <x:f>IF(M197=0,0,IF(ISNUMBER(D197),M197*AC197*D197*AD197,NA()))</x:f>
        <x:v>345.7911984077521</x:v>
      </x:c>
      <x:c r="T197" s="25" t="n">
        <x:f>IF(N197=0,0,IF(ISNUMBER(E197),N197*AC197*E197*AD197,NA()))</x:f>
        <x:v>367.7549707484771</x:v>
      </x:c>
      <x:c r="U197" s="25" t="n">
        <x:f>IF(O197=0,0,IF(ISNUMBER(F197),O197*F197,NA()))</x:f>
        <x:v>0</x:v>
      </x:c>
      <x:c r="V197" s="25" t="n">
        <x:f>IF(P197=0,0,IF(ISNUMBER(G197),-P197*G197,NA()))</x:f>
        <x:v>-30.143512193160568</x:v>
      </x:c>
      <x:c r="W197" s="25" t="n">
        <x:f>SUM(Q197:V197)</x:f>
        <x:v>683.4026569630687</x:v>
      </x:c>
      <x:c r="X197" s="18" t="n">
        <x:f>'原始输入与口径'!BR199</x:f>
        <x:v>683.4026569630687</x:v>
      </x:c>
      <x:c r="Y197" s="18" t="n">
        <x:f>W197-X197</x:f>
        <x:v>0</x:v>
      </x:c>
      <x:c r="Z197" s="18" t="str">
        <x:f>"1月2日计划｜本窗新增"</x:f>
        <x:v>1月2日计划｜本窗新增</x:v>
      </x:c>
      <x:c r="AA197" s="19" t="n">
        <x:f>IF('原始输入与口径'!AW199,1,0)</x:f>
        <x:v>1</x:v>
      </x:c>
      <x:c r="AB197" s="19" t="n">
        <x:f>IF('原始输入与口径'!AY199,1,0)</x:f>
        <x:v>0</x:v>
      </x:c>
      <x:c r="AC197" s="18" t="n">
        <x:f>'原始输入与口径'!E199</x:f>
        <x:v>0.25</x:v>
      </x:c>
      <x:c r="AD197" s="20" t="n">
        <x:f>'原始输入与口径'!$F$5</x:f>
        <x:v>1</x:v>
      </x:c>
      <x:c r="AE197" s="20" t="n">
        <x:f>IF(AA197=0,0,AI197/(AG197*AC197))</x:f>
        <x:v>0</x:v>
      </x:c>
      <x:c r="AF197" s="20" t="n">
        <x:f>IF(AA197=0,0,AJ197/(AH197*AC197))</x:f>
        <x:v>0.03984</x:v>
      </x:c>
      <x:c r="AG197" s="18" t="n">
        <x:f>IF(ISNUMBER('原始输入与口径'!T199),'原始输入与口径'!T199,"缺失")</x:f>
        <x:v>200</x:v>
      </x:c>
      <x:c r="AH197" s="18" t="n">
        <x:f>IF(ISNUMBER('原始输入与口径'!Y199),'原始输入与口径'!Y199,"缺失")</x:f>
        <x:v>200</x:v>
      </x:c>
      <x:c r="AI197" s="18" t="n">
        <x:f>IF(ISNUMBER('原始输入与口径'!AI199),'原始输入与口径'!AI199,"缺失")</x:f>
        <x:v>0</x:v>
      </x:c>
      <x:c r="AJ197" s="18" t="n">
        <x:f>IF(ISNUMBER('原始输入与口径'!AL199),'原始输入与口径'!AL199,"缺失")</x:f>
        <x:v>1.992</x:v>
      </x:c>
      <x:c r="AK197" s="18" t="str">
        <x:f>IF(ISNUMBER('原始输入与口径'!O199),'原始输入与口径'!O199,"缺失")</x:f>
        <x:v>缺失</x:v>
      </x:c>
      <x:c r="AL197" s="18" t="n">
        <x:f>SUMIFS('相位SOC复算'!$N$7:$N$443,'相位SOC复算'!$S$7:$S$443,191)</x:f>
        <x:v>0.0025453333333333335</x:v>
      </x:c>
      <x:c r="AM197" s="18" t="n">
        <x:f>SUMIFS('相位SOC复算'!$Q$7:$Q$443,'相位SOC复算'!$S$7:$S$443,191)</x:f>
        <x:v>0.996</x:v>
      </x:c>
      <x:c r="AN197" s="18" t="n">
        <x:f>SUMIFS('相位SOC复算'!$R$7:$R$443,'相位SOC复算'!$S$7:$S$443,191)</x:f>
        <x:v>0</x:v>
      </x:c>
      <x:c r="AO197" s="18" t="n">
        <x:f>'相位SOC复算'!J441</x:f>
        <x:v>18.462603373904866</x:v>
      </x:c>
      <x:c r="AP197" s="18" t="n">
        <x:f>AO197-J197</x:f>
        <x:v>7.105427357601002e-15</x:v>
      </x:c>
      <x:c r="AQ197" s="18" t="n">
        <x:f>IF(ISBLANK('原始输入与口径'!M199),"",'原始输入与口径'!M199)</x:f>
        <x:v>4.9741</x:v>
      </x:c>
      <x:c r="AR197" s="21" t="n">
        <x:f>IF(ISBLANK('原始输入与口径'!L199),"",'原始输入与口径'!L199)</x:f>
        <x:v>45657</x:v>
      </x:c>
      <x:c r="AS197" s="17" t="n">
        <x:f>IF(ISBLANK('原始输入与口径'!A199),"",'原始输入与口径'!A199)</x:f>
        <x:v>45659.895833333336</x:v>
      </x:c>
      <x:c r="AT197" s="18" t="str">
        <x:f>IF(ISBLANK('原始输入与口径'!I199),"",'原始输入与口径'!I199)</x:f>
        <x:v>2025-01-02_23</x:v>
      </x:c>
      <x:c r="AU197" s="19" t="n">
        <x:f>IF(ISBLANK('原始输入与口径'!J199),"",'原始输入与口径'!J199)</x:f>
        <x:v>60</x:v>
      </x:c>
      <x:c r="AV197" s="18" t="str">
        <x:f>IF(ISBLANK('原始输入与口径'!BB199),"",'原始输入与口径'!BB199)</x:f>
        <x:v>OK</x:v>
      </x:c>
    </x:row>
    <x:row r="198" ht="21" customHeight="1">
      <x:c r="A198" s="17" t="n">
        <x:f>45659.989583333336</x:f>
        <x:v>45659.989583333336</x:v>
      </x:c>
      <x:c r="B198" s="23" t="n">
        <x:f>IF(ISNUMBER('原始输入与口径'!H200),'原始输入与口径'!H200,"缺失")</x:f>
        <x:v>116.81</x:v>
      </x:c>
      <x:c r="C198" s="23" t="str">
        <x:f>IF(ISNUMBER('原始输入与口径'!R200),'原始输入与口径'!R200,"缺失")</x:f>
        <x:v>缺失</x:v>
      </x:c>
      <x:c r="D198" s="23" t="n">
        <x:f>IF(ISNUMBER('原始输入与口径'!W200),'原始输入与口径'!W200,"缺失")</x:f>
        <x:v>13.831647936310086</x:v>
      </x:c>
      <x:c r="E198" s="23" t="n">
        <x:f>IF(ISNUMBER('原始输入与口径'!AB200),'原始输入与口径'!AB200,"缺失")</x:f>
        <x:v>14.710198829939085</x:v>
      </x:c>
      <x:c r="F198" s="23" t="n">
        <x:f>IF(ISNUMBER('原始输入与口径'!AG200),'原始输入与口径'!AG200,"缺失")</x:f>
        <x:v>0</x:v>
      </x:c>
      <x:c r="G198" s="23" t="n">
        <x:f>IF(ISNUMBER('原始输入与口径'!AJ200),'原始输入与口径'!AJ200,"缺失")</x:f>
        <x:v>20.60794917673549</x:v>
      </x:c>
      <x:c r="H198" s="23" t="str">
        <x:f>"未模拟"</x:f>
        <x:v>未模拟</x:v>
      </x:c>
      <x:c r="I198" s="24" t="n">
        <x:f>'原始输入与口径'!BD200</x:f>
        <x:v>18.46260337390486</x:v>
      </x:c>
      <x:c r="J198" s="24" t="n">
        <x:f>'原始输入与口径'!BE200</x:f>
        <x:v>19.92402337390486</x:v>
      </x:c>
      <x:c r="K198" s="24" t="n">
        <x:f>'原始输入与口径'!BF200</x:f>
        <x:v>0</x:v>
      </x:c>
      <x:c r="L198" s="24" t="n">
        <x:f>'原始输入与口径'!BG200</x:f>
        <x:v>0</x:v>
      </x:c>
      <x:c r="M198" s="24" t="n">
        <x:f>'原始输入与口径'!BH200</x:f>
        <x:v>100</x:v>
      </x:c>
      <x:c r="N198" s="24" t="n">
        <x:f>'原始输入与口径'!BI200</x:f>
        <x:v>100</x:v>
      </x:c>
      <x:c r="O198" s="24" t="n">
        <x:f>M198*AE198*AC198</x:f>
        <x:v>0</x:v>
      </x:c>
      <x:c r="P198" s="24" t="n">
        <x:f>N198*AF198*AC198</x:f>
        <x:v>1.5885</x:v>
      </x:c>
      <x:c r="Q198" s="25" t="n">
        <x:f>IF(K198=0,0,IF(ISNUMBER(B198),K198*AC198*B198,NA()))</x:f>
        <x:v>0</x:v>
      </x:c>
      <x:c r="R198" s="25" t="n">
        <x:f>IF(L198=0,0,IF(ISNUMBER(C198),L198*AC198*C198*AD198,NA()))</x:f>
        <x:v>0</x:v>
      </x:c>
      <x:c r="S198" s="25" t="n">
        <x:f>IF(M198=0,0,IF(ISNUMBER(D198),M198*AC198*D198*AD198,NA()))</x:f>
        <x:v>345.7911984077521</x:v>
      </x:c>
      <x:c r="T198" s="25" t="n">
        <x:f>IF(N198=0,0,IF(ISNUMBER(E198),N198*AC198*E198*AD198,NA()))</x:f>
        <x:v>367.7549707484771</x:v>
      </x:c>
      <x:c r="U198" s="25" t="n">
        <x:f>IF(O198=0,0,IF(ISNUMBER(F198),O198*F198,NA()))</x:f>
        <x:v>0</x:v>
      </x:c>
      <x:c r="V198" s="25" t="n">
        <x:f>IF(P198=0,0,IF(ISNUMBER(G198),-P198*G198,NA()))</x:f>
        <x:v>-32.73572726724433</x:v>
      </x:c>
      <x:c r="W198" s="25" t="n">
        <x:f>SUM(Q198:V198)</x:f>
        <x:v>680.8104418889849</x:v>
      </x:c>
      <x:c r="X198" s="18" t="n">
        <x:f>'原始输入与口径'!BR200</x:f>
        <x:v>680.8104418889849</x:v>
      </x:c>
      <x:c r="Y198" s="18" t="n">
        <x:f>W198-X198</x:f>
        <x:v>0</x:v>
      </x:c>
      <x:c r="Z198" s="18" t="str">
        <x:f>"1月2日计划｜本窗新增"</x:f>
        <x:v>1月2日计划｜本窗新增</x:v>
      </x:c>
      <x:c r="AA198" s="19" t="n">
        <x:f>IF('原始输入与口径'!AW200,1,0)</x:f>
        <x:v>1</x:v>
      </x:c>
      <x:c r="AB198" s="19" t="n">
        <x:f>IF('原始输入与口径'!AY200,1,0)</x:f>
        <x:v>0</x:v>
      </x:c>
      <x:c r="AC198" s="18" t="n">
        <x:f>'原始输入与口径'!E200</x:f>
        <x:v>0.25</x:v>
      </x:c>
      <x:c r="AD198" s="20" t="n">
        <x:f>'原始输入与口径'!$F$5</x:f>
        <x:v>1</x:v>
      </x:c>
      <x:c r="AE198" s="20" t="n">
        <x:f>IF(AA198=0,0,AI198/(AG198*AC198))</x:f>
        <x:v>0</x:v>
      </x:c>
      <x:c r="AF198" s="20" t="n">
        <x:f>IF(AA198=0,0,AJ198/(AH198*AC198))</x:f>
        <x:v>0.06354</x:v>
      </x:c>
      <x:c r="AG198" s="18" t="n">
        <x:f>IF(ISNUMBER('原始输入与口径'!T200),'原始输入与口径'!T200,"缺失")</x:f>
        <x:v>200</x:v>
      </x:c>
      <x:c r="AH198" s="18" t="n">
        <x:f>IF(ISNUMBER('原始输入与口径'!Y200),'原始输入与口径'!Y200,"缺失")</x:f>
        <x:v>200</x:v>
      </x:c>
      <x:c r="AI198" s="18" t="n">
        <x:f>IF(ISNUMBER('原始输入与口径'!AI200),'原始输入与口径'!AI200,"缺失")</x:f>
        <x:v>0</x:v>
      </x:c>
      <x:c r="AJ198" s="18" t="n">
        <x:f>IF(ISNUMBER('原始输入与口径'!AL200),'原始输入与口径'!AL200,"缺失")</x:f>
        <x:v>3.177</x:v>
      </x:c>
      <x:c r="AK198" s="18" t="str">
        <x:f>IF(ISNUMBER('原始输入与口径'!O200),'原始输入与口径'!O200,"缺失")</x:f>
        <x:v>缺失</x:v>
      </x:c>
      <x:c r="AL198" s="18" t="n">
        <x:f>SUMIFS('相位SOC复算'!$N$7:$N$443,'相位SOC复算'!$S$7:$S$443,192)</x:f>
        <x:v>0.0040595</x:v>
      </x:c>
      <x:c r="AM198" s="18" t="n">
        <x:f>SUMIFS('相位SOC复算'!$Q$7:$Q$443,'相位SOC复算'!$S$7:$S$443,192)</x:f>
        <x:v>1.5885</x:v>
      </x:c>
      <x:c r="AN198" s="18" t="n">
        <x:f>SUMIFS('相位SOC复算'!$R$7:$R$443,'相位SOC复算'!$S$7:$S$443,192)</x:f>
        <x:v>0</x:v>
      </x:c>
      <x:c r="AO198" s="18" t="n">
        <x:f>'相位SOC复算'!J443</x:f>
        <x:v>19.924023373904866</x:v>
      </x:c>
      <x:c r="AP198" s="18" t="n">
        <x:f>AO198-J198</x:f>
        <x:v>7.105427357601002e-15</x:v>
      </x:c>
      <x:c r="AQ198" s="18" t="n">
        <x:f>IF(ISBLANK('原始输入与口径'!M200),"",'原始输入与口径'!M200)</x:f>
        <x:v>4.9741</x:v>
      </x:c>
      <x:c r="AR198" s="21" t="n">
        <x:f>IF(ISBLANK('原始输入与口径'!L200),"",'原始输入与口径'!L200)</x:f>
        <x:v>45657</x:v>
      </x:c>
      <x:c r="AS198" s="17" t="n">
        <x:f>IF(ISBLANK('原始输入与口径'!A200),"",'原始输入与口径'!A200)</x:f>
        <x:v>45659.90625</x:v>
      </x:c>
      <x:c r="AT198" s="18" t="str">
        <x:f>IF(ISBLANK('原始输入与口径'!I200),"",'原始输入与口径'!I200)</x:f>
        <x:v>2025-01-02_23</x:v>
      </x:c>
      <x:c r="AU198" s="19" t="n">
        <x:f>IF(ISBLANK('原始输入与口径'!J200),"",'原始输入与口径'!J200)</x:f>
        <x:v>60</x:v>
      </x:c>
      <x:c r="AV198" s="18" t="str">
        <x:f>IF(ISBLANK('原始输入与口径'!BB200),"",'原始输入与口径'!BB200)</x:f>
        <x:v>OK</x:v>
      </x:c>
    </x:row>
    <x:row r="199" ht="2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</x:row>
    <x:row r="200" ht="21" customHeight="1">
      <x:c r="A200" s="26" t="str">
        <x:v>两日计划合计（非单日收益）</x:v>
      </x:c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7" t="n">
        <x:f>SUM(O7:O198)</x:f>
        <x:v>247.96665559585483</x:v>
      </x:c>
      <x:c r="P200" s="27" t="n">
        <x:f>SUM(P7:P198)</x:f>
        <x:v>206.803685</x:v>
      </x:c>
      <x:c r="Q200" s="27" t="n">
        <x:f>SUM(Q7:Q198)</x:f>
        <x:v>10671.944498870942</x:v>
      </x:c>
      <x:c r="R200" s="27" t="n">
        <x:f>SUM(R7:R198)</x:f>
        <x:v>0</x:v>
      </x:c>
      <x:c r="S200" s="27" t="n">
        <x:f>SUM(S7:S198)</x:f>
        <x:v>28461.349791922123</x:v>
      </x:c>
      <x:c r="T200" s="27" t="n">
        <x:f>SUM(T7:T198)</x:f>
        <x:v>28997.008504050995</x:v>
      </x:c>
      <x:c r="U200" s="27" t="n">
        <x:f>SUM(U7:U198)</x:f>
        <x:v>67111.88490640651</x:v>
      </x:c>
      <x:c r="V200" s="27" t="n">
        <x:f>SUM(V7:V198)</x:f>
        <x:v>12841.083279414368</x:v>
      </x:c>
      <x:c r="W200" s="27" t="n">
        <x:f>SUM(W7:W198)</x:f>
        <x:v>148083.27098066497</x:v>
      </x:c>
      <x:c r="X200" s="27" t="n">
        <x:f>SUM(X7:X198)</x:f>
        <x:v>148083.27098066497</x:v>
      </x:c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</x:row>
  </x:sheetData>
  <x:conditionalFormatting sqref="Y7:Y198">
    <x:cfRule type="expression" dxfId="0" priority="1">
      <x:formula>ABS(Y7)&gt;0.00001</x:formula>
    </x:cfRule>
  </x:conditionalFormatting>
  <x:conditionalFormatting sqref="AP7:AP198">
    <x:cfRule type="expression" dxfId="1" priority="2">
      <x:formula>ABS(AP7)&gt;0.000001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两日相位｜SOC与循环复算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 t="str">
        <x:v>相位为模型假设的下调→上调→空闲顺序，时间是按比例展开的模型时刻。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1" customHeight="1">
      <x:c r="A4" s="4" t="str">
        <x:v>充电=max(−净功率,0)；放电=max(净功率,0)；SOC逐相连续，未取整或修正原值。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52" customHeight="1">
      <x:c r="A6" s="9" t="str">
        <x:v>模型相位起点｜当地</x:v>
      </x:c>
      <x:c r="B6" s="9" t="str">
        <x:v>模型相位终点｜当地</x:v>
      </x:c>
      <x:c r="C6" s="9" t="str">
        <x:v>所属15分钟起点</x:v>
      </x:c>
      <x:c r="D6" s="9" t="str">
        <x:v>相位 d/u/0</x:v>
      </x:c>
      <x:c r="E6" s="9" t="str">
        <x:v>相位时长h</x:v>
      </x:c>
      <x:c r="F6" s="9" t="str">
        <x:v>净功率MW</x:v>
      </x:c>
      <x:c r="G6" s="9" t="str">
        <x:v>充电MW</x:v>
      </x:c>
      <x:c r="H6" s="9" t="str">
        <x:v>放电MW</x:v>
      </x:c>
      <x:c r="I6" s="9" t="str">
        <x:v>复算起SOC MWh</x:v>
      </x:c>
      <x:c r="J6" s="9" t="str">
        <x:v>复算末SOC MWh</x:v>
      </x:c>
      <x:c r="K6" s="9" t="str">
        <x:v>原模型起SOC</x:v>
      </x:c>
      <x:c r="L6" s="9" t="str">
        <x:v>原模型末SOC</x:v>
      </x:c>
      <x:c r="M6" s="9" t="str">
        <x:v>SOC差异 MWh</x:v>
      </x:c>
      <x:c r="N6" s="9" t="str">
        <x:v>复算EFC</x:v>
      </x:c>
      <x:c r="O6" s="9" t="str">
        <x:v>原模型EFC</x:v>
      </x:c>
      <x:c r="P6" s="9" t="str">
        <x:v>EFC差异</x:v>
      </x:c>
      <x:c r="Q6" s="9" t="str">
        <x:v>AC充电MWh</x:v>
      </x:c>
      <x:c r="R6" s="9" t="str">
        <x:v>AC放电MWh</x:v>
      </x:c>
      <x:c r="S6" s="9" t="str">
        <x:v>QH序号</x:v>
      </x:c>
    </x:row>
    <x:row r="7" ht="21" customHeight="1">
      <x:c r="A7" s="36" t="n">
        <x:v>45658</x:v>
      </x:c>
      <x:c r="B7" s="36" t="n">
        <x:v>45658.00334979167</x:v>
      </x:c>
      <x:c r="C7" s="36" t="n">
        <x:v>45658</x:v>
      </x:c>
      <x:c r="D7" s="2" t="str">
        <x:v>u</x:v>
      </x:c>
      <x:c r="E7" s="18" t="n">
        <x:v>0.08039500000000001</x:v>
      </x:c>
      <x:c r="F7" s="18" t="n">
        <x:f>IF(D7="d",'两日价格与决策'!K7-'两日价格与决策'!N7,IF(D7="u",'两日价格与决策'!K7+'两日价格与决策'!M7,'两日价格与决策'!K7))</x:f>
        <x:v>0</x:v>
      </x:c>
      <x:c r="G7" s="18" t="n">
        <x:f>MAX(-F7,0)</x:f>
        <x:v>0</x:v>
      </x:c>
      <x:c r="H7" s="18" t="n">
        <x:f>MAX(F7,0)</x:f>
        <x:v>0</x:v>
      </x:c>
      <x:c r="I7" s="18" t="n">
        <x:f>'原始输入与口径'!$B$5</x:f>
        <x:v>10</x:v>
      </x:c>
      <x:c r="J7" s="18" t="n">
        <x:f>I7+E7*(G7*'原始输入与口径'!$D$5-H7/'原始输入与口径'!$D$5)</x:f>
        <x:v>10</x:v>
      </x:c>
      <x:c r="K7" s="18" t="n">
        <x:v>10</x:v>
      </x:c>
      <x:c r="L7" s="18" t="n">
        <x:v>10</x:v>
      </x:c>
      <x:c r="M7" s="18" t="n">
        <x:f>J7-L7</x:f>
        <x:v>0</x:v>
      </x:c>
      <x:c r="N7" s="18" t="n">
        <x:f>E7*(G7*'原始输入与口径'!$D$5+H7/'原始输入与口径'!$D$5)/'原始输入与口径'!$H$5</x:f>
        <x:v>0</x:v>
      </x:c>
      <x:c r="O7" s="18" t="n">
        <x:v>0</x:v>
      </x:c>
      <x:c r="P7" s="18" t="n">
        <x:f>N7-O7</x:f>
        <x:v>0</x:v>
      </x:c>
      <x:c r="Q7" s="18" t="n">
        <x:f>E7*G7</x:f>
        <x:v>0</x:v>
      </x:c>
      <x:c r="R7" s="18" t="n">
        <x:f>E7*H7</x:f>
        <x:v>0</x:v>
      </x:c>
      <x:c r="S7" s="2" t="n">
        <x:v>1</x:v>
      </x:c>
    </x:row>
    <x:row r="8" ht="21" customHeight="1">
      <x:c r="A8" s="36" t="n">
        <x:v>45658.00334979167</x:v>
      </x:c>
      <x:c r="B8" s="36" t="n">
        <x:v>45658.010416666664</x:v>
      </x:c>
      <x:c r="C8" s="36" t="n">
        <x:v>45658</x:v>
      </x:c>
      <x:c r="D8" s="2" t="str">
        <x:v>0</x:v>
      </x:c>
      <x:c r="E8" s="18" t="n">
        <x:v>0.169605</x:v>
      </x:c>
      <x:c r="F8" s="18" t="n">
        <x:f>IF(D8="d",'两日价格与决策'!K7-'两日价格与决策'!N7,IF(D8="u",'两日价格与决策'!K7+'两日价格与决策'!M7,'两日价格与决策'!K7))</x:f>
        <x:v>0</x:v>
      </x:c>
      <x:c r="G8" s="18" t="n">
        <x:f>MAX(-F8,0)</x:f>
        <x:v>0</x:v>
      </x:c>
      <x:c r="H8" s="18" t="n">
        <x:f>MAX(F8,0)</x:f>
        <x:v>0</x:v>
      </x:c>
      <x:c r="I8" s="18" t="n">
        <x:f>J7</x:f>
        <x:v>10</x:v>
      </x:c>
      <x:c r="J8" s="18" t="n">
        <x:f>I8+E8*(G8*'原始输入与口径'!$D$5-H8/'原始输入与口径'!$D$5)</x:f>
        <x:v>10</x:v>
      </x:c>
      <x:c r="K8" s="18" t="n">
        <x:v>10</x:v>
      </x:c>
      <x:c r="L8" s="18" t="n">
        <x:v>10</x:v>
      </x:c>
      <x:c r="M8" s="18" t="n">
        <x:f>J8-L8</x:f>
        <x:v>0</x:v>
      </x:c>
      <x:c r="N8" s="18" t="n">
        <x:f>E8*(G8*'原始输入与口径'!$D$5+H8/'原始输入与口径'!$D$5)/'原始输入与口径'!$H$5</x:f>
        <x:v>0</x:v>
      </x:c>
      <x:c r="O8" s="18" t="n">
        <x:v>0</x:v>
      </x:c>
      <x:c r="P8" s="18" t="n">
        <x:f>N8-O8</x:f>
        <x:v>0</x:v>
      </x:c>
      <x:c r="Q8" s="18" t="n">
        <x:f>E8*G8</x:f>
        <x:v>0</x:v>
      </x:c>
      <x:c r="R8" s="18" t="n">
        <x:f>E8*H8</x:f>
        <x:v>0</x:v>
      </x:c>
      <x:c r="S8" s="2" t="n">
        <x:v>1</x:v>
      </x:c>
    </x:row>
    <x:row r="9" ht="21" customHeight="1">
      <x:c r="A9" s="36" t="n">
        <x:v>45658.010416666664</x:v>
      </x:c>
      <x:c r="B9" s="36" t="n">
        <x:v>45658.01259041666</x:v>
      </x:c>
      <x:c r="C9" s="36" t="n">
        <x:v>45658.010416666664</x:v>
      </x:c>
      <x:c r="D9" s="2" t="str">
        <x:v>u</x:v>
      </x:c>
      <x:c r="E9" s="18" t="n">
        <x:v>0.052169999999999994</x:v>
      </x:c>
      <x:c r="F9" s="18" t="n">
        <x:f>IF(D9="d",'两日价格与决策'!K8-'两日价格与决策'!N8,IF(D9="u",'两日价格与决策'!K8+'两日价格与决策'!M8,'两日价格与决策'!K8))</x:f>
        <x:v>0</x:v>
      </x:c>
      <x:c r="G9" s="18" t="n">
        <x:f>MAX(-F9,0)</x:f>
        <x:v>0</x:v>
      </x:c>
      <x:c r="H9" s="18" t="n">
        <x:f>MAX(F9,0)</x:f>
        <x:v>0</x:v>
      </x:c>
      <x:c r="I9" s="18" t="n">
        <x:f>J8</x:f>
        <x:v>10</x:v>
      </x:c>
      <x:c r="J9" s="18" t="n">
        <x:f>I9+E9*(G9*'原始输入与口径'!$D$5-H9/'原始输入与口径'!$D$5)</x:f>
        <x:v>10</x:v>
      </x:c>
      <x:c r="K9" s="18" t="n">
        <x:v>10</x:v>
      </x:c>
      <x:c r="L9" s="18" t="n">
        <x:v>10</x:v>
      </x:c>
      <x:c r="M9" s="18" t="n">
        <x:f>J9-L9</x:f>
        <x:v>0</x:v>
      </x:c>
      <x:c r="N9" s="18" t="n">
        <x:f>E9*(G9*'原始输入与口径'!$D$5+H9/'原始输入与口径'!$D$5)/'原始输入与口径'!$H$5</x:f>
        <x:v>0</x:v>
      </x:c>
      <x:c r="O9" s="18" t="n">
        <x:v>0</x:v>
      </x:c>
      <x:c r="P9" s="18" t="n">
        <x:f>N9-O9</x:f>
        <x:v>0</x:v>
      </x:c>
      <x:c r="Q9" s="18" t="n">
        <x:f>E9*G9</x:f>
        <x:v>0</x:v>
      </x:c>
      <x:c r="R9" s="18" t="n">
        <x:f>E9*H9</x:f>
        <x:v>0</x:v>
      </x:c>
      <x:c r="S9" s="2" t="n">
        <x:v>2</x:v>
      </x:c>
    </x:row>
    <x:row r="10" ht="21" customHeight="1">
      <x:c r="A10" s="36" t="n">
        <x:v>45658.01259041666</x:v>
      </x:c>
      <x:c r="B10" s="36" t="n">
        <x:v>45658.02083333333</x:v>
      </x:c>
      <x:c r="C10" s="36" t="n">
        <x:v>45658.010416666664</x:v>
      </x:c>
      <x:c r="D10" s="2" t="str">
        <x:v>0</x:v>
      </x:c>
      <x:c r="E10" s="18" t="n">
        <x:v>0.19783</x:v>
      </x:c>
      <x:c r="F10" s="18" t="n">
        <x:f>IF(D10="d",'两日价格与决策'!K8-'两日价格与决策'!N8,IF(D10="u",'两日价格与决策'!K8+'两日价格与决策'!M8,'两日价格与决策'!K8))</x:f>
        <x:v>0</x:v>
      </x:c>
      <x:c r="G10" s="18" t="n">
        <x:f>MAX(-F10,0)</x:f>
        <x:v>0</x:v>
      </x:c>
      <x:c r="H10" s="18" t="n">
        <x:f>MAX(F10,0)</x:f>
        <x:v>0</x:v>
      </x:c>
      <x:c r="I10" s="18" t="n">
        <x:f>J9</x:f>
        <x:v>10</x:v>
      </x:c>
      <x:c r="J10" s="18" t="n">
        <x:f>I10+E10*(G10*'原始输入与口径'!$D$5-H10/'原始输入与口径'!$D$5)</x:f>
        <x:v>10</x:v>
      </x:c>
      <x:c r="K10" s="18" t="n">
        <x:v>10</x:v>
      </x:c>
      <x:c r="L10" s="18" t="n">
        <x:v>10</x:v>
      </x:c>
      <x:c r="M10" s="18" t="n">
        <x:f>J10-L10</x:f>
        <x:v>0</x:v>
      </x:c>
      <x:c r="N10" s="18" t="n">
        <x:f>E10*(G10*'原始输入与口径'!$D$5+H10/'原始输入与口径'!$D$5)/'原始输入与口径'!$H$5</x:f>
        <x:v>0</x:v>
      </x:c>
      <x:c r="O10" s="18" t="n">
        <x:v>0</x:v>
      </x:c>
      <x:c r="P10" s="18" t="n">
        <x:f>N10-O10</x:f>
        <x:v>0</x:v>
      </x:c>
      <x:c r="Q10" s="18" t="n">
        <x:f>E10*G10</x:f>
        <x:v>0</x:v>
      </x:c>
      <x:c r="R10" s="18" t="n">
        <x:f>E10*H10</x:f>
        <x:v>0</x:v>
      </x:c>
      <x:c r="S10" s="2" t="n">
        <x:v>2</x:v>
      </x:c>
    </x:row>
    <x:row r="11" ht="21" customHeight="1">
      <x:c r="A11" s="36" t="n">
        <x:v>45658.020833333336</x:v>
      </x:c>
      <x:c r="B11" s="36" t="n">
        <x:v>45658.02083666667</x:v>
      </x:c>
      <x:c r="C11" s="36" t="n">
        <x:v>45658.020833333336</x:v>
      </x:c>
      <x:c r="D11" s="2" t="str">
        <x:v>d</x:v>
      </x:c>
      <x:c r="E11" s="18" t="n">
        <x:v>0.00008</x:v>
      </x:c>
      <x:c r="F11" s="18" t="n">
        <x:f>IF(D11="d",'两日价格与决策'!K9-'两日价格与决策'!N9,IF(D11="u",'两日价格与决策'!K9+'两日价格与决策'!M9,'两日价格与决策'!K9))</x:f>
        <x:v>0</x:v>
      </x:c>
      <x:c r="G11" s="18" t="n">
        <x:f>MAX(-F11,0)</x:f>
        <x:v>0</x:v>
      </x:c>
      <x:c r="H11" s="18" t="n">
        <x:f>MAX(F11,0)</x:f>
        <x:v>0</x:v>
      </x:c>
      <x:c r="I11" s="18" t="n">
        <x:f>J10</x:f>
        <x:v>10</x:v>
      </x:c>
      <x:c r="J11" s="18" t="n">
        <x:f>I11+E11*(G11*'原始输入与口径'!$D$5-H11/'原始输入与口径'!$D$5)</x:f>
        <x:v>10</x:v>
      </x:c>
      <x:c r="K11" s="18" t="n">
        <x:v>10</x:v>
      </x:c>
      <x:c r="L11" s="18" t="n">
        <x:v>10</x:v>
      </x:c>
      <x:c r="M11" s="18" t="n">
        <x:f>J11-L11</x:f>
        <x:v>0</x:v>
      </x:c>
      <x:c r="N11" s="18" t="n">
        <x:f>E11*(G11*'原始输入与口径'!$D$5+H11/'原始输入与口径'!$D$5)/'原始输入与口径'!$H$5</x:f>
        <x:v>0</x:v>
      </x:c>
      <x:c r="O11" s="18" t="n">
        <x:v>0</x:v>
      </x:c>
      <x:c r="P11" s="18" t="n">
        <x:f>N11-O11</x:f>
        <x:v>0</x:v>
      </x:c>
      <x:c r="Q11" s="18" t="n">
        <x:f>E11*G11</x:f>
        <x:v>0</x:v>
      </x:c>
      <x:c r="R11" s="18" t="n">
        <x:f>E11*H11</x:f>
        <x:v>0</x:v>
      </x:c>
      <x:c r="S11" s="2" t="n">
        <x:v>3</x:v>
      </x:c>
    </x:row>
    <x:row r="12" ht="21" customHeight="1">
      <x:c r="A12" s="36" t="n">
        <x:v>45658.02083666667</x:v>
      </x:c>
      <x:c r="B12" s="36" t="n">
        <x:v>45658.020895</x:v>
      </x:c>
      <x:c r="C12" s="36" t="n">
        <x:v>45658.020833333336</x:v>
      </x:c>
      <x:c r="D12" s="2" t="str">
        <x:v>u</x:v>
      </x:c>
      <x:c r="E12" s="18" t="n">
        <x:v>0.0014000000000000002</x:v>
      </x:c>
      <x:c r="F12" s="18" t="n">
        <x:f>IF(D12="d",'两日价格与决策'!K9-'两日价格与决策'!N9,IF(D12="u",'两日价格与决策'!K9+'两日价格与决策'!M9,'两日价格与决策'!K9))</x:f>
        <x:v>0</x:v>
      </x:c>
      <x:c r="G12" s="18" t="n">
        <x:f>MAX(-F12,0)</x:f>
        <x:v>0</x:v>
      </x:c>
      <x:c r="H12" s="18" t="n">
        <x:f>MAX(F12,0)</x:f>
        <x:v>0</x:v>
      </x:c>
      <x:c r="I12" s="18" t="n">
        <x:f>J11</x:f>
        <x:v>10</x:v>
      </x:c>
      <x:c r="J12" s="18" t="n">
        <x:f>I12+E12*(G12*'原始输入与口径'!$D$5-H12/'原始输入与口径'!$D$5)</x:f>
        <x:v>10</x:v>
      </x:c>
      <x:c r="K12" s="18" t="n">
        <x:v>10</x:v>
      </x:c>
      <x:c r="L12" s="18" t="n">
        <x:v>10</x:v>
      </x:c>
      <x:c r="M12" s="18" t="n">
        <x:f>J12-L12</x:f>
        <x:v>0</x:v>
      </x:c>
      <x:c r="N12" s="18" t="n">
        <x:f>E12*(G12*'原始输入与口径'!$D$5+H12/'原始输入与口径'!$D$5)/'原始输入与口径'!$H$5</x:f>
        <x:v>0</x:v>
      </x:c>
      <x:c r="O12" s="18" t="n">
        <x:v>0</x:v>
      </x:c>
      <x:c r="P12" s="18" t="n">
        <x:f>N12-O12</x:f>
        <x:v>0</x:v>
      </x:c>
      <x:c r="Q12" s="18" t="n">
        <x:f>E12*G12</x:f>
        <x:v>0</x:v>
      </x:c>
      <x:c r="R12" s="18" t="n">
        <x:f>E12*H12</x:f>
        <x:v>0</x:v>
      </x:c>
      <x:c r="S12" s="2" t="n">
        <x:v>3</x:v>
      </x:c>
    </x:row>
    <x:row r="13" ht="21" customHeight="1">
      <x:c r="A13" s="36" t="n">
        <x:v>45658.020895</x:v>
      </x:c>
      <x:c r="B13" s="36" t="n">
        <x:v>45658.03125</x:v>
      </x:c>
      <x:c r="C13" s="36" t="n">
        <x:v>45658.020833333336</x:v>
      </x:c>
      <x:c r="D13" s="2" t="str">
        <x:v>0</x:v>
      </x:c>
      <x:c r="E13" s="18" t="n">
        <x:v>0.24852</x:v>
      </x:c>
      <x:c r="F13" s="18" t="n">
        <x:f>IF(D13="d",'两日价格与决策'!K9-'两日价格与决策'!N9,IF(D13="u",'两日价格与决策'!K9+'两日价格与决策'!M9,'两日价格与决策'!K9))</x:f>
        <x:v>0</x:v>
      </x:c>
      <x:c r="G13" s="18" t="n">
        <x:f>MAX(-F13,0)</x:f>
        <x:v>0</x:v>
      </x:c>
      <x:c r="H13" s="18" t="n">
        <x:f>MAX(F13,0)</x:f>
        <x:v>0</x:v>
      </x:c>
      <x:c r="I13" s="18" t="n">
        <x:f>J12</x:f>
        <x:v>10</x:v>
      </x:c>
      <x:c r="J13" s="18" t="n">
        <x:f>I13+E13*(G13*'原始输入与口径'!$D$5-H13/'原始输入与口径'!$D$5)</x:f>
        <x:v>10</x:v>
      </x:c>
      <x:c r="K13" s="18" t="n">
        <x:v>10</x:v>
      </x:c>
      <x:c r="L13" s="18" t="n">
        <x:v>10</x:v>
      </x:c>
      <x:c r="M13" s="18" t="n">
        <x:f>J13-L13</x:f>
        <x:v>0</x:v>
      </x:c>
      <x:c r="N13" s="18" t="n">
        <x:f>E13*(G13*'原始输入与口径'!$D$5+H13/'原始输入与口径'!$D$5)/'原始输入与口径'!$H$5</x:f>
        <x:v>0</x:v>
      </x:c>
      <x:c r="O13" s="18" t="n">
        <x:v>0</x:v>
      </x:c>
      <x:c r="P13" s="18" t="n">
        <x:f>N13-O13</x:f>
        <x:v>0</x:v>
      </x:c>
      <x:c r="Q13" s="18" t="n">
        <x:f>E13*G13</x:f>
        <x:v>0</x:v>
      </x:c>
      <x:c r="R13" s="18" t="n">
        <x:f>E13*H13</x:f>
        <x:v>0</x:v>
      </x:c>
      <x:c r="S13" s="2" t="n">
        <x:v>3</x:v>
      </x:c>
    </x:row>
    <x:row r="14" ht="21" customHeight="1">
      <x:c r="A14" s="36" t="n">
        <x:v>45658.03125</x:v>
      </x:c>
      <x:c r="B14" s="36" t="n">
        <x:v>45658.03125666667</x:v>
      </x:c>
      <x:c r="C14" s="36" t="n">
        <x:v>45658.03125</x:v>
      </x:c>
      <x:c r="D14" s="2" t="str">
        <x:v>d</x:v>
      </x:c>
      <x:c r="E14" s="18" t="n">
        <x:v>0.00016</x:v>
      </x:c>
      <x:c r="F14" s="18" t="n">
        <x:f>IF(D14="d",'两日价格与决策'!K10-'两日价格与决策'!N10,IF(D14="u",'两日价格与决策'!K10+'两日价格与决策'!M10,'两日价格与决策'!K10))</x:f>
        <x:v>0</x:v>
      </x:c>
      <x:c r="G14" s="18" t="n">
        <x:f>MAX(-F14,0)</x:f>
        <x:v>0</x:v>
      </x:c>
      <x:c r="H14" s="18" t="n">
        <x:f>MAX(F14,0)</x:f>
        <x:v>0</x:v>
      </x:c>
      <x:c r="I14" s="18" t="n">
        <x:f>J13</x:f>
        <x:v>10</x:v>
      </x:c>
      <x:c r="J14" s="18" t="n">
        <x:f>I14+E14*(G14*'原始输入与口径'!$D$5-H14/'原始输入与口径'!$D$5)</x:f>
        <x:v>10</x:v>
      </x:c>
      <x:c r="K14" s="18" t="n">
        <x:v>10</x:v>
      </x:c>
      <x:c r="L14" s="18" t="n">
        <x:v>10</x:v>
      </x:c>
      <x:c r="M14" s="18" t="n">
        <x:f>J14-L14</x:f>
        <x:v>0</x:v>
      </x:c>
      <x:c r="N14" s="18" t="n">
        <x:f>E14*(G14*'原始输入与口径'!$D$5+H14/'原始输入与口径'!$D$5)/'原始输入与口径'!$H$5</x:f>
        <x:v>0</x:v>
      </x:c>
      <x:c r="O14" s="18" t="n">
        <x:v>0</x:v>
      </x:c>
      <x:c r="P14" s="18" t="n">
        <x:f>N14-O14</x:f>
        <x:v>0</x:v>
      </x:c>
      <x:c r="Q14" s="18" t="n">
        <x:f>E14*G14</x:f>
        <x:v>0</x:v>
      </x:c>
      <x:c r="R14" s="18" t="n">
        <x:f>E14*H14</x:f>
        <x:v>0</x:v>
      </x:c>
      <x:c r="S14" s="2" t="n">
        <x:v>4</x:v>
      </x:c>
    </x:row>
    <x:row r="15" ht="21" customHeight="1">
      <x:c r="A15" s="36" t="n">
        <x:v>45658.03125666667</x:v>
      </x:c>
      <x:c r="B15" s="36" t="n">
        <x:v>45658.03129979167</x:v>
      </x:c>
      <x:c r="C15" s="36" t="n">
        <x:v>45658.03125</x:v>
      </x:c>
      <x:c r="D15" s="2" t="str">
        <x:v>u</x:v>
      </x:c>
      <x:c r="E15" s="18" t="n">
        <x:v>0.001035</x:v>
      </x:c>
      <x:c r="F15" s="18" t="n">
        <x:f>IF(D15="d",'两日价格与决策'!K10-'两日价格与决策'!N10,IF(D15="u",'两日价格与决策'!K10+'两日价格与决策'!M10,'两日价格与决策'!K10))</x:f>
        <x:v>0</x:v>
      </x:c>
      <x:c r="G15" s="18" t="n">
        <x:f>MAX(-F15,0)</x:f>
        <x:v>0</x:v>
      </x:c>
      <x:c r="H15" s="18" t="n">
        <x:f>MAX(F15,0)</x:f>
        <x:v>0</x:v>
      </x:c>
      <x:c r="I15" s="18" t="n">
        <x:f>J14</x:f>
        <x:v>10</x:v>
      </x:c>
      <x:c r="J15" s="18" t="n">
        <x:f>I15+E15*(G15*'原始输入与口径'!$D$5-H15/'原始输入与口径'!$D$5)</x:f>
        <x:v>10</x:v>
      </x:c>
      <x:c r="K15" s="18" t="n">
        <x:v>10</x:v>
      </x:c>
      <x:c r="L15" s="18" t="n">
        <x:v>10</x:v>
      </x:c>
      <x:c r="M15" s="18" t="n">
        <x:f>J15-L15</x:f>
        <x:v>0</x:v>
      </x:c>
      <x:c r="N15" s="18" t="n">
        <x:f>E15*(G15*'原始输入与口径'!$D$5+H15/'原始输入与口径'!$D$5)/'原始输入与口径'!$H$5</x:f>
        <x:v>0</x:v>
      </x:c>
      <x:c r="O15" s="18" t="n">
        <x:v>0</x:v>
      </x:c>
      <x:c r="P15" s="18" t="n">
        <x:f>N15-O15</x:f>
        <x:v>0</x:v>
      </x:c>
      <x:c r="Q15" s="18" t="n">
        <x:f>E15*G15</x:f>
        <x:v>0</x:v>
      </x:c>
      <x:c r="R15" s="18" t="n">
        <x:f>E15*H15</x:f>
        <x:v>0</x:v>
      </x:c>
      <x:c r="S15" s="2" t="n">
        <x:v>4</x:v>
      </x:c>
    </x:row>
    <x:row r="16" ht="21" customHeight="1">
      <x:c r="A16" s="36" t="n">
        <x:v>45658.03129979167</x:v>
      </x:c>
      <x:c r="B16" s="36" t="n">
        <x:v>45658.041666666664</x:v>
      </x:c>
      <x:c r="C16" s="36" t="n">
        <x:v>45658.03125</x:v>
      </x:c>
      <x:c r="D16" s="2" t="str">
        <x:v>0</x:v>
      </x:c>
      <x:c r="E16" s="18" t="n">
        <x:v>0.248805</x:v>
      </x:c>
      <x:c r="F16" s="18" t="n">
        <x:f>IF(D16="d",'两日价格与决策'!K10-'两日价格与决策'!N10,IF(D16="u",'两日价格与决策'!K10+'两日价格与决策'!M10,'两日价格与决策'!K10))</x:f>
        <x:v>0</x:v>
      </x:c>
      <x:c r="G16" s="18" t="n">
        <x:f>MAX(-F16,0)</x:f>
        <x:v>0</x:v>
      </x:c>
      <x:c r="H16" s="18" t="n">
        <x:f>MAX(F16,0)</x:f>
        <x:v>0</x:v>
      </x:c>
      <x:c r="I16" s="18" t="n">
        <x:f>J15</x:f>
        <x:v>10</x:v>
      </x:c>
      <x:c r="J16" s="18" t="n">
        <x:f>I16+E16*(G16*'原始输入与口径'!$D$5-H16/'原始输入与口径'!$D$5)</x:f>
        <x:v>10</x:v>
      </x:c>
      <x:c r="K16" s="18" t="n">
        <x:v>10</x:v>
      </x:c>
      <x:c r="L16" s="18" t="n">
        <x:v>10</x:v>
      </x:c>
      <x:c r="M16" s="18" t="n">
        <x:f>J16-L16</x:f>
        <x:v>0</x:v>
      </x:c>
      <x:c r="N16" s="18" t="n">
        <x:f>E16*(G16*'原始输入与口径'!$D$5+H16/'原始输入与口径'!$D$5)/'原始输入与口径'!$H$5</x:f>
        <x:v>0</x:v>
      </x:c>
      <x:c r="O16" s="18" t="n">
        <x:v>0</x:v>
      </x:c>
      <x:c r="P16" s="18" t="n">
        <x:f>N16-O16</x:f>
        <x:v>0</x:v>
      </x:c>
      <x:c r="Q16" s="18" t="n">
        <x:f>E16*G16</x:f>
        <x:v>0</x:v>
      </x:c>
      <x:c r="R16" s="18" t="n">
        <x:f>E16*H16</x:f>
        <x:v>0</x:v>
      </x:c>
      <x:c r="S16" s="2" t="n">
        <x:v>4</x:v>
      </x:c>
    </x:row>
    <x:row r="17" ht="21" customHeight="1">
      <x:c r="A17" s="36" t="n">
        <x:v>45658.041666666664</x:v>
      </x:c>
      <x:c r="B17" s="36" t="n">
        <x:v>45658.041669791666</x:v>
      </x:c>
      <x:c r="C17" s="36" t="n">
        <x:v>45658.041666666664</x:v>
      </x:c>
      <x:c r="D17" s="2" t="str">
        <x:v>d</x:v>
      </x:c>
      <x:c r="E17" s="18" t="n">
        <x:v>0.000075</x:v>
      </x:c>
      <x:c r="F17" s="18" t="n">
        <x:f>IF(D17="d",'两日价格与决策'!K11-'两日价格与决策'!N11,IF(D17="u",'两日价格与决策'!K11+'两日价格与决策'!M11,'两日价格与决策'!K11))</x:f>
        <x:v>0</x:v>
      </x:c>
      <x:c r="G17" s="18" t="n">
        <x:f>MAX(-F17,0)</x:f>
        <x:v>0</x:v>
      </x:c>
      <x:c r="H17" s="18" t="n">
        <x:f>MAX(F17,0)</x:f>
        <x:v>0</x:v>
      </x:c>
      <x:c r="I17" s="18" t="n">
        <x:f>J16</x:f>
        <x:v>10</x:v>
      </x:c>
      <x:c r="J17" s="18" t="n">
        <x:f>I17+E17*(G17*'原始输入与口径'!$D$5-H17/'原始输入与口径'!$D$5)</x:f>
        <x:v>10</x:v>
      </x:c>
      <x:c r="K17" s="18" t="n">
        <x:v>10</x:v>
      </x:c>
      <x:c r="L17" s="18" t="n">
        <x:v>10</x:v>
      </x:c>
      <x:c r="M17" s="18" t="n">
        <x:f>J17-L17</x:f>
        <x:v>0</x:v>
      </x:c>
      <x:c r="N17" s="18" t="n">
        <x:f>E17*(G17*'原始输入与口径'!$D$5+H17/'原始输入与口径'!$D$5)/'原始输入与口径'!$H$5</x:f>
        <x:v>0</x:v>
      </x:c>
      <x:c r="O17" s="18" t="n">
        <x:v>0</x:v>
      </x:c>
      <x:c r="P17" s="18" t="n">
        <x:f>N17-O17</x:f>
        <x:v>0</x:v>
      </x:c>
      <x:c r="Q17" s="18" t="n">
        <x:f>E17*G17</x:f>
        <x:v>0</x:v>
      </x:c>
      <x:c r="R17" s="18" t="n">
        <x:f>E17*H17</x:f>
        <x:v>0</x:v>
      </x:c>
      <x:c r="S17" s="2" t="n">
        <x:v>5</x:v>
      </x:c>
    </x:row>
    <x:row r="18" ht="21" customHeight="1">
      <x:c r="A18" s="36" t="n">
        <x:v>45658.041669791666</x:v>
      </x:c>
      <x:c r="B18" s="36" t="n">
        <x:v>45658.04172729167</x:v>
      </x:c>
      <x:c r="C18" s="36" t="n">
        <x:v>45658.041666666664</x:v>
      </x:c>
      <x:c r="D18" s="2" t="str">
        <x:v>u</x:v>
      </x:c>
      <x:c r="E18" s="18" t="n">
        <x:v>0.0013800000000000002</x:v>
      </x:c>
      <x:c r="F18" s="18" t="n">
        <x:f>IF(D18="d",'两日价格与决策'!K11-'两日价格与决策'!N11,IF(D18="u",'两日价格与决策'!K11+'两日价格与决策'!M11,'两日价格与决策'!K11))</x:f>
        <x:v>0</x:v>
      </x:c>
      <x:c r="G18" s="18" t="n">
        <x:f>MAX(-F18,0)</x:f>
        <x:v>0</x:v>
      </x:c>
      <x:c r="H18" s="18" t="n">
        <x:f>MAX(F18,0)</x:f>
        <x:v>0</x:v>
      </x:c>
      <x:c r="I18" s="18" t="n">
        <x:f>J17</x:f>
        <x:v>10</x:v>
      </x:c>
      <x:c r="J18" s="18" t="n">
        <x:f>I18+E18*(G18*'原始输入与口径'!$D$5-H18/'原始输入与口径'!$D$5)</x:f>
        <x:v>10</x:v>
      </x:c>
      <x:c r="K18" s="18" t="n">
        <x:v>10</x:v>
      </x:c>
      <x:c r="L18" s="18" t="n">
        <x:v>10</x:v>
      </x:c>
      <x:c r="M18" s="18" t="n">
        <x:f>J18-L18</x:f>
        <x:v>0</x:v>
      </x:c>
      <x:c r="N18" s="18" t="n">
        <x:f>E18*(G18*'原始输入与口径'!$D$5+H18/'原始输入与口径'!$D$5)/'原始输入与口径'!$H$5</x:f>
        <x:v>0</x:v>
      </x:c>
      <x:c r="O18" s="18" t="n">
        <x:v>0</x:v>
      </x:c>
      <x:c r="P18" s="18" t="n">
        <x:f>N18-O18</x:f>
        <x:v>0</x:v>
      </x:c>
      <x:c r="Q18" s="18" t="n">
        <x:f>E18*G18</x:f>
        <x:v>0</x:v>
      </x:c>
      <x:c r="R18" s="18" t="n">
        <x:f>E18*H18</x:f>
        <x:v>0</x:v>
      </x:c>
      <x:c r="S18" s="2" t="n">
        <x:v>5</x:v>
      </x:c>
    </x:row>
    <x:row r="19" ht="21" customHeight="1">
      <x:c r="A19" s="36" t="n">
        <x:v>45658.04172729167</x:v>
      </x:c>
      <x:c r="B19" s="36" t="n">
        <x:v>45658.05208333333</x:v>
      </x:c>
      <x:c r="C19" s="36" t="n">
        <x:v>45658.041666666664</x:v>
      </x:c>
      <x:c r="D19" s="2" t="str">
        <x:v>0</x:v>
      </x:c>
      <x:c r="E19" s="18" t="n">
        <x:v>0.24854500000000002</x:v>
      </x:c>
      <x:c r="F19" s="18" t="n">
        <x:f>IF(D19="d",'两日价格与决策'!K11-'两日价格与决策'!N11,IF(D19="u",'两日价格与决策'!K11+'两日价格与决策'!M11,'两日价格与决策'!K11))</x:f>
        <x:v>0</x:v>
      </x:c>
      <x:c r="G19" s="18" t="n">
        <x:f>MAX(-F19,0)</x:f>
        <x:v>0</x:v>
      </x:c>
      <x:c r="H19" s="18" t="n">
        <x:f>MAX(F19,0)</x:f>
        <x:v>0</x:v>
      </x:c>
      <x:c r="I19" s="18" t="n">
        <x:f>J18</x:f>
        <x:v>10</x:v>
      </x:c>
      <x:c r="J19" s="18" t="n">
        <x:f>I19+E19*(G19*'原始输入与口径'!$D$5-H19/'原始输入与口径'!$D$5)</x:f>
        <x:v>10</x:v>
      </x:c>
      <x:c r="K19" s="18" t="n">
        <x:v>10</x:v>
      </x:c>
      <x:c r="L19" s="18" t="n">
        <x:v>10</x:v>
      </x:c>
      <x:c r="M19" s="18" t="n">
        <x:f>J19-L19</x:f>
        <x:v>0</x:v>
      </x:c>
      <x:c r="N19" s="18" t="n">
        <x:f>E19*(G19*'原始输入与口径'!$D$5+H19/'原始输入与口径'!$D$5)/'原始输入与口径'!$H$5</x:f>
        <x:v>0</x:v>
      </x:c>
      <x:c r="O19" s="18" t="n">
        <x:v>0</x:v>
      </x:c>
      <x:c r="P19" s="18" t="n">
        <x:f>N19-O19</x:f>
        <x:v>0</x:v>
      </x:c>
      <x:c r="Q19" s="18" t="n">
        <x:f>E19*G19</x:f>
        <x:v>0</x:v>
      </x:c>
      <x:c r="R19" s="18" t="n">
        <x:f>E19*H19</x:f>
        <x:v>0</x:v>
      </x:c>
      <x:c r="S19" s="2" t="n">
        <x:v>5</x:v>
      </x:c>
    </x:row>
    <x:row r="20" ht="21" customHeight="1">
      <x:c r="A20" s="36" t="n">
        <x:v>45658.052083333336</x:v>
      </x:c>
      <x:c r="B20" s="36" t="n">
        <x:v>45658.052086250005</x:v>
      </x:c>
      <x:c r="C20" s="36" t="n">
        <x:v>45658.052083333336</x:v>
      </x:c>
      <x:c r="D20" s="2" t="str">
        <x:v>d</x:v>
      </x:c>
      <x:c r="E20" s="18" t="n">
        <x:v>0.00007000000000000001</x:v>
      </x:c>
      <x:c r="F20" s="18" t="n">
        <x:f>IF(D20="d",'两日价格与决策'!K12-'两日价格与决策'!N12,IF(D20="u",'两日价格与决策'!K12+'两日价格与决策'!M12,'两日价格与决策'!K12))</x:f>
        <x:v>0</x:v>
      </x:c>
      <x:c r="G20" s="18" t="n">
        <x:f>MAX(-F20,0)</x:f>
        <x:v>0</x:v>
      </x:c>
      <x:c r="H20" s="18" t="n">
        <x:f>MAX(F20,0)</x:f>
        <x:v>0</x:v>
      </x:c>
      <x:c r="I20" s="18" t="n">
        <x:f>J19</x:f>
        <x:v>10</x:v>
      </x:c>
      <x:c r="J20" s="18" t="n">
        <x:f>I20+E20*(G20*'原始输入与口径'!$D$5-H20/'原始输入与口径'!$D$5)</x:f>
        <x:v>10</x:v>
      </x:c>
      <x:c r="K20" s="18" t="n">
        <x:v>10</x:v>
      </x:c>
      <x:c r="L20" s="18" t="n">
        <x:v>10</x:v>
      </x:c>
      <x:c r="M20" s="18" t="n">
        <x:f>J20-L20</x:f>
        <x:v>0</x:v>
      </x:c>
      <x:c r="N20" s="18" t="n">
        <x:f>E20*(G20*'原始输入与口径'!$D$5+H20/'原始输入与口径'!$D$5)/'原始输入与口径'!$H$5</x:f>
        <x:v>0</x:v>
      </x:c>
      <x:c r="O20" s="18" t="n">
        <x:v>0</x:v>
      </x:c>
      <x:c r="P20" s="18" t="n">
        <x:f>N20-O20</x:f>
        <x:v>0</x:v>
      </x:c>
      <x:c r="Q20" s="18" t="n">
        <x:f>E20*G20</x:f>
        <x:v>0</x:v>
      </x:c>
      <x:c r="R20" s="18" t="n">
        <x:f>E20*H20</x:f>
        <x:v>0</x:v>
      </x:c>
      <x:c r="S20" s="2" t="n">
        <x:v>6</x:v>
      </x:c>
    </x:row>
    <x:row r="21" ht="21" customHeight="1">
      <x:c r="A21" s="36" t="n">
        <x:v>45658.052086250005</x:v>
      </x:c>
      <x:c r="B21" s="36" t="n">
        <x:v>45658.05211291667</x:v>
      </x:c>
      <x:c r="C21" s="36" t="n">
        <x:v>45658.052083333336</x:v>
      </x:c>
      <x:c r="D21" s="2" t="str">
        <x:v>u</x:v>
      </x:c>
      <x:c r="E21" s="18" t="n">
        <x:v>0.00064</x:v>
      </x:c>
      <x:c r="F21" s="18" t="n">
        <x:f>IF(D21="d",'两日价格与决策'!K12-'两日价格与决策'!N12,IF(D21="u",'两日价格与决策'!K12+'两日价格与决策'!M12,'两日价格与决策'!K12))</x:f>
        <x:v>0</x:v>
      </x:c>
      <x:c r="G21" s="18" t="n">
        <x:f>MAX(-F21,0)</x:f>
        <x:v>0</x:v>
      </x:c>
      <x:c r="H21" s="18" t="n">
        <x:f>MAX(F21,0)</x:f>
        <x:v>0</x:v>
      </x:c>
      <x:c r="I21" s="18" t="n">
        <x:f>J20</x:f>
        <x:v>10</x:v>
      </x:c>
      <x:c r="J21" s="18" t="n">
        <x:f>I21+E21*(G21*'原始输入与口径'!$D$5-H21/'原始输入与口径'!$D$5)</x:f>
        <x:v>10</x:v>
      </x:c>
      <x:c r="K21" s="18" t="n">
        <x:v>10</x:v>
      </x:c>
      <x:c r="L21" s="18" t="n">
        <x:v>10</x:v>
      </x:c>
      <x:c r="M21" s="18" t="n">
        <x:f>J21-L21</x:f>
        <x:v>0</x:v>
      </x:c>
      <x:c r="N21" s="18" t="n">
        <x:f>E21*(G21*'原始输入与口径'!$D$5+H21/'原始输入与口径'!$D$5)/'原始输入与口径'!$H$5</x:f>
        <x:v>0</x:v>
      </x:c>
      <x:c r="O21" s="18" t="n">
        <x:v>0</x:v>
      </x:c>
      <x:c r="P21" s="18" t="n">
        <x:f>N21-O21</x:f>
        <x:v>0</x:v>
      </x:c>
      <x:c r="Q21" s="18" t="n">
        <x:f>E21*G21</x:f>
        <x:v>0</x:v>
      </x:c>
      <x:c r="R21" s="18" t="n">
        <x:f>E21*H21</x:f>
        <x:v>0</x:v>
      </x:c>
      <x:c r="S21" s="2" t="n">
        <x:v>6</x:v>
      </x:c>
    </x:row>
    <x:row r="22" ht="21" customHeight="1">
      <x:c r="A22" s="36" t="n">
        <x:v>45658.05211291667</x:v>
      </x:c>
      <x:c r="B22" s="36" t="n">
        <x:v>45658.0625</x:v>
      </x:c>
      <x:c r="C22" s="36" t="n">
        <x:v>45658.052083333336</x:v>
      </x:c>
      <x:c r="D22" s="2" t="str">
        <x:v>0</x:v>
      </x:c>
      <x:c r="E22" s="18" t="n">
        <x:v>0.24929</x:v>
      </x:c>
      <x:c r="F22" s="18" t="n">
        <x:f>IF(D22="d",'两日价格与决策'!K12-'两日价格与决策'!N12,IF(D22="u",'两日价格与决策'!K12+'两日价格与决策'!M12,'两日价格与决策'!K12))</x:f>
        <x:v>0</x:v>
      </x:c>
      <x:c r="G22" s="18" t="n">
        <x:f>MAX(-F22,0)</x:f>
        <x:v>0</x:v>
      </x:c>
      <x:c r="H22" s="18" t="n">
        <x:f>MAX(F22,0)</x:f>
        <x:v>0</x:v>
      </x:c>
      <x:c r="I22" s="18" t="n">
        <x:f>J21</x:f>
        <x:v>10</x:v>
      </x:c>
      <x:c r="J22" s="18" t="n">
        <x:f>I22+E22*(G22*'原始输入与口径'!$D$5-H22/'原始输入与口径'!$D$5)</x:f>
        <x:v>10</x:v>
      </x:c>
      <x:c r="K22" s="18" t="n">
        <x:v>10</x:v>
      </x:c>
      <x:c r="L22" s="18" t="n">
        <x:v>10</x:v>
      </x:c>
      <x:c r="M22" s="18" t="n">
        <x:f>J22-L22</x:f>
        <x:v>0</x:v>
      </x:c>
      <x:c r="N22" s="18" t="n">
        <x:f>E22*(G22*'原始输入与口径'!$D$5+H22/'原始输入与口径'!$D$5)/'原始输入与口径'!$H$5</x:f>
        <x:v>0</x:v>
      </x:c>
      <x:c r="O22" s="18" t="n">
        <x:v>0</x:v>
      </x:c>
      <x:c r="P22" s="18" t="n">
        <x:f>N22-O22</x:f>
        <x:v>0</x:v>
      </x:c>
      <x:c r="Q22" s="18" t="n">
        <x:f>E22*G22</x:f>
        <x:v>0</x:v>
      </x:c>
      <x:c r="R22" s="18" t="n">
        <x:f>E22*H22</x:f>
        <x:v>0</x:v>
      </x:c>
      <x:c r="S22" s="2" t="n">
        <x:v>6</x:v>
      </x:c>
    </x:row>
    <x:row r="23" ht="21" customHeight="1">
      <x:c r="A23" s="36" t="n">
        <x:v>45658.0625</x:v>
      </x:c>
      <x:c r="B23" s="36" t="n">
        <x:v>45658.06252395833</x:v>
      </x:c>
      <x:c r="C23" s="36" t="n">
        <x:v>45658.0625</x:v>
      </x:c>
      <x:c r="D23" s="2" t="str">
        <x:v>d</x:v>
      </x:c>
      <x:c r="E23" s="18" t="n">
        <x:v>0.000575</x:v>
      </x:c>
      <x:c r="F23" s="18" t="n">
        <x:f>IF(D23="d",'两日价格与决策'!K13-'两日价格与决策'!N13,IF(D23="u",'两日价格与决策'!K13+'两日价格与决策'!M13,'两日价格与决策'!K13))</x:f>
        <x:v>0</x:v>
      </x:c>
      <x:c r="G23" s="18" t="n">
        <x:f>MAX(-F23,0)</x:f>
        <x:v>0</x:v>
      </x:c>
      <x:c r="H23" s="18" t="n">
        <x:f>MAX(F23,0)</x:f>
        <x:v>0</x:v>
      </x:c>
      <x:c r="I23" s="18" t="n">
        <x:f>J22</x:f>
        <x:v>10</x:v>
      </x:c>
      <x:c r="J23" s="18" t="n">
        <x:f>I23+E23*(G23*'原始输入与口径'!$D$5-H23/'原始输入与口径'!$D$5)</x:f>
        <x:v>10</x:v>
      </x:c>
      <x:c r="K23" s="18" t="n">
        <x:v>10</x:v>
      </x:c>
      <x:c r="L23" s="18" t="n">
        <x:v>10</x:v>
      </x:c>
      <x:c r="M23" s="18" t="n">
        <x:f>J23-L23</x:f>
        <x:v>0</x:v>
      </x:c>
      <x:c r="N23" s="18" t="n">
        <x:f>E23*(G23*'原始输入与口径'!$D$5+H23/'原始输入与口径'!$D$5)/'原始输入与口径'!$H$5</x:f>
        <x:v>0</x:v>
      </x:c>
      <x:c r="O23" s="18" t="n">
        <x:v>0</x:v>
      </x:c>
      <x:c r="P23" s="18" t="n">
        <x:f>N23-O23</x:f>
        <x:v>0</x:v>
      </x:c>
      <x:c r="Q23" s="18" t="n">
        <x:f>E23*G23</x:f>
        <x:v>0</x:v>
      </x:c>
      <x:c r="R23" s="18" t="n">
        <x:f>E23*H23</x:f>
        <x:v>0</x:v>
      </x:c>
      <x:c r="S23" s="2" t="n">
        <x:v>7</x:v>
      </x:c>
    </x:row>
    <x:row r="24" ht="21" customHeight="1">
      <x:c r="A24" s="36" t="n">
        <x:v>45658.06252395833</x:v>
      </x:c>
      <x:c r="B24" s="36" t="n">
        <x:v>45658.06252875</x:v>
      </x:c>
      <x:c r="C24" s="36" t="n">
        <x:v>45658.0625</x:v>
      </x:c>
      <x:c r="D24" s="2" t="str">
        <x:v>u</x:v>
      </x:c>
      <x:c r="E24" s="18" t="n">
        <x:v>0.000115</x:v>
      </x:c>
      <x:c r="F24" s="18" t="n">
        <x:f>IF(D24="d",'两日价格与决策'!K13-'两日价格与决策'!N13,IF(D24="u",'两日价格与决策'!K13+'两日价格与决策'!M13,'两日价格与决策'!K13))</x:f>
        <x:v>0</x:v>
      </x:c>
      <x:c r="G24" s="18" t="n">
        <x:f>MAX(-F24,0)</x:f>
        <x:v>0</x:v>
      </x:c>
      <x:c r="H24" s="18" t="n">
        <x:f>MAX(F24,0)</x:f>
        <x:v>0</x:v>
      </x:c>
      <x:c r="I24" s="18" t="n">
        <x:f>J23</x:f>
        <x:v>10</x:v>
      </x:c>
      <x:c r="J24" s="18" t="n">
        <x:f>I24+E24*(G24*'原始输入与口径'!$D$5-H24/'原始输入与口径'!$D$5)</x:f>
        <x:v>10</x:v>
      </x:c>
      <x:c r="K24" s="18" t="n">
        <x:v>10</x:v>
      </x:c>
      <x:c r="L24" s="18" t="n">
        <x:v>10</x:v>
      </x:c>
      <x:c r="M24" s="18" t="n">
        <x:f>J24-L24</x:f>
        <x:v>0</x:v>
      </x:c>
      <x:c r="N24" s="18" t="n">
        <x:f>E24*(G24*'原始输入与口径'!$D$5+H24/'原始输入与口径'!$D$5)/'原始输入与口径'!$H$5</x:f>
        <x:v>0</x:v>
      </x:c>
      <x:c r="O24" s="18" t="n">
        <x:v>0</x:v>
      </x:c>
      <x:c r="P24" s="18" t="n">
        <x:f>N24-O24</x:f>
        <x:v>0</x:v>
      </x:c>
      <x:c r="Q24" s="18" t="n">
        <x:f>E24*G24</x:f>
        <x:v>0</x:v>
      </x:c>
      <x:c r="R24" s="18" t="n">
        <x:f>E24*H24</x:f>
        <x:v>0</x:v>
      </x:c>
      <x:c r="S24" s="2" t="n">
        <x:v>7</x:v>
      </x:c>
    </x:row>
    <x:row r="25" ht="21" customHeight="1">
      <x:c r="A25" s="36" t="n">
        <x:v>45658.06252875</x:v>
      </x:c>
      <x:c r="B25" s="36" t="n">
        <x:v>45658.072916666664</x:v>
      </x:c>
      <x:c r="C25" s="36" t="n">
        <x:v>45658.0625</x:v>
      </x:c>
      <x:c r="D25" s="2" t="str">
        <x:v>0</x:v>
      </x:c>
      <x:c r="E25" s="18" t="n">
        <x:v>0.24931</x:v>
      </x:c>
      <x:c r="F25" s="18" t="n">
        <x:f>IF(D25="d",'两日价格与决策'!K13-'两日价格与决策'!N13,IF(D25="u",'两日价格与决策'!K13+'两日价格与决策'!M13,'两日价格与决策'!K13))</x:f>
        <x:v>0</x:v>
      </x:c>
      <x:c r="G25" s="18" t="n">
        <x:f>MAX(-F25,0)</x:f>
        <x:v>0</x:v>
      </x:c>
      <x:c r="H25" s="18" t="n">
        <x:f>MAX(F25,0)</x:f>
        <x:v>0</x:v>
      </x:c>
      <x:c r="I25" s="18" t="n">
        <x:f>J24</x:f>
        <x:v>10</x:v>
      </x:c>
      <x:c r="J25" s="18" t="n">
        <x:f>I25+E25*(G25*'原始输入与口径'!$D$5-H25/'原始输入与口径'!$D$5)</x:f>
        <x:v>10</x:v>
      </x:c>
      <x:c r="K25" s="18" t="n">
        <x:v>10</x:v>
      </x:c>
      <x:c r="L25" s="18" t="n">
        <x:v>10</x:v>
      </x:c>
      <x:c r="M25" s="18" t="n">
        <x:f>J25-L25</x:f>
        <x:v>0</x:v>
      </x:c>
      <x:c r="N25" s="18" t="n">
        <x:f>E25*(G25*'原始输入与口径'!$D$5+H25/'原始输入与口径'!$D$5)/'原始输入与口径'!$H$5</x:f>
        <x:v>0</x:v>
      </x:c>
      <x:c r="O25" s="18" t="n">
        <x:v>0</x:v>
      </x:c>
      <x:c r="P25" s="18" t="n">
        <x:f>N25-O25</x:f>
        <x:v>0</x:v>
      </x:c>
      <x:c r="Q25" s="18" t="n">
        <x:f>E25*G25</x:f>
        <x:v>0</x:v>
      </x:c>
      <x:c r="R25" s="18" t="n">
        <x:f>E25*H25</x:f>
        <x:v>0</x:v>
      </x:c>
      <x:c r="S25" s="2" t="n">
        <x:v>7</x:v>
      </x:c>
    </x:row>
    <x:row r="26" ht="21" customHeight="1">
      <x:c r="A26" s="36" t="n">
        <x:v>45658.072916666664</x:v>
      </x:c>
      <x:c r="B26" s="36" t="n">
        <x:v>45658.07294</x:v>
      </x:c>
      <x:c r="C26" s="36" t="n">
        <x:v>45658.072916666664</x:v>
      </x:c>
      <x:c r="D26" s="2" t="str">
        <x:v>d</x:v>
      </x:c>
      <x:c r="E26" s="18" t="n">
        <x:v>0.0005600000000000001</x:v>
      </x:c>
      <x:c r="F26" s="18" t="n">
        <x:f>IF(D26="d",'两日价格与决策'!K14-'两日价格与决策'!N14,IF(D26="u",'两日价格与决策'!K14+'两日价格与决策'!M14,'两日价格与决策'!K14))</x:f>
        <x:v>0</x:v>
      </x:c>
      <x:c r="G26" s="18" t="n">
        <x:f>MAX(-F26,0)</x:f>
        <x:v>0</x:v>
      </x:c>
      <x:c r="H26" s="18" t="n">
        <x:f>MAX(F26,0)</x:f>
        <x:v>0</x:v>
      </x:c>
      <x:c r="I26" s="18" t="n">
        <x:f>J25</x:f>
        <x:v>10</x:v>
      </x:c>
      <x:c r="J26" s="18" t="n">
        <x:f>I26+E26*(G26*'原始输入与口径'!$D$5-H26/'原始输入与口径'!$D$5)</x:f>
        <x:v>10</x:v>
      </x:c>
      <x:c r="K26" s="18" t="n">
        <x:v>10</x:v>
      </x:c>
      <x:c r="L26" s="18" t="n">
        <x:v>10</x:v>
      </x:c>
      <x:c r="M26" s="18" t="n">
        <x:f>J26-L26</x:f>
        <x:v>0</x:v>
      </x:c>
      <x:c r="N26" s="18" t="n">
        <x:f>E26*(G26*'原始输入与口径'!$D$5+H26/'原始输入与口径'!$D$5)/'原始输入与口径'!$H$5</x:f>
        <x:v>0</x:v>
      </x:c>
      <x:c r="O26" s="18" t="n">
        <x:v>0</x:v>
      </x:c>
      <x:c r="P26" s="18" t="n">
        <x:f>N26-O26</x:f>
        <x:v>0</x:v>
      </x:c>
      <x:c r="Q26" s="18" t="n">
        <x:f>E26*G26</x:f>
        <x:v>0</x:v>
      </x:c>
      <x:c r="R26" s="18" t="n">
        <x:f>E26*H26</x:f>
        <x:v>0</x:v>
      </x:c>
      <x:c r="S26" s="2" t="n">
        <x:v>8</x:v>
      </x:c>
    </x:row>
    <x:row r="27" ht="21" customHeight="1">
      <x:c r="A27" s="36" t="n">
        <x:v>45658.07294</x:v>
      </x:c>
      <x:c r="B27" s="36" t="n">
        <x:v>45658.07295625</x:v>
      </x:c>
      <x:c r="C27" s="36" t="n">
        <x:v>45658.072916666664</x:v>
      </x:c>
      <x:c r="D27" s="2" t="str">
        <x:v>u</x:v>
      </x:c>
      <x:c r="E27" s="18" t="n">
        <x:v>0.00039</x:v>
      </x:c>
      <x:c r="F27" s="18" t="n">
        <x:f>IF(D27="d",'两日价格与决策'!K14-'两日价格与决策'!N14,IF(D27="u",'两日价格与决策'!K14+'两日价格与决策'!M14,'两日价格与决策'!K14))</x:f>
        <x:v>0</x:v>
      </x:c>
      <x:c r="G27" s="18" t="n">
        <x:f>MAX(-F27,0)</x:f>
        <x:v>0</x:v>
      </x:c>
      <x:c r="H27" s="18" t="n">
        <x:f>MAX(F27,0)</x:f>
        <x:v>0</x:v>
      </x:c>
      <x:c r="I27" s="18" t="n">
        <x:f>J26</x:f>
        <x:v>10</x:v>
      </x:c>
      <x:c r="J27" s="18" t="n">
        <x:f>I27+E27*(G27*'原始输入与口径'!$D$5-H27/'原始输入与口径'!$D$5)</x:f>
        <x:v>10</x:v>
      </x:c>
      <x:c r="K27" s="18" t="n">
        <x:v>10</x:v>
      </x:c>
      <x:c r="L27" s="18" t="n">
        <x:v>10</x:v>
      </x:c>
      <x:c r="M27" s="18" t="n">
        <x:f>J27-L27</x:f>
        <x:v>0</x:v>
      </x:c>
      <x:c r="N27" s="18" t="n">
        <x:f>E27*(G27*'原始输入与口径'!$D$5+H27/'原始输入与口径'!$D$5)/'原始输入与口径'!$H$5</x:f>
        <x:v>0</x:v>
      </x:c>
      <x:c r="O27" s="18" t="n">
        <x:v>0</x:v>
      </x:c>
      <x:c r="P27" s="18" t="n">
        <x:f>N27-O27</x:f>
        <x:v>0</x:v>
      </x:c>
      <x:c r="Q27" s="18" t="n">
        <x:f>E27*G27</x:f>
        <x:v>0</x:v>
      </x:c>
      <x:c r="R27" s="18" t="n">
        <x:f>E27*H27</x:f>
        <x:v>0</x:v>
      </x:c>
      <x:c r="S27" s="2" t="n">
        <x:v>8</x:v>
      </x:c>
    </x:row>
    <x:row r="28" ht="21" customHeight="1">
      <x:c r="A28" s="36" t="n">
        <x:v>45658.07295625</x:v>
      </x:c>
      <x:c r="B28" s="36" t="n">
        <x:v>45658.08333333333</x:v>
      </x:c>
      <x:c r="C28" s="36" t="n">
        <x:v>45658.072916666664</x:v>
      </x:c>
      <x:c r="D28" s="2" t="str">
        <x:v>0</x:v>
      </x:c>
      <x:c r="E28" s="18" t="n">
        <x:v>0.24905</x:v>
      </x:c>
      <x:c r="F28" s="18" t="n">
        <x:f>IF(D28="d",'两日价格与决策'!K14-'两日价格与决策'!N14,IF(D28="u",'两日价格与决策'!K14+'两日价格与决策'!M14,'两日价格与决策'!K14))</x:f>
        <x:v>0</x:v>
      </x:c>
      <x:c r="G28" s="18" t="n">
        <x:f>MAX(-F28,0)</x:f>
        <x:v>0</x:v>
      </x:c>
      <x:c r="H28" s="18" t="n">
        <x:f>MAX(F28,0)</x:f>
        <x:v>0</x:v>
      </x:c>
      <x:c r="I28" s="18" t="n">
        <x:f>J27</x:f>
        <x:v>10</x:v>
      </x:c>
      <x:c r="J28" s="18" t="n">
        <x:f>I28+E28*(G28*'原始输入与口径'!$D$5-H28/'原始输入与口径'!$D$5)</x:f>
        <x:v>10</x:v>
      </x:c>
      <x:c r="K28" s="18" t="n">
        <x:v>10</x:v>
      </x:c>
      <x:c r="L28" s="18" t="n">
        <x:v>10</x:v>
      </x:c>
      <x:c r="M28" s="18" t="n">
        <x:f>J28-L28</x:f>
        <x:v>0</x:v>
      </x:c>
      <x:c r="N28" s="18" t="n">
        <x:f>E28*(G28*'原始输入与口径'!$D$5+H28/'原始输入与口径'!$D$5)/'原始输入与口径'!$H$5</x:f>
        <x:v>0</x:v>
      </x:c>
      <x:c r="O28" s="18" t="n">
        <x:v>0</x:v>
      </x:c>
      <x:c r="P28" s="18" t="n">
        <x:f>N28-O28</x:f>
        <x:v>0</x:v>
      </x:c>
      <x:c r="Q28" s="18" t="n">
        <x:f>E28*G28</x:f>
        <x:v>0</x:v>
      </x:c>
      <x:c r="R28" s="18" t="n">
        <x:f>E28*H28</x:f>
        <x:v>0</x:v>
      </x:c>
      <x:c r="S28" s="2" t="n">
        <x:v>8</x:v>
      </x:c>
    </x:row>
    <x:row r="29" ht="21" customHeight="1">
      <x:c r="A29" s="36" t="n">
        <x:v>45658.083333333336</x:v>
      </x:c>
      <x:c r="B29" s="36" t="n">
        <x:v>45658.08444520833</x:v>
      </x:c>
      <x:c r="C29" s="36" t="n">
        <x:v>45658.083333333336</x:v>
      </x:c>
      <x:c r="D29" s="2" t="str">
        <x:v>u</x:v>
      </x:c>
      <x:c r="E29" s="18" t="n">
        <x:v>0.026685</x:v>
      </x:c>
      <x:c r="F29" s="18" t="n">
        <x:f>IF(D29="d",'两日价格与决策'!K15-'两日价格与决策'!N15,IF(D29="u",'两日价格与决策'!K15+'两日价格与决策'!M15,'两日价格与决策'!K15))</x:f>
        <x:v>0</x:v>
      </x:c>
      <x:c r="G29" s="18" t="n">
        <x:f>MAX(-F29,0)</x:f>
        <x:v>0</x:v>
      </x:c>
      <x:c r="H29" s="18" t="n">
        <x:f>MAX(F29,0)</x:f>
        <x:v>0</x:v>
      </x:c>
      <x:c r="I29" s="18" t="n">
        <x:f>J28</x:f>
        <x:v>10</x:v>
      </x:c>
      <x:c r="J29" s="18" t="n">
        <x:f>I29+E29*(G29*'原始输入与口径'!$D$5-H29/'原始输入与口径'!$D$5)</x:f>
        <x:v>10</x:v>
      </x:c>
      <x:c r="K29" s="18" t="n">
        <x:v>10</x:v>
      </x:c>
      <x:c r="L29" s="18" t="n">
        <x:v>10</x:v>
      </x:c>
      <x:c r="M29" s="18" t="n">
        <x:f>J29-L29</x:f>
        <x:v>0</x:v>
      </x:c>
      <x:c r="N29" s="18" t="n">
        <x:f>E29*(G29*'原始输入与口径'!$D$5+H29/'原始输入与口径'!$D$5)/'原始输入与口径'!$H$5</x:f>
        <x:v>0</x:v>
      </x:c>
      <x:c r="O29" s="18" t="n">
        <x:v>0</x:v>
      </x:c>
      <x:c r="P29" s="18" t="n">
        <x:f>N29-O29</x:f>
        <x:v>0</x:v>
      </x:c>
      <x:c r="Q29" s="18" t="n">
        <x:f>E29*G29</x:f>
        <x:v>0</x:v>
      </x:c>
      <x:c r="R29" s="18" t="n">
        <x:f>E29*H29</x:f>
        <x:v>0</x:v>
      </x:c>
      <x:c r="S29" s="2" t="n">
        <x:v>9</x:v>
      </x:c>
    </x:row>
    <x:row r="30" ht="21" customHeight="1">
      <x:c r="A30" s="36" t="n">
        <x:v>45658.08444520833</x:v>
      </x:c>
      <x:c r="B30" s="36" t="n">
        <x:v>45658.09375</x:v>
      </x:c>
      <x:c r="C30" s="36" t="n">
        <x:v>45658.083333333336</x:v>
      </x:c>
      <x:c r="D30" s="2" t="str">
        <x:v>0</x:v>
      </x:c>
      <x:c r="E30" s="18" t="n">
        <x:v>0.22331499999999999</x:v>
      </x:c>
      <x:c r="F30" s="18" t="n">
        <x:f>IF(D30="d",'两日价格与决策'!K15-'两日价格与决策'!N15,IF(D30="u",'两日价格与决策'!K15+'两日价格与决策'!M15,'两日价格与决策'!K15))</x:f>
        <x:v>0</x:v>
      </x:c>
      <x:c r="G30" s="18" t="n">
        <x:f>MAX(-F30,0)</x:f>
        <x:v>0</x:v>
      </x:c>
      <x:c r="H30" s="18" t="n">
        <x:f>MAX(F30,0)</x:f>
        <x:v>0</x:v>
      </x:c>
      <x:c r="I30" s="18" t="n">
        <x:f>J29</x:f>
        <x:v>10</x:v>
      </x:c>
      <x:c r="J30" s="18" t="n">
        <x:f>I30+E30*(G30*'原始输入与口径'!$D$5-H30/'原始输入与口径'!$D$5)</x:f>
        <x:v>10</x:v>
      </x:c>
      <x:c r="K30" s="18" t="n">
        <x:v>10</x:v>
      </x:c>
      <x:c r="L30" s="18" t="n">
        <x:v>10</x:v>
      </x:c>
      <x:c r="M30" s="18" t="n">
        <x:f>J30-L30</x:f>
        <x:v>0</x:v>
      </x:c>
      <x:c r="N30" s="18" t="n">
        <x:f>E30*(G30*'原始输入与口径'!$D$5+H30/'原始输入与口径'!$D$5)/'原始输入与口径'!$H$5</x:f>
        <x:v>0</x:v>
      </x:c>
      <x:c r="O30" s="18" t="n">
        <x:v>0</x:v>
      </x:c>
      <x:c r="P30" s="18" t="n">
        <x:f>N30-O30</x:f>
        <x:v>0</x:v>
      </x:c>
      <x:c r="Q30" s="18" t="n">
        <x:f>E30*G30</x:f>
        <x:v>0</x:v>
      </x:c>
      <x:c r="R30" s="18" t="n">
        <x:f>E30*H30</x:f>
        <x:v>0</x:v>
      </x:c>
      <x:c r="S30" s="2" t="n">
        <x:v>9</x:v>
      </x:c>
    </x:row>
    <x:row r="31" ht="21" customHeight="1">
      <x:c r="A31" s="36" t="n">
        <x:v>45658.09375</x:v>
      </x:c>
      <x:c r="B31" s="36" t="n">
        <x:v>45658.093944583336</x:v>
      </x:c>
      <x:c r="C31" s="36" t="n">
        <x:v>45658.09375</x:v>
      </x:c>
      <x:c r="D31" s="2" t="str">
        <x:v>u</x:v>
      </x:c>
      <x:c r="E31" s="18" t="n">
        <x:v>0.0046700000000000005</x:v>
      </x:c>
      <x:c r="F31" s="18" t="n">
        <x:f>IF(D31="d",'两日价格与决策'!K16-'两日价格与决策'!N16,IF(D31="u",'两日价格与决策'!K16+'两日价格与决策'!M16,'两日价格与决策'!K16))</x:f>
        <x:v>0</x:v>
      </x:c>
      <x:c r="G31" s="18" t="n">
        <x:f>MAX(-F31,0)</x:f>
        <x:v>0</x:v>
      </x:c>
      <x:c r="H31" s="18" t="n">
        <x:f>MAX(F31,0)</x:f>
        <x:v>0</x:v>
      </x:c>
      <x:c r="I31" s="18" t="n">
        <x:f>J30</x:f>
        <x:v>10</x:v>
      </x:c>
      <x:c r="J31" s="18" t="n">
        <x:f>I31+E31*(G31*'原始输入与口径'!$D$5-H31/'原始输入与口径'!$D$5)</x:f>
        <x:v>10</x:v>
      </x:c>
      <x:c r="K31" s="18" t="n">
        <x:v>10</x:v>
      </x:c>
      <x:c r="L31" s="18" t="n">
        <x:v>10</x:v>
      </x:c>
      <x:c r="M31" s="18" t="n">
        <x:f>J31-L31</x:f>
        <x:v>0</x:v>
      </x:c>
      <x:c r="N31" s="18" t="n">
        <x:f>E31*(G31*'原始输入与口径'!$D$5+H31/'原始输入与口径'!$D$5)/'原始输入与口径'!$H$5</x:f>
        <x:v>0</x:v>
      </x:c>
      <x:c r="O31" s="18" t="n">
        <x:v>0</x:v>
      </x:c>
      <x:c r="P31" s="18" t="n">
        <x:f>N31-O31</x:f>
        <x:v>0</x:v>
      </x:c>
      <x:c r="Q31" s="18" t="n">
        <x:f>E31*G31</x:f>
        <x:v>0</x:v>
      </x:c>
      <x:c r="R31" s="18" t="n">
        <x:f>E31*H31</x:f>
        <x:v>0</x:v>
      </x:c>
      <x:c r="S31" s="2" t="n">
        <x:v>10</x:v>
      </x:c>
    </x:row>
    <x:row r="32" ht="21" customHeight="1">
      <x:c r="A32" s="36" t="n">
        <x:v>45658.093944583336</x:v>
      </x:c>
      <x:c r="B32" s="36" t="n">
        <x:v>45658.104166666664</x:v>
      </x:c>
      <x:c r="C32" s="36" t="n">
        <x:v>45658.09375</x:v>
      </x:c>
      <x:c r="D32" s="2" t="str">
        <x:v>0</x:v>
      </x:c>
      <x:c r="E32" s="18" t="n">
        <x:v>0.24533</x:v>
      </x:c>
      <x:c r="F32" s="18" t="n">
        <x:f>IF(D32="d",'两日价格与决策'!K16-'两日价格与决策'!N16,IF(D32="u",'两日价格与决策'!K16+'两日价格与决策'!M16,'两日价格与决策'!K16))</x:f>
        <x:v>0</x:v>
      </x:c>
      <x:c r="G32" s="18" t="n">
        <x:f>MAX(-F32,0)</x:f>
        <x:v>0</x:v>
      </x:c>
      <x:c r="H32" s="18" t="n">
        <x:f>MAX(F32,0)</x:f>
        <x:v>0</x:v>
      </x:c>
      <x:c r="I32" s="18" t="n">
        <x:f>J31</x:f>
        <x:v>10</x:v>
      </x:c>
      <x:c r="J32" s="18" t="n">
        <x:f>I32+E32*(G32*'原始输入与口径'!$D$5-H32/'原始输入与口径'!$D$5)</x:f>
        <x:v>10</x:v>
      </x:c>
      <x:c r="K32" s="18" t="n">
        <x:v>10</x:v>
      </x:c>
      <x:c r="L32" s="18" t="n">
        <x:v>10</x:v>
      </x:c>
      <x:c r="M32" s="18" t="n">
        <x:f>J32-L32</x:f>
        <x:v>0</x:v>
      </x:c>
      <x:c r="N32" s="18" t="n">
        <x:f>E32*(G32*'原始输入与口径'!$D$5+H32/'原始输入与口径'!$D$5)/'原始输入与口径'!$H$5</x:f>
        <x:v>0</x:v>
      </x:c>
      <x:c r="O32" s="18" t="n">
        <x:v>0</x:v>
      </x:c>
      <x:c r="P32" s="18" t="n">
        <x:f>N32-O32</x:f>
        <x:v>0</x:v>
      </x:c>
      <x:c r="Q32" s="18" t="n">
        <x:f>E32*G32</x:f>
        <x:v>0</x:v>
      </x:c>
      <x:c r="R32" s="18" t="n">
        <x:f>E32*H32</x:f>
        <x:v>0</x:v>
      </x:c>
      <x:c r="S32" s="2" t="n">
        <x:v>10</x:v>
      </x:c>
    </x:row>
    <x:row r="33" ht="21" customHeight="1">
      <x:c r="A33" s="36" t="n">
        <x:v>45658.104166666664</x:v>
      </x:c>
      <x:c r="B33" s="36" t="n">
        <x:v>45658.10416833333</x:v>
      </x:c>
      <x:c r="C33" s="36" t="n">
        <x:v>45658.104166666664</x:v>
      </x:c>
      <x:c r="D33" s="2" t="str">
        <x:v>d</x:v>
      </x:c>
      <x:c r="E33" s="18" t="n">
        <x:v>0.00004</x:v>
      </x:c>
      <x:c r="F33" s="18" t="n">
        <x:f>IF(D33="d",'两日价格与决策'!K17-'两日价格与决策'!N17,IF(D33="u",'两日价格与决策'!K17+'两日价格与决策'!M17,'两日价格与决策'!K17))</x:f>
        <x:v>0</x:v>
      </x:c>
      <x:c r="G33" s="18" t="n">
        <x:f>MAX(-F33,0)</x:f>
        <x:v>0</x:v>
      </x:c>
      <x:c r="H33" s="18" t="n">
        <x:f>MAX(F33,0)</x:f>
        <x:v>0</x:v>
      </x:c>
      <x:c r="I33" s="18" t="n">
        <x:f>J32</x:f>
        <x:v>10</x:v>
      </x:c>
      <x:c r="J33" s="18" t="n">
        <x:f>I33+E33*(G33*'原始输入与口径'!$D$5-H33/'原始输入与口径'!$D$5)</x:f>
        <x:v>10</x:v>
      </x:c>
      <x:c r="K33" s="18" t="n">
        <x:v>10</x:v>
      </x:c>
      <x:c r="L33" s="18" t="n">
        <x:v>10</x:v>
      </x:c>
      <x:c r="M33" s="18" t="n">
        <x:f>J33-L33</x:f>
        <x:v>0</x:v>
      </x:c>
      <x:c r="N33" s="18" t="n">
        <x:f>E33*(G33*'原始输入与口径'!$D$5+H33/'原始输入与口径'!$D$5)/'原始输入与口径'!$H$5</x:f>
        <x:v>0</x:v>
      </x:c>
      <x:c r="O33" s="18" t="n">
        <x:v>0</x:v>
      </x:c>
      <x:c r="P33" s="18" t="n">
        <x:f>N33-O33</x:f>
        <x:v>0</x:v>
      </x:c>
      <x:c r="Q33" s="18" t="n">
        <x:f>E33*G33</x:f>
        <x:v>0</x:v>
      </x:c>
      <x:c r="R33" s="18" t="n">
        <x:f>E33*H33</x:f>
        <x:v>0</x:v>
      </x:c>
      <x:c r="S33" s="2" t="n">
        <x:v>11</x:v>
      </x:c>
    </x:row>
    <x:row r="34" ht="21" customHeight="1">
      <x:c r="A34" s="36" t="n">
        <x:v>45658.10416833333</x:v>
      </x:c>
      <x:c r="B34" s="36" t="n">
        <x:v>45658.10419791666</x:v>
      </x:c>
      <x:c r="C34" s="36" t="n">
        <x:v>45658.104166666664</x:v>
      </x:c>
      <x:c r="D34" s="2" t="str">
        <x:v>u</x:v>
      </x:c>
      <x:c r="E34" s="18" t="n">
        <x:v>0.0007099999999999999</x:v>
      </x:c>
      <x:c r="F34" s="18" t="n">
        <x:f>IF(D34="d",'两日价格与决策'!K17-'两日价格与决策'!N17,IF(D34="u",'两日价格与决策'!K17+'两日价格与决策'!M17,'两日价格与决策'!K17))</x:f>
        <x:v>0</x:v>
      </x:c>
      <x:c r="G34" s="18" t="n">
        <x:f>MAX(-F34,0)</x:f>
        <x:v>0</x:v>
      </x:c>
      <x:c r="H34" s="18" t="n">
        <x:f>MAX(F34,0)</x:f>
        <x:v>0</x:v>
      </x:c>
      <x:c r="I34" s="18" t="n">
        <x:f>J33</x:f>
        <x:v>10</x:v>
      </x:c>
      <x:c r="J34" s="18" t="n">
        <x:f>I34+E34*(G34*'原始输入与口径'!$D$5-H34/'原始输入与口径'!$D$5)</x:f>
        <x:v>10</x:v>
      </x:c>
      <x:c r="K34" s="18" t="n">
        <x:v>10</x:v>
      </x:c>
      <x:c r="L34" s="18" t="n">
        <x:v>10</x:v>
      </x:c>
      <x:c r="M34" s="18" t="n">
        <x:f>J34-L34</x:f>
        <x:v>0</x:v>
      </x:c>
      <x:c r="N34" s="18" t="n">
        <x:f>E34*(G34*'原始输入与口径'!$D$5+H34/'原始输入与口径'!$D$5)/'原始输入与口径'!$H$5</x:f>
        <x:v>0</x:v>
      </x:c>
      <x:c r="O34" s="18" t="n">
        <x:v>0</x:v>
      </x:c>
      <x:c r="P34" s="18" t="n">
        <x:f>N34-O34</x:f>
        <x:v>0</x:v>
      </x:c>
      <x:c r="Q34" s="18" t="n">
        <x:f>E34*G34</x:f>
        <x:v>0</x:v>
      </x:c>
      <x:c r="R34" s="18" t="n">
        <x:f>E34*H34</x:f>
        <x:v>0</x:v>
      </x:c>
      <x:c r="S34" s="2" t="n">
        <x:v>11</x:v>
      </x:c>
    </x:row>
    <x:row r="35" ht="21" customHeight="1">
      <x:c r="A35" s="36" t="n">
        <x:v>45658.10419791666</x:v>
      </x:c>
      <x:c r="B35" s="36" t="n">
        <x:v>45658.11458333333</x:v>
      </x:c>
      <x:c r="C35" s="36" t="n">
        <x:v>45658.104166666664</x:v>
      </x:c>
      <x:c r="D35" s="2" t="str">
        <x:v>0</x:v>
      </x:c>
      <x:c r="E35" s="18" t="n">
        <x:v>0.24925</x:v>
      </x:c>
      <x:c r="F35" s="18" t="n">
        <x:f>IF(D35="d",'两日价格与决策'!K17-'两日价格与决策'!N17,IF(D35="u",'两日价格与决策'!K17+'两日价格与决策'!M17,'两日价格与决策'!K17))</x:f>
        <x:v>0</x:v>
      </x:c>
      <x:c r="G35" s="18" t="n">
        <x:f>MAX(-F35,0)</x:f>
        <x:v>0</x:v>
      </x:c>
      <x:c r="H35" s="18" t="n">
        <x:f>MAX(F35,0)</x:f>
        <x:v>0</x:v>
      </x:c>
      <x:c r="I35" s="18" t="n">
        <x:f>J34</x:f>
        <x:v>10</x:v>
      </x:c>
      <x:c r="J35" s="18" t="n">
        <x:f>I35+E35*(G35*'原始输入与口径'!$D$5-H35/'原始输入与口径'!$D$5)</x:f>
        <x:v>10</x:v>
      </x:c>
      <x:c r="K35" s="18" t="n">
        <x:v>10</x:v>
      </x:c>
      <x:c r="L35" s="18" t="n">
        <x:v>10</x:v>
      </x:c>
      <x:c r="M35" s="18" t="n">
        <x:f>J35-L35</x:f>
        <x:v>0</x:v>
      </x:c>
      <x:c r="N35" s="18" t="n">
        <x:f>E35*(G35*'原始输入与口径'!$D$5+H35/'原始输入与口径'!$D$5)/'原始输入与口径'!$H$5</x:f>
        <x:v>0</x:v>
      </x:c>
      <x:c r="O35" s="18" t="n">
        <x:v>0</x:v>
      </x:c>
      <x:c r="P35" s="18" t="n">
        <x:f>N35-O35</x:f>
        <x:v>0</x:v>
      </x:c>
      <x:c r="Q35" s="18" t="n">
        <x:f>E35*G35</x:f>
        <x:v>0</x:v>
      </x:c>
      <x:c r="R35" s="18" t="n">
        <x:f>E35*H35</x:f>
        <x:v>0</x:v>
      </x:c>
      <x:c r="S35" s="2" t="n">
        <x:v>11</x:v>
      </x:c>
    </x:row>
    <x:row r="36" ht="21" customHeight="1">
      <x:c r="A36" s="36" t="n">
        <x:v>45658.114583333336</x:v>
      </x:c>
      <x:c r="B36" s="36" t="n">
        <x:v>45658.114595625004</x:v>
      </x:c>
      <x:c r="C36" s="36" t="n">
        <x:v>45658.114583333336</x:v>
      </x:c>
      <x:c r="D36" s="2" t="str">
        <x:v>d</x:v>
      </x:c>
      <x:c r="E36" s="18" t="n">
        <x:v>0.00029499999999999996</x:v>
      </x:c>
      <x:c r="F36" s="18" t="n">
        <x:f>IF(D36="d",'两日价格与决策'!K18-'两日价格与决策'!N18,IF(D36="u",'两日价格与决策'!K18+'两日价格与决策'!M18,'两日价格与决策'!K18))</x:f>
        <x:v>0</x:v>
      </x:c>
      <x:c r="G36" s="18" t="n">
        <x:f>MAX(-F36,0)</x:f>
        <x:v>0</x:v>
      </x:c>
      <x:c r="H36" s="18" t="n">
        <x:f>MAX(F36,0)</x:f>
        <x:v>0</x:v>
      </x:c>
      <x:c r="I36" s="18" t="n">
        <x:f>J35</x:f>
        <x:v>10</x:v>
      </x:c>
      <x:c r="J36" s="18" t="n">
        <x:f>I36+E36*(G36*'原始输入与口径'!$D$5-H36/'原始输入与口径'!$D$5)</x:f>
        <x:v>10</x:v>
      </x:c>
      <x:c r="K36" s="18" t="n">
        <x:v>10</x:v>
      </x:c>
      <x:c r="L36" s="18" t="n">
        <x:v>10</x:v>
      </x:c>
      <x:c r="M36" s="18" t="n">
        <x:f>J36-L36</x:f>
        <x:v>0</x:v>
      </x:c>
      <x:c r="N36" s="18" t="n">
        <x:f>E36*(G36*'原始输入与口径'!$D$5+H36/'原始输入与口径'!$D$5)/'原始输入与口径'!$H$5</x:f>
        <x:v>0</x:v>
      </x:c>
      <x:c r="O36" s="18" t="n">
        <x:v>0</x:v>
      </x:c>
      <x:c r="P36" s="18" t="n">
        <x:f>N36-O36</x:f>
        <x:v>0</x:v>
      </x:c>
      <x:c r="Q36" s="18" t="n">
        <x:f>E36*G36</x:f>
        <x:v>0</x:v>
      </x:c>
      <x:c r="R36" s="18" t="n">
        <x:f>E36*H36</x:f>
        <x:v>0</x:v>
      </x:c>
      <x:c r="S36" s="2" t="n">
        <x:v>12</x:v>
      </x:c>
    </x:row>
    <x:row r="37" ht="21" customHeight="1">
      <x:c r="A37" s="36" t="n">
        <x:v>45658.114595625004</x:v>
      </x:c>
      <x:c r="B37" s="36" t="n">
        <x:v>45658.11461291667</x:v>
      </x:c>
      <x:c r="C37" s="36" t="n">
        <x:v>45658.114583333336</x:v>
      </x:c>
      <x:c r="D37" s="2" t="str">
        <x:v>u</x:v>
      </x:c>
      <x:c r="E37" s="18" t="n">
        <x:v>0.000415</x:v>
      </x:c>
      <x:c r="F37" s="18" t="n">
        <x:f>IF(D37="d",'两日价格与决策'!K18-'两日价格与决策'!N18,IF(D37="u",'两日价格与决策'!K18+'两日价格与决策'!M18,'两日价格与决策'!K18))</x:f>
        <x:v>0</x:v>
      </x:c>
      <x:c r="G37" s="18" t="n">
        <x:f>MAX(-F37,0)</x:f>
        <x:v>0</x:v>
      </x:c>
      <x:c r="H37" s="18" t="n">
        <x:f>MAX(F37,0)</x:f>
        <x:v>0</x:v>
      </x:c>
      <x:c r="I37" s="18" t="n">
        <x:f>J36</x:f>
        <x:v>10</x:v>
      </x:c>
      <x:c r="J37" s="18" t="n">
        <x:f>I37+E37*(G37*'原始输入与口径'!$D$5-H37/'原始输入与口径'!$D$5)</x:f>
        <x:v>10</x:v>
      </x:c>
      <x:c r="K37" s="18" t="n">
        <x:v>10</x:v>
      </x:c>
      <x:c r="L37" s="18" t="n">
        <x:v>10</x:v>
      </x:c>
      <x:c r="M37" s="18" t="n">
        <x:f>J37-L37</x:f>
        <x:v>0</x:v>
      </x:c>
      <x:c r="N37" s="18" t="n">
        <x:f>E37*(G37*'原始输入与口径'!$D$5+H37/'原始输入与口径'!$D$5)/'原始输入与口径'!$H$5</x:f>
        <x:v>0</x:v>
      </x:c>
      <x:c r="O37" s="18" t="n">
        <x:v>0</x:v>
      </x:c>
      <x:c r="P37" s="18" t="n">
        <x:f>N37-O37</x:f>
        <x:v>0</x:v>
      </x:c>
      <x:c r="Q37" s="18" t="n">
        <x:f>E37*G37</x:f>
        <x:v>0</x:v>
      </x:c>
      <x:c r="R37" s="18" t="n">
        <x:f>E37*H37</x:f>
        <x:v>0</x:v>
      </x:c>
      <x:c r="S37" s="2" t="n">
        <x:v>12</x:v>
      </x:c>
    </x:row>
    <x:row r="38" ht="21" customHeight="1">
      <x:c r="A38" s="36" t="n">
        <x:v>45658.11461291667</x:v>
      </x:c>
      <x:c r="B38" s="36" t="n">
        <x:v>45658.125</x:v>
      </x:c>
      <x:c r="C38" s="36" t="n">
        <x:v>45658.114583333336</x:v>
      </x:c>
      <x:c r="D38" s="2" t="str">
        <x:v>0</x:v>
      </x:c>
      <x:c r="E38" s="18" t="n">
        <x:v>0.24929</x:v>
      </x:c>
      <x:c r="F38" s="18" t="n">
        <x:f>IF(D38="d",'两日价格与决策'!K18-'两日价格与决策'!N18,IF(D38="u",'两日价格与决策'!K18+'两日价格与决策'!M18,'两日价格与决策'!K18))</x:f>
        <x:v>0</x:v>
      </x:c>
      <x:c r="G38" s="18" t="n">
        <x:f>MAX(-F38,0)</x:f>
        <x:v>0</x:v>
      </x:c>
      <x:c r="H38" s="18" t="n">
        <x:f>MAX(F38,0)</x:f>
        <x:v>0</x:v>
      </x:c>
      <x:c r="I38" s="18" t="n">
        <x:f>J37</x:f>
        <x:v>10</x:v>
      </x:c>
      <x:c r="J38" s="18" t="n">
        <x:f>I38+E38*(G38*'原始输入与口径'!$D$5-H38/'原始输入与口径'!$D$5)</x:f>
        <x:v>10</x:v>
      </x:c>
      <x:c r="K38" s="18" t="n">
        <x:v>10</x:v>
      </x:c>
      <x:c r="L38" s="18" t="n">
        <x:v>10</x:v>
      </x:c>
      <x:c r="M38" s="18" t="n">
        <x:f>J38-L38</x:f>
        <x:v>0</x:v>
      </x:c>
      <x:c r="N38" s="18" t="n">
        <x:f>E38*(G38*'原始输入与口径'!$D$5+H38/'原始输入与口径'!$D$5)/'原始输入与口径'!$H$5</x:f>
        <x:v>0</x:v>
      </x:c>
      <x:c r="O38" s="18" t="n">
        <x:v>0</x:v>
      </x:c>
      <x:c r="P38" s="18" t="n">
        <x:f>N38-O38</x:f>
        <x:v>0</x:v>
      </x:c>
      <x:c r="Q38" s="18" t="n">
        <x:f>E38*G38</x:f>
        <x:v>0</x:v>
      </x:c>
      <x:c r="R38" s="18" t="n">
        <x:f>E38*H38</x:f>
        <x:v>0</x:v>
      </x:c>
      <x:c r="S38" s="2" t="n">
        <x:v>12</x:v>
      </x:c>
    </x:row>
    <x:row r="39" ht="21" customHeight="1">
      <x:c r="A39" s="36" t="n">
        <x:v>45658.125</x:v>
      </x:c>
      <x:c r="B39" s="36" t="n">
        <x:v>45658.12500104167</x:v>
      </x:c>
      <x:c r="C39" s="36" t="n">
        <x:v>45658.125</x:v>
      </x:c>
      <x:c r="D39" s="2" t="str">
        <x:v>d</x:v>
      </x:c>
      <x:c r="E39" s="18" t="n">
        <x:v>0.000025</x:v>
      </x:c>
      <x:c r="F39" s="18" t="n">
        <x:f>IF(D39="d",'两日价格与决策'!K19-'两日价格与决策'!N19,IF(D39="u",'两日价格与决策'!K19+'两日价格与决策'!M19,'两日价格与决策'!K19))</x:f>
        <x:v>0</x:v>
      </x:c>
      <x:c r="G39" s="18" t="n">
        <x:f>MAX(-F39,0)</x:f>
        <x:v>0</x:v>
      </x:c>
      <x:c r="H39" s="18" t="n">
        <x:f>MAX(F39,0)</x:f>
        <x:v>0</x:v>
      </x:c>
      <x:c r="I39" s="18" t="n">
        <x:f>J38</x:f>
        <x:v>10</x:v>
      </x:c>
      <x:c r="J39" s="18" t="n">
        <x:f>I39+E39*(G39*'原始输入与口径'!$D$5-H39/'原始输入与口径'!$D$5)</x:f>
        <x:v>10</x:v>
      </x:c>
      <x:c r="K39" s="18" t="n">
        <x:v>10</x:v>
      </x:c>
      <x:c r="L39" s="18" t="n">
        <x:v>10</x:v>
      </x:c>
      <x:c r="M39" s="18" t="n">
        <x:f>J39-L39</x:f>
        <x:v>0</x:v>
      </x:c>
      <x:c r="N39" s="18" t="n">
        <x:f>E39*(G39*'原始输入与口径'!$D$5+H39/'原始输入与口径'!$D$5)/'原始输入与口径'!$H$5</x:f>
        <x:v>0</x:v>
      </x:c>
      <x:c r="O39" s="18" t="n">
        <x:v>0</x:v>
      </x:c>
      <x:c r="P39" s="18" t="n">
        <x:f>N39-O39</x:f>
        <x:v>0</x:v>
      </x:c>
      <x:c r="Q39" s="18" t="n">
        <x:f>E39*G39</x:f>
        <x:v>0</x:v>
      </x:c>
      <x:c r="R39" s="18" t="n">
        <x:f>E39*H39</x:f>
        <x:v>0</x:v>
      </x:c>
      <x:c r="S39" s="2" t="n">
        <x:v>13</x:v>
      </x:c>
    </x:row>
    <x:row r="40" ht="21" customHeight="1">
      <x:c r="A40" s="36" t="n">
        <x:v>45658.12500104167</x:v>
      </x:c>
      <x:c r="B40" s="36" t="n">
        <x:v>45658.12532166667</x:v>
      </x:c>
      <x:c r="C40" s="36" t="n">
        <x:v>45658.125</x:v>
      </x:c>
      <x:c r="D40" s="2" t="str">
        <x:v>u</x:v>
      </x:c>
      <x:c r="E40" s="18" t="n">
        <x:v>0.007695</x:v>
      </x:c>
      <x:c r="F40" s="18" t="n">
        <x:f>IF(D40="d",'两日价格与决策'!K19-'两日价格与决策'!N19,IF(D40="u",'两日价格与决策'!K19+'两日价格与决策'!M19,'两日价格与决策'!K19))</x:f>
        <x:v>0</x:v>
      </x:c>
      <x:c r="G40" s="18" t="n">
        <x:f>MAX(-F40,0)</x:f>
        <x:v>0</x:v>
      </x:c>
      <x:c r="H40" s="18" t="n">
        <x:f>MAX(F40,0)</x:f>
        <x:v>0</x:v>
      </x:c>
      <x:c r="I40" s="18" t="n">
        <x:f>J39</x:f>
        <x:v>10</x:v>
      </x:c>
      <x:c r="J40" s="18" t="n">
        <x:f>I40+E40*(G40*'原始输入与口径'!$D$5-H40/'原始输入与口径'!$D$5)</x:f>
        <x:v>10</x:v>
      </x:c>
      <x:c r="K40" s="18" t="n">
        <x:v>10</x:v>
      </x:c>
      <x:c r="L40" s="18" t="n">
        <x:v>10</x:v>
      </x:c>
      <x:c r="M40" s="18" t="n">
        <x:f>J40-L40</x:f>
        <x:v>0</x:v>
      </x:c>
      <x:c r="N40" s="18" t="n">
        <x:f>E40*(G40*'原始输入与口径'!$D$5+H40/'原始输入与口径'!$D$5)/'原始输入与口径'!$H$5</x:f>
        <x:v>0</x:v>
      </x:c>
      <x:c r="O40" s="18" t="n">
        <x:v>0</x:v>
      </x:c>
      <x:c r="P40" s="18" t="n">
        <x:f>N40-O40</x:f>
        <x:v>0</x:v>
      </x:c>
      <x:c r="Q40" s="18" t="n">
        <x:f>E40*G40</x:f>
        <x:v>0</x:v>
      </x:c>
      <x:c r="R40" s="18" t="n">
        <x:f>E40*H40</x:f>
        <x:v>0</x:v>
      </x:c>
      <x:c r="S40" s="2" t="n">
        <x:v>13</x:v>
      </x:c>
    </x:row>
    <x:row r="41" ht="21" customHeight="1">
      <x:c r="A41" s="36" t="n">
        <x:v>45658.12532166667</x:v>
      </x:c>
      <x:c r="B41" s="36" t="n">
        <x:v>45658.135416666664</x:v>
      </x:c>
      <x:c r="C41" s="36" t="n">
        <x:v>45658.125</x:v>
      </x:c>
      <x:c r="D41" s="2" t="str">
        <x:v>0</x:v>
      </x:c>
      <x:c r="E41" s="18" t="n">
        <x:v>0.24228</x:v>
      </x:c>
      <x:c r="F41" s="18" t="n">
        <x:f>IF(D41="d",'两日价格与决策'!K19-'两日价格与决策'!N19,IF(D41="u",'两日价格与决策'!K19+'两日价格与决策'!M19,'两日价格与决策'!K19))</x:f>
        <x:v>0</x:v>
      </x:c>
      <x:c r="G41" s="18" t="n">
        <x:f>MAX(-F41,0)</x:f>
        <x:v>0</x:v>
      </x:c>
      <x:c r="H41" s="18" t="n">
        <x:f>MAX(F41,0)</x:f>
        <x:v>0</x:v>
      </x:c>
      <x:c r="I41" s="18" t="n">
        <x:f>J40</x:f>
        <x:v>10</x:v>
      </x:c>
      <x:c r="J41" s="18" t="n">
        <x:f>I41+E41*(G41*'原始输入与口径'!$D$5-H41/'原始输入与口径'!$D$5)</x:f>
        <x:v>10</x:v>
      </x:c>
      <x:c r="K41" s="18" t="n">
        <x:v>10</x:v>
      </x:c>
      <x:c r="L41" s="18" t="n">
        <x:v>10</x:v>
      </x:c>
      <x:c r="M41" s="18" t="n">
        <x:f>J41-L41</x:f>
        <x:v>0</x:v>
      </x:c>
      <x:c r="N41" s="18" t="n">
        <x:f>E41*(G41*'原始输入与口径'!$D$5+H41/'原始输入与口径'!$D$5)/'原始输入与口径'!$H$5</x:f>
        <x:v>0</x:v>
      </x:c>
      <x:c r="O41" s="18" t="n">
        <x:v>0</x:v>
      </x:c>
      <x:c r="P41" s="18" t="n">
        <x:f>N41-O41</x:f>
        <x:v>0</x:v>
      </x:c>
      <x:c r="Q41" s="18" t="n">
        <x:f>E41*G41</x:f>
        <x:v>0</x:v>
      </x:c>
      <x:c r="R41" s="18" t="n">
        <x:f>E41*H41</x:f>
        <x:v>0</x:v>
      </x:c>
      <x:c r="S41" s="2" t="n">
        <x:v>13</x:v>
      </x:c>
    </x:row>
    <x:row r="42" ht="21" customHeight="1">
      <x:c r="A42" s="36" t="n">
        <x:v>45658.135416666664</x:v>
      </x:c>
      <x:c r="B42" s="36" t="n">
        <x:v>45658.135422499996</x:v>
      </x:c>
      <x:c r="C42" s="36" t="n">
        <x:v>45658.135416666664</x:v>
      </x:c>
      <x:c r="D42" s="2" t="str">
        <x:v>d</x:v>
      </x:c>
      <x:c r="E42" s="18" t="n">
        <x:v>0.00014000000000000001</x:v>
      </x:c>
      <x:c r="F42" s="18" t="n">
        <x:f>IF(D42="d",'两日价格与决策'!K20-'两日价格与决策'!N20,IF(D42="u",'两日价格与决策'!K20+'两日价格与决策'!M20,'两日价格与决策'!K20))</x:f>
        <x:v>0</x:v>
      </x:c>
      <x:c r="G42" s="18" t="n">
        <x:f>MAX(-F42,0)</x:f>
        <x:v>0</x:v>
      </x:c>
      <x:c r="H42" s="18" t="n">
        <x:f>MAX(F42,0)</x:f>
        <x:v>0</x:v>
      </x:c>
      <x:c r="I42" s="18" t="n">
        <x:f>J41</x:f>
        <x:v>10</x:v>
      </x:c>
      <x:c r="J42" s="18" t="n">
        <x:f>I42+E42*(G42*'原始输入与口径'!$D$5-H42/'原始输入与口径'!$D$5)</x:f>
        <x:v>10</x:v>
      </x:c>
      <x:c r="K42" s="18" t="n">
        <x:v>10</x:v>
      </x:c>
      <x:c r="L42" s="18" t="n">
        <x:v>10</x:v>
      </x:c>
      <x:c r="M42" s="18" t="n">
        <x:f>J42-L42</x:f>
        <x:v>0</x:v>
      </x:c>
      <x:c r="N42" s="18" t="n">
        <x:f>E42*(G42*'原始输入与口径'!$D$5+H42/'原始输入与口径'!$D$5)/'原始输入与口径'!$H$5</x:f>
        <x:v>0</x:v>
      </x:c>
      <x:c r="O42" s="18" t="n">
        <x:v>0</x:v>
      </x:c>
      <x:c r="P42" s="18" t="n">
        <x:f>N42-O42</x:f>
        <x:v>0</x:v>
      </x:c>
      <x:c r="Q42" s="18" t="n">
        <x:f>E42*G42</x:f>
        <x:v>0</x:v>
      </x:c>
      <x:c r="R42" s="18" t="n">
        <x:f>E42*H42</x:f>
        <x:v>0</x:v>
      </x:c>
      <x:c r="S42" s="2" t="n">
        <x:v>14</x:v>
      </x:c>
    </x:row>
    <x:row r="43" ht="21" customHeight="1">
      <x:c r="A43" s="36" t="n">
        <x:v>45658.135422499996</x:v>
      </x:c>
      <x:c r="B43" s="36" t="n">
        <x:v>45658.13543541666</x:v>
      </x:c>
      <x:c r="C43" s="36" t="n">
        <x:v>45658.135416666664</x:v>
      </x:c>
      <x:c r="D43" s="2" t="str">
        <x:v>u</x:v>
      </x:c>
      <x:c r="E43" s="18" t="n">
        <x:v>0.00031</x:v>
      </x:c>
      <x:c r="F43" s="18" t="n">
        <x:f>IF(D43="d",'两日价格与决策'!K20-'两日价格与决策'!N20,IF(D43="u",'两日价格与决策'!K20+'两日价格与决策'!M20,'两日价格与决策'!K20))</x:f>
        <x:v>0</x:v>
      </x:c>
      <x:c r="G43" s="18" t="n">
        <x:f>MAX(-F43,0)</x:f>
        <x:v>0</x:v>
      </x:c>
      <x:c r="H43" s="18" t="n">
        <x:f>MAX(F43,0)</x:f>
        <x:v>0</x:v>
      </x:c>
      <x:c r="I43" s="18" t="n">
        <x:f>J42</x:f>
        <x:v>10</x:v>
      </x:c>
      <x:c r="J43" s="18" t="n">
        <x:f>I43+E43*(G43*'原始输入与口径'!$D$5-H43/'原始输入与口径'!$D$5)</x:f>
        <x:v>10</x:v>
      </x:c>
      <x:c r="K43" s="18" t="n">
        <x:v>10</x:v>
      </x:c>
      <x:c r="L43" s="18" t="n">
        <x:v>10</x:v>
      </x:c>
      <x:c r="M43" s="18" t="n">
        <x:f>J43-L43</x:f>
        <x:v>0</x:v>
      </x:c>
      <x:c r="N43" s="18" t="n">
        <x:f>E43*(G43*'原始输入与口径'!$D$5+H43/'原始输入与口径'!$D$5)/'原始输入与口径'!$H$5</x:f>
        <x:v>0</x:v>
      </x:c>
      <x:c r="O43" s="18" t="n">
        <x:v>0</x:v>
      </x:c>
      <x:c r="P43" s="18" t="n">
        <x:f>N43-O43</x:f>
        <x:v>0</x:v>
      </x:c>
      <x:c r="Q43" s="18" t="n">
        <x:f>E43*G43</x:f>
        <x:v>0</x:v>
      </x:c>
      <x:c r="R43" s="18" t="n">
        <x:f>E43*H43</x:f>
        <x:v>0</x:v>
      </x:c>
      <x:c r="S43" s="2" t="n">
        <x:v>14</x:v>
      </x:c>
    </x:row>
    <x:row r="44" ht="21" customHeight="1">
      <x:c r="A44" s="36" t="n">
        <x:v>45658.13543541666</x:v>
      </x:c>
      <x:c r="B44" s="36" t="n">
        <x:v>45658.14583333333</x:v>
      </x:c>
      <x:c r="C44" s="36" t="n">
        <x:v>45658.135416666664</x:v>
      </x:c>
      <x:c r="D44" s="2" t="str">
        <x:v>0</x:v>
      </x:c>
      <x:c r="E44" s="18" t="n">
        <x:v>0.24955</x:v>
      </x:c>
      <x:c r="F44" s="18" t="n">
        <x:f>IF(D44="d",'两日价格与决策'!K20-'两日价格与决策'!N20,IF(D44="u",'两日价格与决策'!K20+'两日价格与决策'!M20,'两日价格与决策'!K20))</x:f>
        <x:v>0</x:v>
      </x:c>
      <x:c r="G44" s="18" t="n">
        <x:f>MAX(-F44,0)</x:f>
        <x:v>0</x:v>
      </x:c>
      <x:c r="H44" s="18" t="n">
        <x:f>MAX(F44,0)</x:f>
        <x:v>0</x:v>
      </x:c>
      <x:c r="I44" s="18" t="n">
        <x:f>J43</x:f>
        <x:v>10</x:v>
      </x:c>
      <x:c r="J44" s="18" t="n">
        <x:f>I44+E44*(G44*'原始输入与口径'!$D$5-H44/'原始输入与口径'!$D$5)</x:f>
        <x:v>10</x:v>
      </x:c>
      <x:c r="K44" s="18" t="n">
        <x:v>10</x:v>
      </x:c>
      <x:c r="L44" s="18" t="n">
        <x:v>10</x:v>
      </x:c>
      <x:c r="M44" s="18" t="n">
        <x:f>J44-L44</x:f>
        <x:v>0</x:v>
      </x:c>
      <x:c r="N44" s="18" t="n">
        <x:f>E44*(G44*'原始输入与口径'!$D$5+H44/'原始输入与口径'!$D$5)/'原始输入与口径'!$H$5</x:f>
        <x:v>0</x:v>
      </x:c>
      <x:c r="O44" s="18" t="n">
        <x:v>0</x:v>
      </x:c>
      <x:c r="P44" s="18" t="n">
        <x:f>N44-O44</x:f>
        <x:v>0</x:v>
      </x:c>
      <x:c r="Q44" s="18" t="n">
        <x:f>E44*G44</x:f>
        <x:v>0</x:v>
      </x:c>
      <x:c r="R44" s="18" t="n">
        <x:f>E44*H44</x:f>
        <x:v>0</x:v>
      </x:c>
      <x:c r="S44" s="2" t="n">
        <x:v>14</x:v>
      </x:c>
    </x:row>
    <x:row r="45" ht="21" customHeight="1">
      <x:c r="A45" s="36" t="n">
        <x:v>45658.145833333336</x:v>
      </x:c>
      <x:c r="B45" s="36" t="n">
        <x:v>45658.146006250005</x:v>
      </x:c>
      <x:c r="C45" s="36" t="n">
        <x:v>45658.145833333336</x:v>
      </x:c>
      <x:c r="D45" s="2" t="str">
        <x:v>d</x:v>
      </x:c>
      <x:c r="E45" s="18" t="n">
        <x:v>0.00415</x:v>
      </x:c>
      <x:c r="F45" s="18" t="n">
        <x:f>IF(D45="d",'两日价格与决策'!K21-'两日价格与决策'!N21,IF(D45="u",'两日价格与决策'!K21+'两日价格与决策'!M21,'两日价格与决策'!K21))</x:f>
        <x:v>0</x:v>
      </x:c>
      <x:c r="G45" s="18" t="n">
        <x:f>MAX(-F45,0)</x:f>
        <x:v>0</x:v>
      </x:c>
      <x:c r="H45" s="18" t="n">
        <x:f>MAX(F45,0)</x:f>
        <x:v>0</x:v>
      </x:c>
      <x:c r="I45" s="18" t="n">
        <x:f>J44</x:f>
        <x:v>10</x:v>
      </x:c>
      <x:c r="J45" s="18" t="n">
        <x:f>I45+E45*(G45*'原始输入与口径'!$D$5-H45/'原始输入与口径'!$D$5)</x:f>
        <x:v>10</x:v>
      </x:c>
      <x:c r="K45" s="18" t="n">
        <x:v>10</x:v>
      </x:c>
      <x:c r="L45" s="18" t="n">
        <x:v>10</x:v>
      </x:c>
      <x:c r="M45" s="18" t="n">
        <x:f>J45-L45</x:f>
        <x:v>0</x:v>
      </x:c>
      <x:c r="N45" s="18" t="n">
        <x:f>E45*(G45*'原始输入与口径'!$D$5+H45/'原始输入与口径'!$D$5)/'原始输入与口径'!$H$5</x:f>
        <x:v>0</x:v>
      </x:c>
      <x:c r="O45" s="18" t="n">
        <x:v>0</x:v>
      </x:c>
      <x:c r="P45" s="18" t="n">
        <x:f>N45-O45</x:f>
        <x:v>0</x:v>
      </x:c>
      <x:c r="Q45" s="18" t="n">
        <x:f>E45*G45</x:f>
        <x:v>0</x:v>
      </x:c>
      <x:c r="R45" s="18" t="n">
        <x:f>E45*H45</x:f>
        <x:v>0</x:v>
      </x:c>
      <x:c r="S45" s="2" t="n">
        <x:v>15</x:v>
      </x:c>
    </x:row>
    <x:row r="46" ht="21" customHeight="1">
      <x:c r="A46" s="36" t="n">
        <x:v>45658.146006250005</x:v>
      </x:c>
      <x:c r="B46" s="36" t="n">
        <x:v>45658.14600791667</x:v>
      </x:c>
      <x:c r="C46" s="36" t="n">
        <x:v>45658.145833333336</x:v>
      </x:c>
      <x:c r="D46" s="2" t="str">
        <x:v>u</x:v>
      </x:c>
      <x:c r="E46" s="18" t="n">
        <x:v>0.00004</x:v>
      </x:c>
      <x:c r="F46" s="18" t="n">
        <x:f>IF(D46="d",'两日价格与决策'!K21-'两日价格与决策'!N21,IF(D46="u",'两日价格与决策'!K21+'两日价格与决策'!M21,'两日价格与决策'!K21))</x:f>
        <x:v>0</x:v>
      </x:c>
      <x:c r="G46" s="18" t="n">
        <x:f>MAX(-F46,0)</x:f>
        <x:v>0</x:v>
      </x:c>
      <x:c r="H46" s="18" t="n">
        <x:f>MAX(F46,0)</x:f>
        <x:v>0</x:v>
      </x:c>
      <x:c r="I46" s="18" t="n">
        <x:f>J45</x:f>
        <x:v>10</x:v>
      </x:c>
      <x:c r="J46" s="18" t="n">
        <x:f>I46+E46*(G46*'原始输入与口径'!$D$5-H46/'原始输入与口径'!$D$5)</x:f>
        <x:v>10</x:v>
      </x:c>
      <x:c r="K46" s="18" t="n">
        <x:v>10</x:v>
      </x:c>
      <x:c r="L46" s="18" t="n">
        <x:v>10</x:v>
      </x:c>
      <x:c r="M46" s="18" t="n">
        <x:f>J46-L46</x:f>
        <x:v>0</x:v>
      </x:c>
      <x:c r="N46" s="18" t="n">
        <x:f>E46*(G46*'原始输入与口径'!$D$5+H46/'原始输入与口径'!$D$5)/'原始输入与口径'!$H$5</x:f>
        <x:v>0</x:v>
      </x:c>
      <x:c r="O46" s="18" t="n">
        <x:v>0</x:v>
      </x:c>
      <x:c r="P46" s="18" t="n">
        <x:f>N46-O46</x:f>
        <x:v>0</x:v>
      </x:c>
      <x:c r="Q46" s="18" t="n">
        <x:f>E46*G46</x:f>
        <x:v>0</x:v>
      </x:c>
      <x:c r="R46" s="18" t="n">
        <x:f>E46*H46</x:f>
        <x:v>0</x:v>
      </x:c>
      <x:c r="S46" s="2" t="n">
        <x:v>15</x:v>
      </x:c>
    </x:row>
    <x:row r="47" ht="21" customHeight="1">
      <x:c r="A47" s="36" t="n">
        <x:v>45658.14600791667</x:v>
      </x:c>
      <x:c r="B47" s="36" t="n">
        <x:v>45658.15625</x:v>
      </x:c>
      <x:c r="C47" s="36" t="n">
        <x:v>45658.145833333336</x:v>
      </x:c>
      <x:c r="D47" s="2" t="str">
        <x:v>0</x:v>
      </x:c>
      <x:c r="E47" s="18" t="n">
        <x:v>0.24581</x:v>
      </x:c>
      <x:c r="F47" s="18" t="n">
        <x:f>IF(D47="d",'两日价格与决策'!K21-'两日价格与决策'!N21,IF(D47="u",'两日价格与决策'!K21+'两日价格与决策'!M21,'两日价格与决策'!K21))</x:f>
        <x:v>0</x:v>
      </x:c>
      <x:c r="G47" s="18" t="n">
        <x:f>MAX(-F47,0)</x:f>
        <x:v>0</x:v>
      </x:c>
      <x:c r="H47" s="18" t="n">
        <x:f>MAX(F47,0)</x:f>
        <x:v>0</x:v>
      </x:c>
      <x:c r="I47" s="18" t="n">
        <x:f>J46</x:f>
        <x:v>10</x:v>
      </x:c>
      <x:c r="J47" s="18" t="n">
        <x:f>I47+E47*(G47*'原始输入与口径'!$D$5-H47/'原始输入与口径'!$D$5)</x:f>
        <x:v>10</x:v>
      </x:c>
      <x:c r="K47" s="18" t="n">
        <x:v>10</x:v>
      </x:c>
      <x:c r="L47" s="18" t="n">
        <x:v>10</x:v>
      </x:c>
      <x:c r="M47" s="18" t="n">
        <x:f>J47-L47</x:f>
        <x:v>0</x:v>
      </x:c>
      <x:c r="N47" s="18" t="n">
        <x:f>E47*(G47*'原始输入与口径'!$D$5+H47/'原始输入与口径'!$D$5)/'原始输入与口径'!$H$5</x:f>
        <x:v>0</x:v>
      </x:c>
      <x:c r="O47" s="18" t="n">
        <x:v>0</x:v>
      </x:c>
      <x:c r="P47" s="18" t="n">
        <x:f>N47-O47</x:f>
        <x:v>0</x:v>
      </x:c>
      <x:c r="Q47" s="18" t="n">
        <x:f>E47*G47</x:f>
        <x:v>0</x:v>
      </x:c>
      <x:c r="R47" s="18" t="n">
        <x:f>E47*H47</x:f>
        <x:v>0</x:v>
      </x:c>
      <x:c r="S47" s="2" t="n">
        <x:v>15</x:v>
      </x:c>
    </x:row>
    <x:row r="48" ht="21" customHeight="1">
      <x:c r="A48" s="36" t="n">
        <x:v>45658.15625</x:v>
      </x:c>
      <x:c r="B48" s="36" t="n">
        <x:v>45658.156302916665</x:v>
      </x:c>
      <x:c r="C48" s="36" t="n">
        <x:v>45658.15625</x:v>
      </x:c>
      <x:c r="D48" s="2" t="str">
        <x:v>d</x:v>
      </x:c>
      <x:c r="E48" s="18" t="n">
        <x:v>0.00127</x:v>
      </x:c>
      <x:c r="F48" s="18" t="n">
        <x:f>IF(D48="d",'两日价格与决策'!K22-'两日价格与决策'!N22,IF(D48="u",'两日价格与决策'!K22+'两日价格与决策'!M22,'两日价格与决策'!K22))</x:f>
        <x:v>0</x:v>
      </x:c>
      <x:c r="G48" s="18" t="n">
        <x:f>MAX(-F48,0)</x:f>
        <x:v>0</x:v>
      </x:c>
      <x:c r="H48" s="18" t="n">
        <x:f>MAX(F48,0)</x:f>
        <x:v>0</x:v>
      </x:c>
      <x:c r="I48" s="18" t="n">
        <x:f>J47</x:f>
        <x:v>10</x:v>
      </x:c>
      <x:c r="J48" s="18" t="n">
        <x:f>I48+E48*(G48*'原始输入与口径'!$D$5-H48/'原始输入与口径'!$D$5)</x:f>
        <x:v>10</x:v>
      </x:c>
      <x:c r="K48" s="18" t="n">
        <x:v>10</x:v>
      </x:c>
      <x:c r="L48" s="18" t="n">
        <x:v>10</x:v>
      </x:c>
      <x:c r="M48" s="18" t="n">
        <x:f>J48-L48</x:f>
        <x:v>0</x:v>
      </x:c>
      <x:c r="N48" s="18" t="n">
        <x:f>E48*(G48*'原始输入与口径'!$D$5+H48/'原始输入与口径'!$D$5)/'原始输入与口径'!$H$5</x:f>
        <x:v>0</x:v>
      </x:c>
      <x:c r="O48" s="18" t="n">
        <x:v>0</x:v>
      </x:c>
      <x:c r="P48" s="18" t="n">
        <x:f>N48-O48</x:f>
        <x:v>0</x:v>
      </x:c>
      <x:c r="Q48" s="18" t="n">
        <x:f>E48*G48</x:f>
        <x:v>0</x:v>
      </x:c>
      <x:c r="R48" s="18" t="n">
        <x:f>E48*H48</x:f>
        <x:v>0</x:v>
      </x:c>
      <x:c r="S48" s="2" t="n">
        <x:v>16</x:v>
      </x:c>
    </x:row>
    <x:row r="49" ht="21" customHeight="1">
      <x:c r="A49" s="36" t="n">
        <x:v>45658.156302916665</x:v>
      </x:c>
      <x:c r="B49" s="36" t="n">
        <x:v>45658.15630354167</x:v>
      </x:c>
      <x:c r="C49" s="36" t="n">
        <x:v>45658.15625</x:v>
      </x:c>
      <x:c r="D49" s="2" t="str">
        <x:v>u</x:v>
      </x:c>
      <x:c r="E49" s="18" t="n">
        <x:v>0.000015</x:v>
      </x:c>
      <x:c r="F49" s="18" t="n">
        <x:f>IF(D49="d",'两日价格与决策'!K22-'两日价格与决策'!N22,IF(D49="u",'两日价格与决策'!K22+'两日价格与决策'!M22,'两日价格与决策'!K22))</x:f>
        <x:v>0</x:v>
      </x:c>
      <x:c r="G49" s="18" t="n">
        <x:f>MAX(-F49,0)</x:f>
        <x:v>0</x:v>
      </x:c>
      <x:c r="H49" s="18" t="n">
        <x:f>MAX(F49,0)</x:f>
        <x:v>0</x:v>
      </x:c>
      <x:c r="I49" s="18" t="n">
        <x:f>J48</x:f>
        <x:v>10</x:v>
      </x:c>
      <x:c r="J49" s="18" t="n">
        <x:f>I49+E49*(G49*'原始输入与口径'!$D$5-H49/'原始输入与口径'!$D$5)</x:f>
        <x:v>10</x:v>
      </x:c>
      <x:c r="K49" s="18" t="n">
        <x:v>10</x:v>
      </x:c>
      <x:c r="L49" s="18" t="n">
        <x:v>10</x:v>
      </x:c>
      <x:c r="M49" s="18" t="n">
        <x:f>J49-L49</x:f>
        <x:v>0</x:v>
      </x:c>
      <x:c r="N49" s="18" t="n">
        <x:f>E49*(G49*'原始输入与口径'!$D$5+H49/'原始输入与口径'!$D$5)/'原始输入与口径'!$H$5</x:f>
        <x:v>0</x:v>
      </x:c>
      <x:c r="O49" s="18" t="n">
        <x:v>0</x:v>
      </x:c>
      <x:c r="P49" s="18" t="n">
        <x:f>N49-O49</x:f>
        <x:v>0</x:v>
      </x:c>
      <x:c r="Q49" s="18" t="n">
        <x:f>E49*G49</x:f>
        <x:v>0</x:v>
      </x:c>
      <x:c r="R49" s="18" t="n">
        <x:f>E49*H49</x:f>
        <x:v>0</x:v>
      </x:c>
      <x:c r="S49" s="2" t="n">
        <x:v>16</x:v>
      </x:c>
    </x:row>
    <x:row r="50" ht="21" customHeight="1">
      <x:c r="A50" s="36" t="n">
        <x:v>45658.15630354167</x:v>
      </x:c>
      <x:c r="B50" s="36" t="n">
        <x:v>45658.166666666664</x:v>
      </x:c>
      <x:c r="C50" s="36" t="n">
        <x:v>45658.15625</x:v>
      </x:c>
      <x:c r="D50" s="2" t="str">
        <x:v>0</x:v>
      </x:c>
      <x:c r="E50" s="18" t="n">
        <x:v>0.24871500000000002</x:v>
      </x:c>
      <x:c r="F50" s="18" t="n">
        <x:f>IF(D50="d",'两日价格与决策'!K22-'两日价格与决策'!N22,IF(D50="u",'两日价格与决策'!K22+'两日价格与决策'!M22,'两日价格与决策'!K22))</x:f>
        <x:v>0</x:v>
      </x:c>
      <x:c r="G50" s="18" t="n">
        <x:f>MAX(-F50,0)</x:f>
        <x:v>0</x:v>
      </x:c>
      <x:c r="H50" s="18" t="n">
        <x:f>MAX(F50,0)</x:f>
        <x:v>0</x:v>
      </x:c>
      <x:c r="I50" s="18" t="n">
        <x:f>J49</x:f>
        <x:v>10</x:v>
      </x:c>
      <x:c r="J50" s="18" t="n">
        <x:f>I50+E50*(G50*'原始输入与口径'!$D$5-H50/'原始输入与口径'!$D$5)</x:f>
        <x:v>10</x:v>
      </x:c>
      <x:c r="K50" s="18" t="n">
        <x:v>10</x:v>
      </x:c>
      <x:c r="L50" s="18" t="n">
        <x:v>10</x:v>
      </x:c>
      <x:c r="M50" s="18" t="n">
        <x:f>J50-L50</x:f>
        <x:v>0</x:v>
      </x:c>
      <x:c r="N50" s="18" t="n">
        <x:f>E50*(G50*'原始输入与口径'!$D$5+H50/'原始输入与口径'!$D$5)/'原始输入与口径'!$H$5</x:f>
        <x:v>0</x:v>
      </x:c>
      <x:c r="O50" s="18" t="n">
        <x:v>0</x:v>
      </x:c>
      <x:c r="P50" s="18" t="n">
        <x:f>N50-O50</x:f>
        <x:v>0</x:v>
      </x:c>
      <x:c r="Q50" s="18" t="n">
        <x:f>E50*G50</x:f>
        <x:v>0</x:v>
      </x:c>
      <x:c r="R50" s="18" t="n">
        <x:f>E50*H50</x:f>
        <x:v>0</x:v>
      </x:c>
      <x:c r="S50" s="2" t="n">
        <x:v>16</x:v>
      </x:c>
    </x:row>
    <x:row r="51" ht="21" customHeight="1">
      <x:c r="A51" s="36" t="n">
        <x:v>45658.166666666664</x:v>
      </x:c>
      <x:c r="B51" s="36" t="n">
        <x:v>45658.166805625</x:v>
      </x:c>
      <x:c r="C51" s="36" t="n">
        <x:v>45658.166666666664</x:v>
      </x:c>
      <x:c r="D51" s="2" t="str">
        <x:v>d</x:v>
      </x:c>
      <x:c r="E51" s="18" t="n">
        <x:v>0.0033350000000000003</x:v>
      </x:c>
      <x:c r="F51" s="18" t="n">
        <x:f>IF(D51="d",'两日价格与决策'!K23-'两日价格与决策'!N23,IF(D51="u",'两日价格与决策'!K23+'两日价格与决策'!M23,'两日价格与决策'!K23))</x:f>
        <x:v>0</x:v>
      </x:c>
      <x:c r="G51" s="18" t="n">
        <x:f>MAX(-F51,0)</x:f>
        <x:v>0</x:v>
      </x:c>
      <x:c r="H51" s="18" t="n">
        <x:f>MAX(F51,0)</x:f>
        <x:v>0</x:v>
      </x:c>
      <x:c r="I51" s="18" t="n">
        <x:f>J50</x:f>
        <x:v>10</x:v>
      </x:c>
      <x:c r="J51" s="18" t="n">
        <x:f>I51+E51*(G51*'原始输入与口径'!$D$5-H51/'原始输入与口径'!$D$5)</x:f>
        <x:v>10</x:v>
      </x:c>
      <x:c r="K51" s="18" t="n">
        <x:v>10</x:v>
      </x:c>
      <x:c r="L51" s="18" t="n">
        <x:v>10</x:v>
      </x:c>
      <x:c r="M51" s="18" t="n">
        <x:f>J51-L51</x:f>
        <x:v>0</x:v>
      </x:c>
      <x:c r="N51" s="18" t="n">
        <x:f>E51*(G51*'原始输入与口径'!$D$5+H51/'原始输入与口径'!$D$5)/'原始输入与口径'!$H$5</x:f>
        <x:v>0</x:v>
      </x:c>
      <x:c r="O51" s="18" t="n">
        <x:v>0</x:v>
      </x:c>
      <x:c r="P51" s="18" t="n">
        <x:f>N51-O51</x:f>
        <x:v>0</x:v>
      </x:c>
      <x:c r="Q51" s="18" t="n">
        <x:f>E51*G51</x:f>
        <x:v>0</x:v>
      </x:c>
      <x:c r="R51" s="18" t="n">
        <x:f>E51*H51</x:f>
        <x:v>0</x:v>
      </x:c>
      <x:c r="S51" s="2" t="n">
        <x:v>17</x:v>
      </x:c>
    </x:row>
    <x:row r="52" ht="21" customHeight="1">
      <x:c r="A52" s="36" t="n">
        <x:v>45658.166805625</x:v>
      </x:c>
      <x:c r="B52" s="36" t="n">
        <x:v>45658.17708333333</x:v>
      </x:c>
      <x:c r="C52" s="36" t="n">
        <x:v>45658.166666666664</x:v>
      </x:c>
      <x:c r="D52" s="2" t="str">
        <x:v>0</x:v>
      </x:c>
      <x:c r="E52" s="18" t="n">
        <x:v>0.246665</x:v>
      </x:c>
      <x:c r="F52" s="18" t="n">
        <x:f>IF(D52="d",'两日价格与决策'!K23-'两日价格与决策'!N23,IF(D52="u",'两日价格与决策'!K23+'两日价格与决策'!M23,'两日价格与决策'!K23))</x:f>
        <x:v>0</x:v>
      </x:c>
      <x:c r="G52" s="18" t="n">
        <x:f>MAX(-F52,0)</x:f>
        <x:v>0</x:v>
      </x:c>
      <x:c r="H52" s="18" t="n">
        <x:f>MAX(F52,0)</x:f>
        <x:v>0</x:v>
      </x:c>
      <x:c r="I52" s="18" t="n">
        <x:f>J51</x:f>
        <x:v>10</x:v>
      </x:c>
      <x:c r="J52" s="18" t="n">
        <x:f>I52+E52*(G52*'原始输入与口径'!$D$5-H52/'原始输入与口径'!$D$5)</x:f>
        <x:v>10</x:v>
      </x:c>
      <x:c r="K52" s="18" t="n">
        <x:v>10</x:v>
      </x:c>
      <x:c r="L52" s="18" t="n">
        <x:v>10</x:v>
      </x:c>
      <x:c r="M52" s="18" t="n">
        <x:f>J52-L52</x:f>
        <x:v>0</x:v>
      </x:c>
      <x:c r="N52" s="18" t="n">
        <x:f>E52*(G52*'原始输入与口径'!$D$5+H52/'原始输入与口径'!$D$5)/'原始输入与口径'!$H$5</x:f>
        <x:v>0</x:v>
      </x:c>
      <x:c r="O52" s="18" t="n">
        <x:v>0</x:v>
      </x:c>
      <x:c r="P52" s="18" t="n">
        <x:f>N52-O52</x:f>
        <x:v>0</x:v>
      </x:c>
      <x:c r="Q52" s="18" t="n">
        <x:f>E52*G52</x:f>
        <x:v>0</x:v>
      </x:c>
      <x:c r="R52" s="18" t="n">
        <x:f>E52*H52</x:f>
        <x:v>0</x:v>
      </x:c>
      <x:c r="S52" s="2" t="n">
        <x:v>17</x:v>
      </x:c>
    </x:row>
    <x:row r="53" ht="21" customHeight="1">
      <x:c r="A53" s="36" t="n">
        <x:v>45658.177083333336</x:v>
      </x:c>
      <x:c r="B53" s="36" t="n">
        <x:v>45658.1772475</x:v>
      </x:c>
      <x:c r="C53" s="36" t="n">
        <x:v>45658.177083333336</x:v>
      </x:c>
      <x:c r="D53" s="2" t="str">
        <x:v>d</x:v>
      </x:c>
      <x:c r="E53" s="18" t="n">
        <x:v>0.00394</x:v>
      </x:c>
      <x:c r="F53" s="18" t="n">
        <x:f>IF(D53="d",'两日价格与决策'!K24-'两日价格与决策'!N24,IF(D53="u",'两日价格与决策'!K24+'两日价格与决策'!M24,'两日价格与决策'!K24))</x:f>
        <x:v>0</x:v>
      </x:c>
      <x:c r="G53" s="18" t="n">
        <x:f>MAX(-F53,0)</x:f>
        <x:v>0</x:v>
      </x:c>
      <x:c r="H53" s="18" t="n">
        <x:f>MAX(F53,0)</x:f>
        <x:v>0</x:v>
      </x:c>
      <x:c r="I53" s="18" t="n">
        <x:f>J52</x:f>
        <x:v>10</x:v>
      </x:c>
      <x:c r="J53" s="18" t="n">
        <x:f>I53+E53*(G53*'原始输入与口径'!$D$5-H53/'原始输入与口径'!$D$5)</x:f>
        <x:v>10</x:v>
      </x:c>
      <x:c r="K53" s="18" t="n">
        <x:v>10</x:v>
      </x:c>
      <x:c r="L53" s="18" t="n">
        <x:v>10</x:v>
      </x:c>
      <x:c r="M53" s="18" t="n">
        <x:f>J53-L53</x:f>
        <x:v>0</x:v>
      </x:c>
      <x:c r="N53" s="18" t="n">
        <x:f>E53*(G53*'原始输入与口径'!$D$5+H53/'原始输入与口径'!$D$5)/'原始输入与口径'!$H$5</x:f>
        <x:v>0</x:v>
      </x:c>
      <x:c r="O53" s="18" t="n">
        <x:v>0</x:v>
      </x:c>
      <x:c r="P53" s="18" t="n">
        <x:f>N53-O53</x:f>
        <x:v>0</x:v>
      </x:c>
      <x:c r="Q53" s="18" t="n">
        <x:f>E53*G53</x:f>
        <x:v>0</x:v>
      </x:c>
      <x:c r="R53" s="18" t="n">
        <x:f>E53*H53</x:f>
        <x:v>0</x:v>
      </x:c>
      <x:c r="S53" s="2" t="n">
        <x:v>18</x:v>
      </x:c>
    </x:row>
    <x:row r="54" ht="21" customHeight="1">
      <x:c r="A54" s="36" t="n">
        <x:v>45658.1772475</x:v>
      </x:c>
      <x:c r="B54" s="36" t="n">
        <x:v>45658.17745625</x:v>
      </x:c>
      <x:c r="C54" s="36" t="n">
        <x:v>45658.177083333336</x:v>
      </x:c>
      <x:c r="D54" s="2" t="str">
        <x:v>u</x:v>
      </x:c>
      <x:c r="E54" s="18" t="n">
        <x:v>0.00501</x:v>
      </x:c>
      <x:c r="F54" s="18" t="n">
        <x:f>IF(D54="d",'两日价格与决策'!K24-'两日价格与决策'!N24,IF(D54="u",'两日价格与决策'!K24+'两日价格与决策'!M24,'两日价格与决策'!K24))</x:f>
        <x:v>0</x:v>
      </x:c>
      <x:c r="G54" s="18" t="n">
        <x:f>MAX(-F54,0)</x:f>
        <x:v>0</x:v>
      </x:c>
      <x:c r="H54" s="18" t="n">
        <x:f>MAX(F54,0)</x:f>
        <x:v>0</x:v>
      </x:c>
      <x:c r="I54" s="18" t="n">
        <x:f>J53</x:f>
        <x:v>10</x:v>
      </x:c>
      <x:c r="J54" s="18" t="n">
        <x:f>I54+E54*(G54*'原始输入与口径'!$D$5-H54/'原始输入与口径'!$D$5)</x:f>
        <x:v>10</x:v>
      </x:c>
      <x:c r="K54" s="18" t="n">
        <x:v>10</x:v>
      </x:c>
      <x:c r="L54" s="18" t="n">
        <x:v>10</x:v>
      </x:c>
      <x:c r="M54" s="18" t="n">
        <x:f>J54-L54</x:f>
        <x:v>0</x:v>
      </x:c>
      <x:c r="N54" s="18" t="n">
        <x:f>E54*(G54*'原始输入与口径'!$D$5+H54/'原始输入与口径'!$D$5)/'原始输入与口径'!$H$5</x:f>
        <x:v>0</x:v>
      </x:c>
      <x:c r="O54" s="18" t="n">
        <x:v>0</x:v>
      </x:c>
      <x:c r="P54" s="18" t="n">
        <x:f>N54-O54</x:f>
        <x:v>0</x:v>
      </x:c>
      <x:c r="Q54" s="18" t="n">
        <x:f>E54*G54</x:f>
        <x:v>0</x:v>
      </x:c>
      <x:c r="R54" s="18" t="n">
        <x:f>E54*H54</x:f>
        <x:v>0</x:v>
      </x:c>
      <x:c r="S54" s="2" t="n">
        <x:v>18</x:v>
      </x:c>
    </x:row>
    <x:row r="55" ht="21" customHeight="1">
      <x:c r="A55" s="36" t="n">
        <x:v>45658.17745625</x:v>
      </x:c>
      <x:c r="B55" s="36" t="n">
        <x:v>45658.1875</x:v>
      </x:c>
      <x:c r="C55" s="36" t="n">
        <x:v>45658.177083333336</x:v>
      </x:c>
      <x:c r="D55" s="2" t="str">
        <x:v>0</x:v>
      </x:c>
      <x:c r="E55" s="18" t="n">
        <x:v>0.24105000000000001</x:v>
      </x:c>
      <x:c r="F55" s="18" t="n">
        <x:f>IF(D55="d",'两日价格与决策'!K24-'两日价格与决策'!N24,IF(D55="u",'两日价格与决策'!K24+'两日价格与决策'!M24,'两日价格与决策'!K24))</x:f>
        <x:v>0</x:v>
      </x:c>
      <x:c r="G55" s="18" t="n">
        <x:f>MAX(-F55,0)</x:f>
        <x:v>0</x:v>
      </x:c>
      <x:c r="H55" s="18" t="n">
        <x:f>MAX(F55,0)</x:f>
        <x:v>0</x:v>
      </x:c>
      <x:c r="I55" s="18" t="n">
        <x:f>J54</x:f>
        <x:v>10</x:v>
      </x:c>
      <x:c r="J55" s="18" t="n">
        <x:f>I55+E55*(G55*'原始输入与口径'!$D$5-H55/'原始输入与口径'!$D$5)</x:f>
        <x:v>10</x:v>
      </x:c>
      <x:c r="K55" s="18" t="n">
        <x:v>10</x:v>
      </x:c>
      <x:c r="L55" s="18" t="n">
        <x:v>10</x:v>
      </x:c>
      <x:c r="M55" s="18" t="n">
        <x:f>J55-L55</x:f>
        <x:v>0</x:v>
      </x:c>
      <x:c r="N55" s="18" t="n">
        <x:f>E55*(G55*'原始输入与口径'!$D$5+H55/'原始输入与口径'!$D$5)/'原始输入与口径'!$H$5</x:f>
        <x:v>0</x:v>
      </x:c>
      <x:c r="O55" s="18" t="n">
        <x:v>0</x:v>
      </x:c>
      <x:c r="P55" s="18" t="n">
        <x:f>N55-O55</x:f>
        <x:v>0</x:v>
      </x:c>
      <x:c r="Q55" s="18" t="n">
        <x:f>E55*G55</x:f>
        <x:v>0</x:v>
      </x:c>
      <x:c r="R55" s="18" t="n">
        <x:f>E55*H55</x:f>
        <x:v>0</x:v>
      </x:c>
      <x:c r="S55" s="2" t="n">
        <x:v>18</x:v>
      </x:c>
    </x:row>
    <x:row r="56" ht="21" customHeight="1">
      <x:c r="A56" s="36" t="n">
        <x:v>45658.1875</x:v>
      </x:c>
      <x:c r="B56" s="36" t="n">
        <x:v>45658.18797895833</x:v>
      </x:c>
      <x:c r="C56" s="36" t="n">
        <x:v>45658.1875</x:v>
      </x:c>
      <x:c r="D56" s="2" t="str">
        <x:v>u</x:v>
      </x:c>
      <x:c r="E56" s="18" t="n">
        <x:v>0.011495</x:v>
      </x:c>
      <x:c r="F56" s="18" t="n">
        <x:f>IF(D56="d",'两日价格与决策'!K25-'两日价格与决策'!N25,IF(D56="u",'两日价格与决策'!K25+'两日价格与决策'!M25,'两日价格与决策'!K25))</x:f>
        <x:v>0</x:v>
      </x:c>
      <x:c r="G56" s="18" t="n">
        <x:f>MAX(-F56,0)</x:f>
        <x:v>0</x:v>
      </x:c>
      <x:c r="H56" s="18" t="n">
        <x:f>MAX(F56,0)</x:f>
        <x:v>0</x:v>
      </x:c>
      <x:c r="I56" s="18" t="n">
        <x:f>J55</x:f>
        <x:v>10</x:v>
      </x:c>
      <x:c r="J56" s="18" t="n">
        <x:f>I56+E56*(G56*'原始输入与口径'!$D$5-H56/'原始输入与口径'!$D$5)</x:f>
        <x:v>10</x:v>
      </x:c>
      <x:c r="K56" s="18" t="n">
        <x:v>10</x:v>
      </x:c>
      <x:c r="L56" s="18" t="n">
        <x:v>10</x:v>
      </x:c>
      <x:c r="M56" s="18" t="n">
        <x:f>J56-L56</x:f>
        <x:v>0</x:v>
      </x:c>
      <x:c r="N56" s="18" t="n">
        <x:f>E56*(G56*'原始输入与口径'!$D$5+H56/'原始输入与口径'!$D$5)/'原始输入与口径'!$H$5</x:f>
        <x:v>0</x:v>
      </x:c>
      <x:c r="O56" s="18" t="n">
        <x:v>0</x:v>
      </x:c>
      <x:c r="P56" s="18" t="n">
        <x:f>N56-O56</x:f>
        <x:v>0</x:v>
      </x:c>
      <x:c r="Q56" s="18" t="n">
        <x:f>E56*G56</x:f>
        <x:v>0</x:v>
      </x:c>
      <x:c r="R56" s="18" t="n">
        <x:f>E56*H56</x:f>
        <x:v>0</x:v>
      </x:c>
      <x:c r="S56" s="2" t="n">
        <x:v>19</x:v>
      </x:c>
    </x:row>
    <x:row r="57" ht="21" customHeight="1">
      <x:c r="A57" s="36" t="n">
        <x:v>45658.18797895833</x:v>
      </x:c>
      <x:c r="B57" s="36" t="n">
        <x:v>45658.197916666664</x:v>
      </x:c>
      <x:c r="C57" s="36" t="n">
        <x:v>45658.1875</x:v>
      </x:c>
      <x:c r="D57" s="2" t="str">
        <x:v>0</x:v>
      </x:c>
      <x:c r="E57" s="18" t="n">
        <x:v>0.238505</x:v>
      </x:c>
      <x:c r="F57" s="18" t="n">
        <x:f>IF(D57="d",'两日价格与决策'!K25-'两日价格与决策'!N25,IF(D57="u",'两日价格与决策'!K25+'两日价格与决策'!M25,'两日价格与决策'!K25))</x:f>
        <x:v>0</x:v>
      </x:c>
      <x:c r="G57" s="18" t="n">
        <x:f>MAX(-F57,0)</x:f>
        <x:v>0</x:v>
      </x:c>
      <x:c r="H57" s="18" t="n">
        <x:f>MAX(F57,0)</x:f>
        <x:v>0</x:v>
      </x:c>
      <x:c r="I57" s="18" t="n">
        <x:f>J56</x:f>
        <x:v>10</x:v>
      </x:c>
      <x:c r="J57" s="18" t="n">
        <x:f>I57+E57*(G57*'原始输入与口径'!$D$5-H57/'原始输入与口径'!$D$5)</x:f>
        <x:v>10</x:v>
      </x:c>
      <x:c r="K57" s="18" t="n">
        <x:v>10</x:v>
      </x:c>
      <x:c r="L57" s="18" t="n">
        <x:v>10</x:v>
      </x:c>
      <x:c r="M57" s="18" t="n">
        <x:f>J57-L57</x:f>
        <x:v>0</x:v>
      </x:c>
      <x:c r="N57" s="18" t="n">
        <x:f>E57*(G57*'原始输入与口径'!$D$5+H57/'原始输入与口径'!$D$5)/'原始输入与口径'!$H$5</x:f>
        <x:v>0</x:v>
      </x:c>
      <x:c r="O57" s="18" t="n">
        <x:v>0</x:v>
      </x:c>
      <x:c r="P57" s="18" t="n">
        <x:f>N57-O57</x:f>
        <x:v>0</x:v>
      </x:c>
      <x:c r="Q57" s="18" t="n">
        <x:f>E57*G57</x:f>
        <x:v>0</x:v>
      </x:c>
      <x:c r="R57" s="18" t="n">
        <x:f>E57*H57</x:f>
        <x:v>0</x:v>
      </x:c>
      <x:c r="S57" s="2" t="n">
        <x:v>19</x:v>
      </x:c>
    </x:row>
    <x:row r="58" ht="21" customHeight="1">
      <x:c r="A58" s="36" t="n">
        <x:v>45658.197916666664</x:v>
      </x:c>
      <x:c r="B58" s="36" t="n">
        <x:v>45658.197960624995</x:v>
      </x:c>
      <x:c r="C58" s="36" t="n">
        <x:v>45658.197916666664</x:v>
      </x:c>
      <x:c r="D58" s="2" t="str">
        <x:v>d</x:v>
      </x:c>
      <x:c r="E58" s="18" t="n">
        <x:v>0.001055</x:v>
      </x:c>
      <x:c r="F58" s="18" t="n">
        <x:f>IF(D58="d",'两日价格与决策'!K26-'两日价格与决策'!N26,IF(D58="u",'两日价格与决策'!K26+'两日价格与决策'!M26,'两日价格与决策'!K26))</x:f>
        <x:v>0</x:v>
      </x:c>
      <x:c r="G58" s="18" t="n">
        <x:f>MAX(-F58,0)</x:f>
        <x:v>0</x:v>
      </x:c>
      <x:c r="H58" s="18" t="n">
        <x:f>MAX(F58,0)</x:f>
        <x:v>0</x:v>
      </x:c>
      <x:c r="I58" s="18" t="n">
        <x:f>J57</x:f>
        <x:v>10</x:v>
      </x:c>
      <x:c r="J58" s="18" t="n">
        <x:f>I58+E58*(G58*'原始输入与口径'!$D$5-H58/'原始输入与口径'!$D$5)</x:f>
        <x:v>10</x:v>
      </x:c>
      <x:c r="K58" s="18" t="n">
        <x:v>10</x:v>
      </x:c>
      <x:c r="L58" s="18" t="n">
        <x:v>10</x:v>
      </x:c>
      <x:c r="M58" s="18" t="n">
        <x:f>J58-L58</x:f>
        <x:v>0</x:v>
      </x:c>
      <x:c r="N58" s="18" t="n">
        <x:f>E58*(G58*'原始输入与口径'!$D$5+H58/'原始输入与口径'!$D$5)/'原始输入与口径'!$H$5</x:f>
        <x:v>0</x:v>
      </x:c>
      <x:c r="O58" s="18" t="n">
        <x:v>0</x:v>
      </x:c>
      <x:c r="P58" s="18" t="n">
        <x:f>N58-O58</x:f>
        <x:v>0</x:v>
      </x:c>
      <x:c r="Q58" s="18" t="n">
        <x:f>E58*G58</x:f>
        <x:v>0</x:v>
      </x:c>
      <x:c r="R58" s="18" t="n">
        <x:f>E58*H58</x:f>
        <x:v>0</x:v>
      </x:c>
      <x:c r="S58" s="2" t="n">
        <x:v>20</x:v>
      </x:c>
    </x:row>
    <x:row r="59" ht="21" customHeight="1">
      <x:c r="A59" s="36" t="n">
        <x:v>45658.197960624995</x:v>
      </x:c>
      <x:c r="B59" s="36" t="n">
        <x:v>45658.19798729166</x:v>
      </x:c>
      <x:c r="C59" s="36" t="n">
        <x:v>45658.197916666664</x:v>
      </x:c>
      <x:c r="D59" s="2" t="str">
        <x:v>u</x:v>
      </x:c>
      <x:c r="E59" s="18" t="n">
        <x:v>0.00064</x:v>
      </x:c>
      <x:c r="F59" s="18" t="n">
        <x:f>IF(D59="d",'两日价格与决策'!K26-'两日价格与决策'!N26,IF(D59="u",'两日价格与决策'!K26+'两日价格与决策'!M26,'两日价格与决策'!K26))</x:f>
        <x:v>0</x:v>
      </x:c>
      <x:c r="G59" s="18" t="n">
        <x:f>MAX(-F59,0)</x:f>
        <x:v>0</x:v>
      </x:c>
      <x:c r="H59" s="18" t="n">
        <x:f>MAX(F59,0)</x:f>
        <x:v>0</x:v>
      </x:c>
      <x:c r="I59" s="18" t="n">
        <x:f>J58</x:f>
        <x:v>10</x:v>
      </x:c>
      <x:c r="J59" s="18" t="n">
        <x:f>I59+E59*(G59*'原始输入与口径'!$D$5-H59/'原始输入与口径'!$D$5)</x:f>
        <x:v>10</x:v>
      </x:c>
      <x:c r="K59" s="18" t="n">
        <x:v>10</x:v>
      </x:c>
      <x:c r="L59" s="18" t="n">
        <x:v>10</x:v>
      </x:c>
      <x:c r="M59" s="18" t="n">
        <x:f>J59-L59</x:f>
        <x:v>0</x:v>
      </x:c>
      <x:c r="N59" s="18" t="n">
        <x:f>E59*(G59*'原始输入与口径'!$D$5+H59/'原始输入与口径'!$D$5)/'原始输入与口径'!$H$5</x:f>
        <x:v>0</x:v>
      </x:c>
      <x:c r="O59" s="18" t="n">
        <x:v>0</x:v>
      </x:c>
      <x:c r="P59" s="18" t="n">
        <x:f>N59-O59</x:f>
        <x:v>0</x:v>
      </x:c>
      <x:c r="Q59" s="18" t="n">
        <x:f>E59*G59</x:f>
        <x:v>0</x:v>
      </x:c>
      <x:c r="R59" s="18" t="n">
        <x:f>E59*H59</x:f>
        <x:v>0</x:v>
      </x:c>
      <x:c r="S59" s="2" t="n">
        <x:v>20</x:v>
      </x:c>
    </x:row>
    <x:row r="60" ht="21" customHeight="1">
      <x:c r="A60" s="36" t="n">
        <x:v>45658.19798729166</x:v>
      </x:c>
      <x:c r="B60" s="36" t="n">
        <x:v>45658.20833333333</x:v>
      </x:c>
      <x:c r="C60" s="36" t="n">
        <x:v>45658.197916666664</x:v>
      </x:c>
      <x:c r="D60" s="2" t="str">
        <x:v>0</x:v>
      </x:c>
      <x:c r="E60" s="18" t="n">
        <x:v>0.248305</x:v>
      </x:c>
      <x:c r="F60" s="18" t="n">
        <x:f>IF(D60="d",'两日价格与决策'!K26-'两日价格与决策'!N26,IF(D60="u",'两日价格与决策'!K26+'两日价格与决策'!M26,'两日价格与决策'!K26))</x:f>
        <x:v>0</x:v>
      </x:c>
      <x:c r="G60" s="18" t="n">
        <x:f>MAX(-F60,0)</x:f>
        <x:v>0</x:v>
      </x:c>
      <x:c r="H60" s="18" t="n">
        <x:f>MAX(F60,0)</x:f>
        <x:v>0</x:v>
      </x:c>
      <x:c r="I60" s="18" t="n">
        <x:f>J59</x:f>
        <x:v>10</x:v>
      </x:c>
      <x:c r="J60" s="18" t="n">
        <x:f>I60+E60*(G60*'原始输入与口径'!$D$5-H60/'原始输入与口径'!$D$5)</x:f>
        <x:v>10</x:v>
      </x:c>
      <x:c r="K60" s="18" t="n">
        <x:v>10</x:v>
      </x:c>
      <x:c r="L60" s="18" t="n">
        <x:v>10</x:v>
      </x:c>
      <x:c r="M60" s="18" t="n">
        <x:f>J60-L60</x:f>
        <x:v>0</x:v>
      </x:c>
      <x:c r="N60" s="18" t="n">
        <x:f>E60*(G60*'原始输入与口径'!$D$5+H60/'原始输入与口径'!$D$5)/'原始输入与口径'!$H$5</x:f>
        <x:v>0</x:v>
      </x:c>
      <x:c r="O60" s="18" t="n">
        <x:v>0</x:v>
      </x:c>
      <x:c r="P60" s="18" t="n">
        <x:f>N60-O60</x:f>
        <x:v>0</x:v>
      </x:c>
      <x:c r="Q60" s="18" t="n">
        <x:f>E60*G60</x:f>
        <x:v>0</x:v>
      </x:c>
      <x:c r="R60" s="18" t="n">
        <x:f>E60*H60</x:f>
        <x:v>0</x:v>
      </x:c>
      <x:c r="S60" s="2" t="n">
        <x:v>20</x:v>
      </x:c>
    </x:row>
    <x:row r="61" ht="21" customHeight="1">
      <x:c r="A61" s="36" t="n">
        <x:v>45658.208333333336</x:v>
      </x:c>
      <x:c r="B61" s="36" t="n">
        <x:v>45658.210247083334</x:v>
      </x:c>
      <x:c r="C61" s="36" t="n">
        <x:v>45658.208333333336</x:v>
      </x:c>
      <x:c r="D61" s="2" t="str">
        <x:v>u</x:v>
      </x:c>
      <x:c r="E61" s="18" t="n">
        <x:v>0.04593</x:v>
      </x:c>
      <x:c r="F61" s="18" t="n">
        <x:f>IF(D61="d",'两日价格与决策'!K27-'两日价格与决策'!N27,IF(D61="u",'两日价格与决策'!K27+'两日价格与决策'!M27,'两日价格与决策'!K27))</x:f>
        <x:v>0</x:v>
      </x:c>
      <x:c r="G61" s="18" t="n">
        <x:f>MAX(-F61,0)</x:f>
        <x:v>0</x:v>
      </x:c>
      <x:c r="H61" s="18" t="n">
        <x:f>MAX(F61,0)</x:f>
        <x:v>0</x:v>
      </x:c>
      <x:c r="I61" s="18" t="n">
        <x:f>J60</x:f>
        <x:v>10</x:v>
      </x:c>
      <x:c r="J61" s="18" t="n">
        <x:f>I61+E61*(G61*'原始输入与口径'!$D$5-H61/'原始输入与口径'!$D$5)</x:f>
        <x:v>10</x:v>
      </x:c>
      <x:c r="K61" s="18" t="n">
        <x:v>10</x:v>
      </x:c>
      <x:c r="L61" s="18" t="n">
        <x:v>10</x:v>
      </x:c>
      <x:c r="M61" s="18" t="n">
        <x:f>J61-L61</x:f>
        <x:v>0</x:v>
      </x:c>
      <x:c r="N61" s="18" t="n">
        <x:f>E61*(G61*'原始输入与口径'!$D$5+H61/'原始输入与口径'!$D$5)/'原始输入与口径'!$H$5</x:f>
        <x:v>0</x:v>
      </x:c>
      <x:c r="O61" s="18" t="n">
        <x:v>0</x:v>
      </x:c>
      <x:c r="P61" s="18" t="n">
        <x:f>N61-O61</x:f>
        <x:v>0</x:v>
      </x:c>
      <x:c r="Q61" s="18" t="n">
        <x:f>E61*G61</x:f>
        <x:v>0</x:v>
      </x:c>
      <x:c r="R61" s="18" t="n">
        <x:f>E61*H61</x:f>
        <x:v>0</x:v>
      </x:c>
      <x:c r="S61" s="2" t="n">
        <x:v>21</x:v>
      </x:c>
    </x:row>
    <x:row r="62" ht="21" customHeight="1">
      <x:c r="A62" s="36" t="n">
        <x:v>45658.210247083334</x:v>
      </x:c>
      <x:c r="B62" s="36" t="n">
        <x:v>45658.21875</x:v>
      </x:c>
      <x:c r="C62" s="36" t="n">
        <x:v>45658.208333333336</x:v>
      </x:c>
      <x:c r="D62" s="2" t="str">
        <x:v>0</x:v>
      </x:c>
      <x:c r="E62" s="18" t="n">
        <x:v>0.20407</x:v>
      </x:c>
      <x:c r="F62" s="18" t="n">
        <x:f>IF(D62="d",'两日价格与决策'!K27-'两日价格与决策'!N27,IF(D62="u",'两日价格与决策'!K27+'两日价格与决策'!M27,'两日价格与决策'!K27))</x:f>
        <x:v>0</x:v>
      </x:c>
      <x:c r="G62" s="18" t="n">
        <x:f>MAX(-F62,0)</x:f>
        <x:v>0</x:v>
      </x:c>
      <x:c r="H62" s="18" t="n">
        <x:f>MAX(F62,0)</x:f>
        <x:v>0</x:v>
      </x:c>
      <x:c r="I62" s="18" t="n">
        <x:f>J61</x:f>
        <x:v>10</x:v>
      </x:c>
      <x:c r="J62" s="18" t="n">
        <x:f>I62+E62*(G62*'原始输入与口径'!$D$5-H62/'原始输入与口径'!$D$5)</x:f>
        <x:v>10</x:v>
      </x:c>
      <x:c r="K62" s="18" t="n">
        <x:v>10</x:v>
      </x:c>
      <x:c r="L62" s="18" t="n">
        <x:v>10</x:v>
      </x:c>
      <x:c r="M62" s="18" t="n">
        <x:f>J62-L62</x:f>
        <x:v>0</x:v>
      </x:c>
      <x:c r="N62" s="18" t="n">
        <x:f>E62*(G62*'原始输入与口径'!$D$5+H62/'原始输入与口径'!$D$5)/'原始输入与口径'!$H$5</x:f>
        <x:v>0</x:v>
      </x:c>
      <x:c r="O62" s="18" t="n">
        <x:v>0</x:v>
      </x:c>
      <x:c r="P62" s="18" t="n">
        <x:f>N62-O62</x:f>
        <x:v>0</x:v>
      </x:c>
      <x:c r="Q62" s="18" t="n">
        <x:f>E62*G62</x:f>
        <x:v>0</x:v>
      </x:c>
      <x:c r="R62" s="18" t="n">
        <x:f>E62*H62</x:f>
        <x:v>0</x:v>
      </x:c>
      <x:c r="S62" s="2" t="n">
        <x:v>21</x:v>
      </x:c>
    </x:row>
    <x:row r="63" ht="21" customHeight="1">
      <x:c r="A63" s="36" t="n">
        <x:v>45658.21875</x:v>
      </x:c>
      <x:c r="B63" s="36" t="n">
        <x:v>45658.22022041667</x:v>
      </x:c>
      <x:c r="C63" s="36" t="n">
        <x:v>45658.21875</x:v>
      </x:c>
      <x:c r="D63" s="2" t="str">
        <x:v>u</x:v>
      </x:c>
      <x:c r="E63" s="18" t="n">
        <x:v>0.03529</x:v>
      </x:c>
      <x:c r="F63" s="18" t="n">
        <x:f>IF(D63="d",'两日价格与决策'!K28-'两日价格与决策'!N28,IF(D63="u",'两日价格与决策'!K28+'两日价格与决策'!M28,'两日价格与决策'!K28))</x:f>
        <x:v>0</x:v>
      </x:c>
      <x:c r="G63" s="18" t="n">
        <x:f>MAX(-F63,0)</x:f>
        <x:v>0</x:v>
      </x:c>
      <x:c r="H63" s="18" t="n">
        <x:f>MAX(F63,0)</x:f>
        <x:v>0</x:v>
      </x:c>
      <x:c r="I63" s="18" t="n">
        <x:f>J62</x:f>
        <x:v>10</x:v>
      </x:c>
      <x:c r="J63" s="18" t="n">
        <x:f>I63+E63*(G63*'原始输入与口径'!$D$5-H63/'原始输入与口径'!$D$5)</x:f>
        <x:v>10</x:v>
      </x:c>
      <x:c r="K63" s="18" t="n">
        <x:v>10</x:v>
      </x:c>
      <x:c r="L63" s="18" t="n">
        <x:v>10</x:v>
      </x:c>
      <x:c r="M63" s="18" t="n">
        <x:f>J63-L63</x:f>
        <x:v>0</x:v>
      </x:c>
      <x:c r="N63" s="18" t="n">
        <x:f>E63*(G63*'原始输入与口径'!$D$5+H63/'原始输入与口径'!$D$5)/'原始输入与口径'!$H$5</x:f>
        <x:v>0</x:v>
      </x:c>
      <x:c r="O63" s="18" t="n">
        <x:v>0</x:v>
      </x:c>
      <x:c r="P63" s="18" t="n">
        <x:f>N63-O63</x:f>
        <x:v>0</x:v>
      </x:c>
      <x:c r="Q63" s="18" t="n">
        <x:f>E63*G63</x:f>
        <x:v>0</x:v>
      </x:c>
      <x:c r="R63" s="18" t="n">
        <x:f>E63*H63</x:f>
        <x:v>0</x:v>
      </x:c>
      <x:c r="S63" s="2" t="n">
        <x:v>22</x:v>
      </x:c>
    </x:row>
    <x:row r="64" ht="21" customHeight="1">
      <x:c r="A64" s="36" t="n">
        <x:v>45658.22022041667</x:v>
      </x:c>
      <x:c r="B64" s="36" t="n">
        <x:v>45658.229166666664</x:v>
      </x:c>
      <x:c r="C64" s="36" t="n">
        <x:v>45658.21875</x:v>
      </x:c>
      <x:c r="D64" s="2" t="str">
        <x:v>0</x:v>
      </x:c>
      <x:c r="E64" s="18" t="n">
        <x:v>0.21471</x:v>
      </x:c>
      <x:c r="F64" s="18" t="n">
        <x:f>IF(D64="d",'两日价格与决策'!K28-'两日价格与决策'!N28,IF(D64="u",'两日价格与决策'!K28+'两日价格与决策'!M28,'两日价格与决策'!K28))</x:f>
        <x:v>0</x:v>
      </x:c>
      <x:c r="G64" s="18" t="n">
        <x:f>MAX(-F64,0)</x:f>
        <x:v>0</x:v>
      </x:c>
      <x:c r="H64" s="18" t="n">
        <x:f>MAX(F64,0)</x:f>
        <x:v>0</x:v>
      </x:c>
      <x:c r="I64" s="18" t="n">
        <x:f>J63</x:f>
        <x:v>10</x:v>
      </x:c>
      <x:c r="J64" s="18" t="n">
        <x:f>I64+E64*(G64*'原始输入与口径'!$D$5-H64/'原始输入与口径'!$D$5)</x:f>
        <x:v>10</x:v>
      </x:c>
      <x:c r="K64" s="18" t="n">
        <x:v>10</x:v>
      </x:c>
      <x:c r="L64" s="18" t="n">
        <x:v>10</x:v>
      </x:c>
      <x:c r="M64" s="18" t="n">
        <x:f>J64-L64</x:f>
        <x:v>0</x:v>
      </x:c>
      <x:c r="N64" s="18" t="n">
        <x:f>E64*(G64*'原始输入与口径'!$D$5+H64/'原始输入与口径'!$D$5)/'原始输入与口径'!$H$5</x:f>
        <x:v>0</x:v>
      </x:c>
      <x:c r="O64" s="18" t="n">
        <x:v>0</x:v>
      </x:c>
      <x:c r="P64" s="18" t="n">
        <x:f>N64-O64</x:f>
        <x:v>0</x:v>
      </x:c>
      <x:c r="Q64" s="18" t="n">
        <x:f>E64*G64</x:f>
        <x:v>0</x:v>
      </x:c>
      <x:c r="R64" s="18" t="n">
        <x:f>E64*H64</x:f>
        <x:v>0</x:v>
      </x:c>
      <x:c r="S64" s="2" t="n">
        <x:v>22</x:v>
      </x:c>
    </x:row>
    <x:row r="65" ht="21" customHeight="1">
      <x:c r="A65" s="36" t="n">
        <x:v>45658.229166666664</x:v>
      </x:c>
      <x:c r="B65" s="36" t="n">
        <x:v>45658.23028604167</x:v>
      </x:c>
      <x:c r="C65" s="36" t="n">
        <x:v>45658.229166666664</x:v>
      </x:c>
      <x:c r="D65" s="2" t="str">
        <x:v>u</x:v>
      </x:c>
      <x:c r="E65" s="18" t="n">
        <x:v>0.026865</x:v>
      </x:c>
      <x:c r="F65" s="18" t="n">
        <x:f>IF(D65="d",'两日价格与决策'!K29-'两日价格与决策'!N29,IF(D65="u",'两日价格与决策'!K29+'两日价格与决策'!M29,'两日价格与决策'!K29))</x:f>
        <x:v>0</x:v>
      </x:c>
      <x:c r="G65" s="18" t="n">
        <x:f>MAX(-F65,0)</x:f>
        <x:v>0</x:v>
      </x:c>
      <x:c r="H65" s="18" t="n">
        <x:f>MAX(F65,0)</x:f>
        <x:v>0</x:v>
      </x:c>
      <x:c r="I65" s="18" t="n">
        <x:f>J64</x:f>
        <x:v>10</x:v>
      </x:c>
      <x:c r="J65" s="18" t="n">
        <x:f>I65+E65*(G65*'原始输入与口径'!$D$5-H65/'原始输入与口径'!$D$5)</x:f>
        <x:v>10</x:v>
      </x:c>
      <x:c r="K65" s="18" t="n">
        <x:v>10</x:v>
      </x:c>
      <x:c r="L65" s="18" t="n">
        <x:v>10</x:v>
      </x:c>
      <x:c r="M65" s="18" t="n">
        <x:f>J65-L65</x:f>
        <x:v>0</x:v>
      </x:c>
      <x:c r="N65" s="18" t="n">
        <x:f>E65*(G65*'原始输入与口径'!$D$5+H65/'原始输入与口径'!$D$5)/'原始输入与口径'!$H$5</x:f>
        <x:v>0</x:v>
      </x:c>
      <x:c r="O65" s="18" t="n">
        <x:v>0</x:v>
      </x:c>
      <x:c r="P65" s="18" t="n">
        <x:f>N65-O65</x:f>
        <x:v>0</x:v>
      </x:c>
      <x:c r="Q65" s="18" t="n">
        <x:f>E65*G65</x:f>
        <x:v>0</x:v>
      </x:c>
      <x:c r="R65" s="18" t="n">
        <x:f>E65*H65</x:f>
        <x:v>0</x:v>
      </x:c>
      <x:c r="S65" s="2" t="n">
        <x:v>23</x:v>
      </x:c>
    </x:row>
    <x:row r="66" ht="21" customHeight="1">
      <x:c r="A66" s="36" t="n">
        <x:v>45658.23028604167</x:v>
      </x:c>
      <x:c r="B66" s="36" t="n">
        <x:v>45658.23958333333</x:v>
      </x:c>
      <x:c r="C66" s="36" t="n">
        <x:v>45658.229166666664</x:v>
      </x:c>
      <x:c r="D66" s="2" t="str">
        <x:v>0</x:v>
      </x:c>
      <x:c r="E66" s="18" t="n">
        <x:v>0.223135</x:v>
      </x:c>
      <x:c r="F66" s="18" t="n">
        <x:f>IF(D66="d",'两日价格与决策'!K29-'两日价格与决策'!N29,IF(D66="u",'两日价格与决策'!K29+'两日价格与决策'!M29,'两日价格与决策'!K29))</x:f>
        <x:v>0</x:v>
      </x:c>
      <x:c r="G66" s="18" t="n">
        <x:f>MAX(-F66,0)</x:f>
        <x:v>0</x:v>
      </x:c>
      <x:c r="H66" s="18" t="n">
        <x:f>MAX(F66,0)</x:f>
        <x:v>0</x:v>
      </x:c>
      <x:c r="I66" s="18" t="n">
        <x:f>J65</x:f>
        <x:v>10</x:v>
      </x:c>
      <x:c r="J66" s="18" t="n">
        <x:f>I66+E66*(G66*'原始输入与口径'!$D$5-H66/'原始输入与口径'!$D$5)</x:f>
        <x:v>10</x:v>
      </x:c>
      <x:c r="K66" s="18" t="n">
        <x:v>10</x:v>
      </x:c>
      <x:c r="L66" s="18" t="n">
        <x:v>10</x:v>
      </x:c>
      <x:c r="M66" s="18" t="n">
        <x:f>J66-L66</x:f>
        <x:v>0</x:v>
      </x:c>
      <x:c r="N66" s="18" t="n">
        <x:f>E66*(G66*'原始输入与口径'!$D$5+H66/'原始输入与口径'!$D$5)/'原始输入与口径'!$H$5</x:f>
        <x:v>0</x:v>
      </x:c>
      <x:c r="O66" s="18" t="n">
        <x:v>0</x:v>
      </x:c>
      <x:c r="P66" s="18" t="n">
        <x:f>N66-O66</x:f>
        <x:v>0</x:v>
      </x:c>
      <x:c r="Q66" s="18" t="n">
        <x:f>E66*G66</x:f>
        <x:v>0</x:v>
      </x:c>
      <x:c r="R66" s="18" t="n">
        <x:f>E66*H66</x:f>
        <x:v>0</x:v>
      </x:c>
      <x:c r="S66" s="2" t="n">
        <x:v>23</x:v>
      </x:c>
    </x:row>
    <x:row r="67" ht="21" customHeight="1">
      <x:c r="A67" s="36" t="n">
        <x:v>45658.239583333336</x:v>
      </x:c>
      <x:c r="B67" s="36" t="n">
        <x:v>45658.24089083334</x:v>
      </x:c>
      <x:c r="C67" s="36" t="n">
        <x:v>45658.239583333336</x:v>
      </x:c>
      <x:c r="D67" s="2" t="str">
        <x:v>u</x:v>
      </x:c>
      <x:c r="E67" s="18" t="n">
        <x:v>0.03138</x:v>
      </x:c>
      <x:c r="F67" s="18" t="n">
        <x:f>IF(D67="d",'两日价格与决策'!K30-'两日价格与决策'!N30,IF(D67="u",'两日价格与决策'!K30+'两日价格与决策'!M30,'两日价格与决策'!K30))</x:f>
        <x:v>0</x:v>
      </x:c>
      <x:c r="G67" s="18" t="n">
        <x:f>MAX(-F67,0)</x:f>
        <x:v>0</x:v>
      </x:c>
      <x:c r="H67" s="18" t="n">
        <x:f>MAX(F67,0)</x:f>
        <x:v>0</x:v>
      </x:c>
      <x:c r="I67" s="18" t="n">
        <x:f>J66</x:f>
        <x:v>10</x:v>
      </x:c>
      <x:c r="J67" s="18" t="n">
        <x:f>I67+E67*(G67*'原始输入与口径'!$D$5-H67/'原始输入与口径'!$D$5)</x:f>
        <x:v>10</x:v>
      </x:c>
      <x:c r="K67" s="18" t="n">
        <x:v>10</x:v>
      </x:c>
      <x:c r="L67" s="18" t="n">
        <x:v>10</x:v>
      </x:c>
      <x:c r="M67" s="18" t="n">
        <x:f>J67-L67</x:f>
        <x:v>0</x:v>
      </x:c>
      <x:c r="N67" s="18" t="n">
        <x:f>E67*(G67*'原始输入与口径'!$D$5+H67/'原始输入与口径'!$D$5)/'原始输入与口径'!$H$5</x:f>
        <x:v>0</x:v>
      </x:c>
      <x:c r="O67" s="18" t="n">
        <x:v>0</x:v>
      </x:c>
      <x:c r="P67" s="18" t="n">
        <x:f>N67-O67</x:f>
        <x:v>0</x:v>
      </x:c>
      <x:c r="Q67" s="18" t="n">
        <x:f>E67*G67</x:f>
        <x:v>0</x:v>
      </x:c>
      <x:c r="R67" s="18" t="n">
        <x:f>E67*H67</x:f>
        <x:v>0</x:v>
      </x:c>
      <x:c r="S67" s="2" t="n">
        <x:v>24</x:v>
      </x:c>
    </x:row>
    <x:row r="68" ht="21" customHeight="1">
      <x:c r="A68" s="36" t="n">
        <x:v>45658.24089083334</x:v>
      </x:c>
      <x:c r="B68" s="36" t="n">
        <x:v>45658.25</x:v>
      </x:c>
      <x:c r="C68" s="36" t="n">
        <x:v>45658.239583333336</x:v>
      </x:c>
      <x:c r="D68" s="2" t="str">
        <x:v>0</x:v>
      </x:c>
      <x:c r="E68" s="18" t="n">
        <x:v>0.21862</x:v>
      </x:c>
      <x:c r="F68" s="18" t="n">
        <x:f>IF(D68="d",'两日价格与决策'!K30-'两日价格与决策'!N30,IF(D68="u",'两日价格与决策'!K30+'两日价格与决策'!M30,'两日价格与决策'!K30))</x:f>
        <x:v>0</x:v>
      </x:c>
      <x:c r="G68" s="18" t="n">
        <x:f>MAX(-F68,0)</x:f>
        <x:v>0</x:v>
      </x:c>
      <x:c r="H68" s="18" t="n">
        <x:f>MAX(F68,0)</x:f>
        <x:v>0</x:v>
      </x:c>
      <x:c r="I68" s="18" t="n">
        <x:f>J67</x:f>
        <x:v>10</x:v>
      </x:c>
      <x:c r="J68" s="18" t="n">
        <x:f>I68+E68*(G68*'原始输入与口径'!$D$5-H68/'原始输入与口径'!$D$5)</x:f>
        <x:v>10</x:v>
      </x:c>
      <x:c r="K68" s="18" t="n">
        <x:v>10</x:v>
      </x:c>
      <x:c r="L68" s="18" t="n">
        <x:v>10</x:v>
      </x:c>
      <x:c r="M68" s="18" t="n">
        <x:f>J68-L68</x:f>
        <x:v>0</x:v>
      </x:c>
      <x:c r="N68" s="18" t="n">
        <x:f>E68*(G68*'原始输入与口径'!$D$5+H68/'原始输入与口径'!$D$5)/'原始输入与口径'!$H$5</x:f>
        <x:v>0</x:v>
      </x:c>
      <x:c r="O68" s="18" t="n">
        <x:v>0</x:v>
      </x:c>
      <x:c r="P68" s="18" t="n">
        <x:f>N68-O68</x:f>
        <x:v>0</x:v>
      </x:c>
      <x:c r="Q68" s="18" t="n">
        <x:f>E68*G68</x:f>
        <x:v>0</x:v>
      </x:c>
      <x:c r="R68" s="18" t="n">
        <x:f>E68*H68</x:f>
        <x:v>0</x:v>
      </x:c>
      <x:c r="S68" s="2" t="n">
        <x:v>24</x:v>
      </x:c>
    </x:row>
    <x:row r="69" ht="21" customHeight="1">
      <x:c r="A69" s="36" t="n">
        <x:v>45658.25</x:v>
      </x:c>
      <x:c r="B69" s="36" t="n">
        <x:v>45658.250862262525</x:v>
      </x:c>
      <x:c r="C69" s="36" t="n">
        <x:v>45658.25</x:v>
      </x:c>
      <x:c r="D69" s="2" t="str">
        <x:v>u</x:v>
      </x:c>
      <x:c r="E69" s="18" t="n">
        <x:v>0.020694300518134714</x:v>
      </x:c>
      <x:c r="F69" s="18" t="n">
        <x:f>IF(D69="d",'两日价格与决策'!K31-'两日价格与决策'!N31,IF(D69="u",'两日价格与决策'!K31+'两日价格与决策'!M31,'两日价格与决策'!K31))</x:f>
        <x:v>0</x:v>
      </x:c>
      <x:c r="G69" s="18" t="n">
        <x:f>MAX(-F69,0)</x:f>
        <x:v>0</x:v>
      </x:c>
      <x:c r="H69" s="18" t="n">
        <x:f>MAX(F69,0)</x:f>
        <x:v>0</x:v>
      </x:c>
      <x:c r="I69" s="18" t="n">
        <x:f>J68</x:f>
        <x:v>10</x:v>
      </x:c>
      <x:c r="J69" s="18" t="n">
        <x:f>I69+E69*(G69*'原始输入与口径'!$D$5-H69/'原始输入与口径'!$D$5)</x:f>
        <x:v>10</x:v>
      </x:c>
      <x:c r="K69" s="18" t="n">
        <x:v>10</x:v>
      </x:c>
      <x:c r="L69" s="18" t="n">
        <x:v>10</x:v>
      </x:c>
      <x:c r="M69" s="18" t="n">
        <x:f>J69-L69</x:f>
        <x:v>0</x:v>
      </x:c>
      <x:c r="N69" s="18" t="n">
        <x:f>E69*(G69*'原始输入与口径'!$D$5+H69/'原始输入与口径'!$D$5)/'原始输入与口径'!$H$5</x:f>
        <x:v>0</x:v>
      </x:c>
      <x:c r="O69" s="18" t="n">
        <x:v>0</x:v>
      </x:c>
      <x:c r="P69" s="18" t="n">
        <x:f>N69-O69</x:f>
        <x:v>0</x:v>
      </x:c>
      <x:c r="Q69" s="18" t="n">
        <x:f>E69*G69</x:f>
        <x:v>0</x:v>
      </x:c>
      <x:c r="R69" s="18" t="n">
        <x:f>E69*H69</x:f>
        <x:v>0</x:v>
      </x:c>
      <x:c r="S69" s="2" t="n">
        <x:v>25</x:v>
      </x:c>
    </x:row>
    <x:row r="70" ht="21" customHeight="1">
      <x:c r="A70" s="36" t="n">
        <x:v>45658.250862262525</x:v>
      </x:c>
      <x:c r="B70" s="36" t="n">
        <x:v>45658.260416666664</x:v>
      </x:c>
      <x:c r="C70" s="36" t="n">
        <x:v>45658.25</x:v>
      </x:c>
      <x:c r="D70" s="2" t="str">
        <x:v>0</x:v>
      </x:c>
      <x:c r="E70" s="18" t="n">
        <x:v>0.2293056994818653</x:v>
      </x:c>
      <x:c r="F70" s="18" t="n">
        <x:f>IF(D70="d",'两日价格与决策'!K31-'两日价格与决策'!N31,IF(D70="u",'两日价格与决策'!K31+'两日价格与决策'!M31,'两日价格与决策'!K31))</x:f>
        <x:v>0</x:v>
      </x:c>
      <x:c r="G70" s="18" t="n">
        <x:f>MAX(-F70,0)</x:f>
        <x:v>0</x:v>
      </x:c>
      <x:c r="H70" s="18" t="n">
        <x:f>MAX(F70,0)</x:f>
        <x:v>0</x:v>
      </x:c>
      <x:c r="I70" s="18" t="n">
        <x:f>J69</x:f>
        <x:v>10</x:v>
      </x:c>
      <x:c r="J70" s="18" t="n">
        <x:f>I70+E70*(G70*'原始输入与口径'!$D$5-H70/'原始输入与口径'!$D$5)</x:f>
        <x:v>10</x:v>
      </x:c>
      <x:c r="K70" s="18" t="n">
        <x:v>10</x:v>
      </x:c>
      <x:c r="L70" s="18" t="n">
        <x:v>10</x:v>
      </x:c>
      <x:c r="M70" s="18" t="n">
        <x:f>J70-L70</x:f>
        <x:v>0</x:v>
      </x:c>
      <x:c r="N70" s="18" t="n">
        <x:f>E70*(G70*'原始输入与口径'!$D$5+H70/'原始输入与口径'!$D$5)/'原始输入与口径'!$H$5</x:f>
        <x:v>0</x:v>
      </x:c>
      <x:c r="O70" s="18" t="n">
        <x:v>0</x:v>
      </x:c>
      <x:c r="P70" s="18" t="n">
        <x:f>N70-O70</x:f>
        <x:v>0</x:v>
      </x:c>
      <x:c r="Q70" s="18" t="n">
        <x:f>E70*G70</x:f>
        <x:v>0</x:v>
      </x:c>
      <x:c r="R70" s="18" t="n">
        <x:f>E70*H70</x:f>
        <x:v>0</x:v>
      </x:c>
      <x:c r="S70" s="2" t="n">
        <x:v>25</x:v>
      </x:c>
    </x:row>
    <x:row r="71" ht="21" customHeight="1">
      <x:c r="A71" s="36" t="n">
        <x:v>45658.260416666664</x:v>
      </x:c>
      <x:c r="B71" s="36" t="n">
        <x:v>45658.261287348876</x:v>
      </x:c>
      <x:c r="C71" s="36" t="n">
        <x:v>45658.260416666664</x:v>
      </x:c>
      <x:c r="D71" s="2" t="str">
        <x:v>u</x:v>
      </x:c>
      <x:c r="E71" s="18" t="n">
        <x:v>0.02089637305699482</x:v>
      </x:c>
      <x:c r="F71" s="18" t="n">
        <x:f>IF(D71="d",'两日价格与决策'!K32-'两日价格与决策'!N32,IF(D71="u",'两日价格与决策'!K32+'两日价格与决策'!M32,'两日价格与决策'!K32))</x:f>
        <x:v>0</x:v>
      </x:c>
      <x:c r="G71" s="18" t="n">
        <x:f>MAX(-F71,0)</x:f>
        <x:v>0</x:v>
      </x:c>
      <x:c r="H71" s="18" t="n">
        <x:f>MAX(F71,0)</x:f>
        <x:v>0</x:v>
      </x:c>
      <x:c r="I71" s="18" t="n">
        <x:f>J70</x:f>
        <x:v>10</x:v>
      </x:c>
      <x:c r="J71" s="18" t="n">
        <x:f>I71+E71*(G71*'原始输入与口径'!$D$5-H71/'原始输入与口径'!$D$5)</x:f>
        <x:v>10</x:v>
      </x:c>
      <x:c r="K71" s="18" t="n">
        <x:v>10</x:v>
      </x:c>
      <x:c r="L71" s="18" t="n">
        <x:v>10</x:v>
      </x:c>
      <x:c r="M71" s="18" t="n">
        <x:f>J71-L71</x:f>
        <x:v>0</x:v>
      </x:c>
      <x:c r="N71" s="18" t="n">
        <x:f>E71*(G71*'原始输入与口径'!$D$5+H71/'原始输入与口径'!$D$5)/'原始输入与口径'!$H$5</x:f>
        <x:v>0</x:v>
      </x:c>
      <x:c r="O71" s="18" t="n">
        <x:v>0</x:v>
      </x:c>
      <x:c r="P71" s="18" t="n">
        <x:f>N71-O71</x:f>
        <x:v>0</x:v>
      </x:c>
      <x:c r="Q71" s="18" t="n">
        <x:f>E71*G71</x:f>
        <x:v>0</x:v>
      </x:c>
      <x:c r="R71" s="18" t="n">
        <x:f>E71*H71</x:f>
        <x:v>0</x:v>
      </x:c>
      <x:c r="S71" s="2" t="n">
        <x:v>26</x:v>
      </x:c>
    </x:row>
    <x:row r="72" ht="21" customHeight="1">
      <x:c r="A72" s="36" t="n">
        <x:v>45658.261287348876</x:v>
      </x:c>
      <x:c r="B72" s="36" t="n">
        <x:v>45658.27083333333</x:v>
      </x:c>
      <x:c r="C72" s="36" t="n">
        <x:v>45658.260416666664</x:v>
      </x:c>
      <x:c r="D72" s="2" t="str">
        <x:v>0</x:v>
      </x:c>
      <x:c r="E72" s="18" t="n">
        <x:v>0.22910362694300518</x:v>
      </x:c>
      <x:c r="F72" s="18" t="n">
        <x:f>IF(D72="d",'两日价格与决策'!K32-'两日价格与决策'!N32,IF(D72="u",'两日价格与决策'!K32+'两日价格与决策'!M32,'两日价格与决策'!K32))</x:f>
        <x:v>0</x:v>
      </x:c>
      <x:c r="G72" s="18" t="n">
        <x:f>MAX(-F72,0)</x:f>
        <x:v>0</x:v>
      </x:c>
      <x:c r="H72" s="18" t="n">
        <x:f>MAX(F72,0)</x:f>
        <x:v>0</x:v>
      </x:c>
      <x:c r="I72" s="18" t="n">
        <x:f>J71</x:f>
        <x:v>10</x:v>
      </x:c>
      <x:c r="J72" s="18" t="n">
        <x:f>I72+E72*(G72*'原始输入与口径'!$D$5-H72/'原始输入与口径'!$D$5)</x:f>
        <x:v>10</x:v>
      </x:c>
      <x:c r="K72" s="18" t="n">
        <x:v>10</x:v>
      </x:c>
      <x:c r="L72" s="18" t="n">
        <x:v>10</x:v>
      </x:c>
      <x:c r="M72" s="18" t="n">
        <x:f>J72-L72</x:f>
        <x:v>0</x:v>
      </x:c>
      <x:c r="N72" s="18" t="n">
        <x:f>E72*(G72*'原始输入与口径'!$D$5+H72/'原始输入与口径'!$D$5)/'原始输入与口径'!$H$5</x:f>
        <x:v>0</x:v>
      </x:c>
      <x:c r="O72" s="18" t="n">
        <x:v>0</x:v>
      </x:c>
      <x:c r="P72" s="18" t="n">
        <x:f>N72-O72</x:f>
        <x:v>0</x:v>
      </x:c>
      <x:c r="Q72" s="18" t="n">
        <x:f>E72*G72</x:f>
        <x:v>0</x:v>
      </x:c>
      <x:c r="R72" s="18" t="n">
        <x:f>E72*H72</x:f>
        <x:v>0</x:v>
      </x:c>
      <x:c r="S72" s="2" t="n">
        <x:v>26</x:v>
      </x:c>
    </x:row>
    <x:row r="73" ht="21" customHeight="1">
      <x:c r="A73" s="36" t="n">
        <x:v>45658.270833333336</x:v>
      </x:c>
      <x:c r="B73" s="36" t="n">
        <x:v>45658.27289227116</x:v>
      </x:c>
      <x:c r="C73" s="36" t="n">
        <x:v>45658.270833333336</x:v>
      </x:c>
      <x:c r="D73" s="2" t="str">
        <x:v>u</x:v>
      </x:c>
      <x:c r="E73" s="18" t="n">
        <x:v>0.04941450777202073</x:v>
      </x:c>
      <x:c r="F73" s="18" t="n">
        <x:f>IF(D73="d",'两日价格与决策'!K33-'两日价格与决策'!N33,IF(D73="u",'两日价格与决策'!K33+'两日价格与决策'!M33,'两日价格与决策'!K33))</x:f>
        <x:v>0</x:v>
      </x:c>
      <x:c r="G73" s="18" t="n">
        <x:f>MAX(-F73,0)</x:f>
        <x:v>0</x:v>
      </x:c>
      <x:c r="H73" s="18" t="n">
        <x:f>MAX(F73,0)</x:f>
        <x:v>0</x:v>
      </x:c>
      <x:c r="I73" s="18" t="n">
        <x:f>J72</x:f>
        <x:v>10</x:v>
      </x:c>
      <x:c r="J73" s="18" t="n">
        <x:f>I73+E73*(G73*'原始输入与口径'!$D$5-H73/'原始输入与口径'!$D$5)</x:f>
        <x:v>10</x:v>
      </x:c>
      <x:c r="K73" s="18" t="n">
        <x:v>10</x:v>
      </x:c>
      <x:c r="L73" s="18" t="n">
        <x:v>10</x:v>
      </x:c>
      <x:c r="M73" s="18" t="n">
        <x:f>J73-L73</x:f>
        <x:v>0</x:v>
      </x:c>
      <x:c r="N73" s="18" t="n">
        <x:f>E73*(G73*'原始输入与口径'!$D$5+H73/'原始输入与口径'!$D$5)/'原始输入与口径'!$H$5</x:f>
        <x:v>0</x:v>
      </x:c>
      <x:c r="O73" s="18" t="n">
        <x:v>0</x:v>
      </x:c>
      <x:c r="P73" s="18" t="n">
        <x:f>N73-O73</x:f>
        <x:v>0</x:v>
      </x:c>
      <x:c r="Q73" s="18" t="n">
        <x:f>E73*G73</x:f>
        <x:v>0</x:v>
      </x:c>
      <x:c r="R73" s="18" t="n">
        <x:f>E73*H73</x:f>
        <x:v>0</x:v>
      </x:c>
      <x:c r="S73" s="2" t="n">
        <x:v>27</x:v>
      </x:c>
    </x:row>
    <x:row r="74" ht="21" customHeight="1">
      <x:c r="A74" s="36" t="n">
        <x:v>45658.27289227116</x:v>
      </x:c>
      <x:c r="B74" s="36" t="n">
        <x:v>45658.28125</x:v>
      </x:c>
      <x:c r="C74" s="36" t="n">
        <x:v>45658.270833333336</x:v>
      </x:c>
      <x:c r="D74" s="2" t="str">
        <x:v>0</x:v>
      </x:c>
      <x:c r="E74" s="18" t="n">
        <x:v>0.20058549222797928</x:v>
      </x:c>
      <x:c r="F74" s="18" t="n">
        <x:f>IF(D74="d",'两日价格与决策'!K33-'两日价格与决策'!N33,IF(D74="u",'两日价格与决策'!K33+'两日价格与决策'!M33,'两日价格与决策'!K33))</x:f>
        <x:v>0</x:v>
      </x:c>
      <x:c r="G74" s="18" t="n">
        <x:f>MAX(-F74,0)</x:f>
        <x:v>0</x:v>
      </x:c>
      <x:c r="H74" s="18" t="n">
        <x:f>MAX(F74,0)</x:f>
        <x:v>0</x:v>
      </x:c>
      <x:c r="I74" s="18" t="n">
        <x:f>J73</x:f>
        <x:v>10</x:v>
      </x:c>
      <x:c r="J74" s="18" t="n">
        <x:f>I74+E74*(G74*'原始输入与口径'!$D$5-H74/'原始输入与口径'!$D$5)</x:f>
        <x:v>10</x:v>
      </x:c>
      <x:c r="K74" s="18" t="n">
        <x:v>10</x:v>
      </x:c>
      <x:c r="L74" s="18" t="n">
        <x:v>10</x:v>
      </x:c>
      <x:c r="M74" s="18" t="n">
        <x:f>J74-L74</x:f>
        <x:v>0</x:v>
      </x:c>
      <x:c r="N74" s="18" t="n">
        <x:f>E74*(G74*'原始输入与口径'!$D$5+H74/'原始输入与口径'!$D$5)/'原始输入与口径'!$H$5</x:f>
        <x:v>0</x:v>
      </x:c>
      <x:c r="O74" s="18" t="n">
        <x:v>0</x:v>
      </x:c>
      <x:c r="P74" s="18" t="n">
        <x:f>N74-O74</x:f>
        <x:v>0</x:v>
      </x:c>
      <x:c r="Q74" s="18" t="n">
        <x:f>E74*G74</x:f>
        <x:v>0</x:v>
      </x:c>
      <x:c r="R74" s="18" t="n">
        <x:f>E74*H74</x:f>
        <x:v>0</x:v>
      </x:c>
      <x:c r="S74" s="2" t="n">
        <x:v>27</x:v>
      </x:c>
    </x:row>
    <x:row r="75" ht="21" customHeight="1">
      <x:c r="A75" s="36" t="n">
        <x:v>45658.28125</x:v>
      </x:c>
      <x:c r="B75" s="36" t="n">
        <x:v>45658.283708333336</x:v>
      </x:c>
      <x:c r="C75" s="36" t="n">
        <x:v>45658.28125</x:v>
      </x:c>
      <x:c r="D75" s="2" t="str">
        <x:v>u</x:v>
      </x:c>
      <x:c r="E75" s="18" t="n">
        <x:v>0.059000000000000004</x:v>
      </x:c>
      <x:c r="F75" s="18" t="n">
        <x:f>IF(D75="d",'两日价格与决策'!K34-'两日价格与决策'!N34,IF(D75="u",'两日价格与决策'!K34+'两日价格与决策'!M34,'两日价格与决策'!K34))</x:f>
        <x:v>0</x:v>
      </x:c>
      <x:c r="G75" s="18" t="n">
        <x:f>MAX(-F75,0)</x:f>
        <x:v>0</x:v>
      </x:c>
      <x:c r="H75" s="18" t="n">
        <x:f>MAX(F75,0)</x:f>
        <x:v>0</x:v>
      </x:c>
      <x:c r="I75" s="18" t="n">
        <x:f>J74</x:f>
        <x:v>10</x:v>
      </x:c>
      <x:c r="J75" s="18" t="n">
        <x:f>I75+E75*(G75*'原始输入与口径'!$D$5-H75/'原始输入与口径'!$D$5)</x:f>
        <x:v>10</x:v>
      </x:c>
      <x:c r="K75" s="18" t="n">
        <x:v>10</x:v>
      </x:c>
      <x:c r="L75" s="18" t="n">
        <x:v>10</x:v>
      </x:c>
      <x:c r="M75" s="18" t="n">
        <x:f>J75-L75</x:f>
        <x:v>0</x:v>
      </x:c>
      <x:c r="N75" s="18" t="n">
        <x:f>E75*(G75*'原始输入与口径'!$D$5+H75/'原始输入与口径'!$D$5)/'原始输入与口径'!$H$5</x:f>
        <x:v>0</x:v>
      </x:c>
      <x:c r="O75" s="18" t="n">
        <x:v>0</x:v>
      </x:c>
      <x:c r="P75" s="18" t="n">
        <x:f>N75-O75</x:f>
        <x:v>0</x:v>
      </x:c>
      <x:c r="Q75" s="18" t="n">
        <x:f>E75*G75</x:f>
        <x:v>0</x:v>
      </x:c>
      <x:c r="R75" s="18" t="n">
        <x:f>E75*H75</x:f>
        <x:v>0</x:v>
      </x:c>
      <x:c r="S75" s="2" t="n">
        <x:v>28</x:v>
      </x:c>
    </x:row>
    <x:row r="76" ht="21" customHeight="1">
      <x:c r="A76" s="36" t="n">
        <x:v>45658.283708333336</x:v>
      </x:c>
      <x:c r="B76" s="36" t="n">
        <x:v>45658.291666666664</x:v>
      </x:c>
      <x:c r="C76" s="36" t="n">
        <x:v>45658.28125</x:v>
      </x:c>
      <x:c r="D76" s="2" t="str">
        <x:v>0</x:v>
      </x:c>
      <x:c r="E76" s="18" t="n">
        <x:v>0.191</x:v>
      </x:c>
      <x:c r="F76" s="18" t="n">
        <x:f>IF(D76="d",'两日价格与决策'!K34-'两日价格与决策'!N34,IF(D76="u",'两日价格与决策'!K34+'两日价格与决策'!M34,'两日价格与决策'!K34))</x:f>
        <x:v>0</x:v>
      </x:c>
      <x:c r="G76" s="18" t="n">
        <x:f>MAX(-F76,0)</x:f>
        <x:v>0</x:v>
      </x:c>
      <x:c r="H76" s="18" t="n">
        <x:f>MAX(F76,0)</x:f>
        <x:v>0</x:v>
      </x:c>
      <x:c r="I76" s="18" t="n">
        <x:f>J75</x:f>
        <x:v>10</x:v>
      </x:c>
      <x:c r="J76" s="18" t="n">
        <x:f>I76+E76*(G76*'原始输入与口径'!$D$5-H76/'原始输入与口径'!$D$5)</x:f>
        <x:v>10</x:v>
      </x:c>
      <x:c r="K76" s="18" t="n">
        <x:v>10</x:v>
      </x:c>
      <x:c r="L76" s="18" t="n">
        <x:v>10</x:v>
      </x:c>
      <x:c r="M76" s="18" t="n">
        <x:f>J76-L76</x:f>
        <x:v>0</x:v>
      </x:c>
      <x:c r="N76" s="18" t="n">
        <x:f>E76*(G76*'原始输入与口径'!$D$5+H76/'原始输入与口径'!$D$5)/'原始输入与口径'!$H$5</x:f>
        <x:v>0</x:v>
      </x:c>
      <x:c r="O76" s="18" t="n">
        <x:v>0</x:v>
      </x:c>
      <x:c r="P76" s="18" t="n">
        <x:f>N76-O76</x:f>
        <x:v>0</x:v>
      </x:c>
      <x:c r="Q76" s="18" t="n">
        <x:f>E76*G76</x:f>
        <x:v>0</x:v>
      </x:c>
      <x:c r="R76" s="18" t="n">
        <x:f>E76*H76</x:f>
        <x:v>0</x:v>
      </x:c>
      <x:c r="S76" s="2" t="n">
        <x:v>28</x:v>
      </x:c>
    </x:row>
    <x:row r="77" ht="21" customHeight="1">
      <x:c r="A77" s="36" t="n">
        <x:v>45658.291666666664</x:v>
      </x:c>
      <x:c r="B77" s="36" t="n">
        <x:v>45658.29520208333</x:v>
      </x:c>
      <x:c r="C77" s="36" t="n">
        <x:v>45658.291666666664</x:v>
      </x:c>
      <x:c r="D77" s="2" t="str">
        <x:v>u</x:v>
      </x:c>
      <x:c r="E77" s="18" t="n">
        <x:v>0.08485</x:v>
      </x:c>
      <x:c r="F77" s="18" t="n">
        <x:f>IF(D77="d",'两日价格与决策'!K35-'两日价格与决策'!N35,IF(D77="u",'两日价格与决策'!K35+'两日价格与决策'!M35,'两日价格与决策'!K35))</x:f>
        <x:v>0</x:v>
      </x:c>
      <x:c r="G77" s="18" t="n">
        <x:f>MAX(-F77,0)</x:f>
        <x:v>0</x:v>
      </x:c>
      <x:c r="H77" s="18" t="n">
        <x:f>MAX(F77,0)</x:f>
        <x:v>0</x:v>
      </x:c>
      <x:c r="I77" s="18" t="n">
        <x:f>J76</x:f>
        <x:v>10</x:v>
      </x:c>
      <x:c r="J77" s="18" t="n">
        <x:f>I77+E77*(G77*'原始输入与口径'!$D$5-H77/'原始输入与口径'!$D$5)</x:f>
        <x:v>10</x:v>
      </x:c>
      <x:c r="K77" s="18" t="n">
        <x:v>10</x:v>
      </x:c>
      <x:c r="L77" s="18" t="n">
        <x:v>10</x:v>
      </x:c>
      <x:c r="M77" s="18" t="n">
        <x:f>J77-L77</x:f>
        <x:v>0</x:v>
      </x:c>
      <x:c r="N77" s="18" t="n">
        <x:f>E77*(G77*'原始输入与口径'!$D$5+H77/'原始输入与口径'!$D$5)/'原始输入与口径'!$H$5</x:f>
        <x:v>0</x:v>
      </x:c>
      <x:c r="O77" s="18" t="n">
        <x:v>0</x:v>
      </x:c>
      <x:c r="P77" s="18" t="n">
        <x:f>N77-O77</x:f>
        <x:v>0</x:v>
      </x:c>
      <x:c r="Q77" s="18" t="n">
        <x:f>E77*G77</x:f>
        <x:v>0</x:v>
      </x:c>
      <x:c r="R77" s="18" t="n">
        <x:f>E77*H77</x:f>
        <x:v>0</x:v>
      </x:c>
      <x:c r="S77" s="2" t="n">
        <x:v>29</x:v>
      </x:c>
    </x:row>
    <x:row r="78" ht="21" customHeight="1">
      <x:c r="A78" s="36" t="n">
        <x:v>45658.29520208333</x:v>
      </x:c>
      <x:c r="B78" s="36" t="n">
        <x:v>45658.30208333333</x:v>
      </x:c>
      <x:c r="C78" s="36" t="n">
        <x:v>45658.291666666664</x:v>
      </x:c>
      <x:c r="D78" s="2" t="str">
        <x:v>0</x:v>
      </x:c>
      <x:c r="E78" s="18" t="n">
        <x:v>0.16515000000000002</x:v>
      </x:c>
      <x:c r="F78" s="18" t="n">
        <x:f>IF(D78="d",'两日价格与决策'!K35-'两日价格与决策'!N35,IF(D78="u",'两日价格与决策'!K35+'两日价格与决策'!M35,'两日价格与决策'!K35))</x:f>
        <x:v>0</x:v>
      </x:c>
      <x:c r="G78" s="18" t="n">
        <x:f>MAX(-F78,0)</x:f>
        <x:v>0</x:v>
      </x:c>
      <x:c r="H78" s="18" t="n">
        <x:f>MAX(F78,0)</x:f>
        <x:v>0</x:v>
      </x:c>
      <x:c r="I78" s="18" t="n">
        <x:f>J77</x:f>
        <x:v>10</x:v>
      </x:c>
      <x:c r="J78" s="18" t="n">
        <x:f>I78+E78*(G78*'原始输入与口径'!$D$5-H78/'原始输入与口径'!$D$5)</x:f>
        <x:v>10</x:v>
      </x:c>
      <x:c r="K78" s="18" t="n">
        <x:v>10</x:v>
      </x:c>
      <x:c r="L78" s="18" t="n">
        <x:v>10</x:v>
      </x:c>
      <x:c r="M78" s="18" t="n">
        <x:f>J78-L78</x:f>
        <x:v>0</x:v>
      </x:c>
      <x:c r="N78" s="18" t="n">
        <x:f>E78*(G78*'原始输入与口径'!$D$5+H78/'原始输入与口径'!$D$5)/'原始输入与口径'!$H$5</x:f>
        <x:v>0</x:v>
      </x:c>
      <x:c r="O78" s="18" t="n">
        <x:v>0</x:v>
      </x:c>
      <x:c r="P78" s="18" t="n">
        <x:f>N78-O78</x:f>
        <x:v>0</x:v>
      </x:c>
      <x:c r="Q78" s="18" t="n">
        <x:f>E78*G78</x:f>
        <x:v>0</x:v>
      </x:c>
      <x:c r="R78" s="18" t="n">
        <x:f>E78*H78</x:f>
        <x:v>0</x:v>
      </x:c>
      <x:c r="S78" s="2" t="n">
        <x:v>29</x:v>
      </x:c>
    </x:row>
    <x:row r="79" ht="21" customHeight="1">
      <x:c r="A79" s="36" t="n">
        <x:v>45658.302083333336</x:v>
      </x:c>
      <x:c r="B79" s="36" t="n">
        <x:v>45658.30626916667</x:v>
      </x:c>
      <x:c r="C79" s="36" t="n">
        <x:v>45658.302083333336</x:v>
      </x:c>
      <x:c r="D79" s="2" t="str">
        <x:v>u</x:v>
      </x:c>
      <x:c r="E79" s="18" t="n">
        <x:v>0.10046</x:v>
      </x:c>
      <x:c r="F79" s="18" t="n">
        <x:f>IF(D79="d",'两日价格与决策'!K36-'两日价格与决策'!N36,IF(D79="u",'两日价格与决策'!K36+'两日价格与决策'!M36,'两日价格与决策'!K36))</x:f>
        <x:v>0</x:v>
      </x:c>
      <x:c r="G79" s="18" t="n">
        <x:f>MAX(-F79,0)</x:f>
        <x:v>0</x:v>
      </x:c>
      <x:c r="H79" s="18" t="n">
        <x:f>MAX(F79,0)</x:f>
        <x:v>0</x:v>
      </x:c>
      <x:c r="I79" s="18" t="n">
        <x:f>J78</x:f>
        <x:v>10</x:v>
      </x:c>
      <x:c r="J79" s="18" t="n">
        <x:f>I79+E79*(G79*'原始输入与口径'!$D$5-H79/'原始输入与口径'!$D$5)</x:f>
        <x:v>10</x:v>
      </x:c>
      <x:c r="K79" s="18" t="n">
        <x:v>10</x:v>
      </x:c>
      <x:c r="L79" s="18" t="n">
        <x:v>10</x:v>
      </x:c>
      <x:c r="M79" s="18" t="n">
        <x:f>J79-L79</x:f>
        <x:v>0</x:v>
      </x:c>
      <x:c r="N79" s="18" t="n">
        <x:f>E79*(G79*'原始输入与口径'!$D$5+H79/'原始输入与口径'!$D$5)/'原始输入与口径'!$H$5</x:f>
        <x:v>0</x:v>
      </x:c>
      <x:c r="O79" s="18" t="n">
        <x:v>0</x:v>
      </x:c>
      <x:c r="P79" s="18" t="n">
        <x:f>N79-O79</x:f>
        <x:v>0</x:v>
      </x:c>
      <x:c r="Q79" s="18" t="n">
        <x:f>E79*G79</x:f>
        <x:v>0</x:v>
      </x:c>
      <x:c r="R79" s="18" t="n">
        <x:f>E79*H79</x:f>
        <x:v>0</x:v>
      </x:c>
      <x:c r="S79" s="2" t="n">
        <x:v>30</x:v>
      </x:c>
    </x:row>
    <x:row r="80" ht="21" customHeight="1">
      <x:c r="A80" s="36" t="n">
        <x:v>45658.30626916667</x:v>
      </x:c>
      <x:c r="B80" s="36" t="n">
        <x:v>45658.3125</x:v>
      </x:c>
      <x:c r="C80" s="36" t="n">
        <x:v>45658.302083333336</x:v>
      </x:c>
      <x:c r="D80" s="2" t="str">
        <x:v>0</x:v>
      </x:c>
      <x:c r="E80" s="18" t="n">
        <x:v>0.14954</x:v>
      </x:c>
      <x:c r="F80" s="18" t="n">
        <x:f>IF(D80="d",'两日价格与决策'!K36-'两日价格与决策'!N36,IF(D80="u",'两日价格与决策'!K36+'两日价格与决策'!M36,'两日价格与决策'!K36))</x:f>
        <x:v>0</x:v>
      </x:c>
      <x:c r="G80" s="18" t="n">
        <x:f>MAX(-F80,0)</x:f>
        <x:v>0</x:v>
      </x:c>
      <x:c r="H80" s="18" t="n">
        <x:f>MAX(F80,0)</x:f>
        <x:v>0</x:v>
      </x:c>
      <x:c r="I80" s="18" t="n">
        <x:f>J79</x:f>
        <x:v>10</x:v>
      </x:c>
      <x:c r="J80" s="18" t="n">
        <x:f>I80+E80*(G80*'原始输入与口径'!$D$5-H80/'原始输入与口径'!$D$5)</x:f>
        <x:v>10</x:v>
      </x:c>
      <x:c r="K80" s="18" t="n">
        <x:v>10</x:v>
      </x:c>
      <x:c r="L80" s="18" t="n">
        <x:v>10</x:v>
      </x:c>
      <x:c r="M80" s="18" t="n">
        <x:f>J80-L80</x:f>
        <x:v>0</x:v>
      </x:c>
      <x:c r="N80" s="18" t="n">
        <x:f>E80*(G80*'原始输入与口径'!$D$5+H80/'原始输入与口径'!$D$5)/'原始输入与口径'!$H$5</x:f>
        <x:v>0</x:v>
      </x:c>
      <x:c r="O80" s="18" t="n">
        <x:v>0</x:v>
      </x:c>
      <x:c r="P80" s="18" t="n">
        <x:f>N80-O80</x:f>
        <x:v>0</x:v>
      </x:c>
      <x:c r="Q80" s="18" t="n">
        <x:f>E80*G80</x:f>
        <x:v>0</x:v>
      </x:c>
      <x:c r="R80" s="18" t="n">
        <x:f>E80*H80</x:f>
        <x:v>0</x:v>
      </x:c>
      <x:c r="S80" s="2" t="n">
        <x:v>30</x:v>
      </x:c>
    </x:row>
    <x:row r="81" ht="21" customHeight="1">
      <x:c r="A81" s="36" t="n">
        <x:v>45658.3125</x:v>
      </x:c>
      <x:c r="B81" s="36" t="n">
        <x:v>45658.314901666665</x:v>
      </x:c>
      <x:c r="C81" s="36" t="n">
        <x:v>45658.3125</x:v>
      </x:c>
      <x:c r="D81" s="2" t="str">
        <x:v>u</x:v>
      </x:c>
      <x:c r="E81" s="18" t="n">
        <x:v>0.057640000000000004</x:v>
      </x:c>
      <x:c r="F81" s="18" t="n">
        <x:f>IF(D81="d",'两日价格与决策'!K37-'两日价格与决策'!N37,IF(D81="u",'两日价格与决策'!K37+'两日价格与决策'!M37,'两日价格与决策'!K37))</x:f>
        <x:v>0</x:v>
      </x:c>
      <x:c r="G81" s="18" t="n">
        <x:f>MAX(-F81,0)</x:f>
        <x:v>0</x:v>
      </x:c>
      <x:c r="H81" s="18" t="n">
        <x:f>MAX(F81,0)</x:f>
        <x:v>0</x:v>
      </x:c>
      <x:c r="I81" s="18" t="n">
        <x:f>J80</x:f>
        <x:v>10</x:v>
      </x:c>
      <x:c r="J81" s="18" t="n">
        <x:f>I81+E81*(G81*'原始输入与口径'!$D$5-H81/'原始输入与口径'!$D$5)</x:f>
        <x:v>10</x:v>
      </x:c>
      <x:c r="K81" s="18" t="n">
        <x:v>10</x:v>
      </x:c>
      <x:c r="L81" s="18" t="n">
        <x:v>10</x:v>
      </x:c>
      <x:c r="M81" s="18" t="n">
        <x:f>J81-L81</x:f>
        <x:v>0</x:v>
      </x:c>
      <x:c r="N81" s="18" t="n">
        <x:f>E81*(G81*'原始输入与口径'!$D$5+H81/'原始输入与口径'!$D$5)/'原始输入与口径'!$H$5</x:f>
        <x:v>0</x:v>
      </x:c>
      <x:c r="O81" s="18" t="n">
        <x:v>0</x:v>
      </x:c>
      <x:c r="P81" s="18" t="n">
        <x:f>N81-O81</x:f>
        <x:v>0</x:v>
      </x:c>
      <x:c r="Q81" s="18" t="n">
        <x:f>E81*G81</x:f>
        <x:v>0</x:v>
      </x:c>
      <x:c r="R81" s="18" t="n">
        <x:f>E81*H81</x:f>
        <x:v>0</x:v>
      </x:c>
      <x:c r="S81" s="2" t="n">
        <x:v>31</x:v>
      </x:c>
    </x:row>
    <x:row r="82" ht="21" customHeight="1">
      <x:c r="A82" s="36" t="n">
        <x:v>45658.314901666665</x:v>
      </x:c>
      <x:c r="B82" s="36" t="n">
        <x:v>45658.322916666664</x:v>
      </x:c>
      <x:c r="C82" s="36" t="n">
        <x:v>45658.3125</x:v>
      </x:c>
      <x:c r="D82" s="2" t="str">
        <x:v>0</x:v>
      </x:c>
      <x:c r="E82" s="18" t="n">
        <x:v>0.19236</x:v>
      </x:c>
      <x:c r="F82" s="18" t="n">
        <x:f>IF(D82="d",'两日价格与决策'!K37-'两日价格与决策'!N37,IF(D82="u",'两日价格与决策'!K37+'两日价格与决策'!M37,'两日价格与决策'!K37))</x:f>
        <x:v>0</x:v>
      </x:c>
      <x:c r="G82" s="18" t="n">
        <x:f>MAX(-F82,0)</x:f>
        <x:v>0</x:v>
      </x:c>
      <x:c r="H82" s="18" t="n">
        <x:f>MAX(F82,0)</x:f>
        <x:v>0</x:v>
      </x:c>
      <x:c r="I82" s="18" t="n">
        <x:f>J81</x:f>
        <x:v>10</x:v>
      </x:c>
      <x:c r="J82" s="18" t="n">
        <x:f>I82+E82*(G82*'原始输入与口径'!$D$5-H82/'原始输入与口径'!$D$5)</x:f>
        <x:v>10</x:v>
      </x:c>
      <x:c r="K82" s="18" t="n">
        <x:v>10</x:v>
      </x:c>
      <x:c r="L82" s="18" t="n">
        <x:v>10</x:v>
      </x:c>
      <x:c r="M82" s="18" t="n">
        <x:f>J82-L82</x:f>
        <x:v>0</x:v>
      </x:c>
      <x:c r="N82" s="18" t="n">
        <x:f>E82*(G82*'原始输入与口径'!$D$5+H82/'原始输入与口径'!$D$5)/'原始输入与口径'!$H$5</x:f>
        <x:v>0</x:v>
      </x:c>
      <x:c r="O82" s="18" t="n">
        <x:v>0</x:v>
      </x:c>
      <x:c r="P82" s="18" t="n">
        <x:f>N82-O82</x:f>
        <x:v>0</x:v>
      </x:c>
      <x:c r="Q82" s="18" t="n">
        <x:f>E82*G82</x:f>
        <x:v>0</x:v>
      </x:c>
      <x:c r="R82" s="18" t="n">
        <x:f>E82*H82</x:f>
        <x:v>0</x:v>
      </x:c>
      <x:c r="S82" s="2" t="n">
        <x:v>31</x:v>
      </x:c>
    </x:row>
    <x:row r="83" ht="21" customHeight="1">
      <x:c r="A83" s="36" t="n">
        <x:v>45658.322916666664</x:v>
      </x:c>
      <x:c r="B83" s="36" t="n">
        <x:v>45658.323334374996</x:v>
      </x:c>
      <x:c r="C83" s="36" t="n">
        <x:v>45658.322916666664</x:v>
      </x:c>
      <x:c r="D83" s="2" t="str">
        <x:v>u</x:v>
      </x:c>
      <x:c r="E83" s="18" t="n">
        <x:v>0.010025</x:v>
      </x:c>
      <x:c r="F83" s="18" t="n">
        <x:f>IF(D83="d",'两日价格与决策'!K38-'两日价格与决策'!N38,IF(D83="u",'两日价格与决策'!K38+'两日价格与决策'!M38,'两日价格与决策'!K38))</x:f>
        <x:v>0</x:v>
      </x:c>
      <x:c r="G83" s="18" t="n">
        <x:f>MAX(-F83,0)</x:f>
        <x:v>0</x:v>
      </x:c>
      <x:c r="H83" s="18" t="n">
        <x:f>MAX(F83,0)</x:f>
        <x:v>0</x:v>
      </x:c>
      <x:c r="I83" s="18" t="n">
        <x:f>J82</x:f>
        <x:v>10</x:v>
      </x:c>
      <x:c r="J83" s="18" t="n">
        <x:f>I83+E83*(G83*'原始输入与口径'!$D$5-H83/'原始输入与口径'!$D$5)</x:f>
        <x:v>10</x:v>
      </x:c>
      <x:c r="K83" s="18" t="n">
        <x:v>10</x:v>
      </x:c>
      <x:c r="L83" s="18" t="n">
        <x:v>10</x:v>
      </x:c>
      <x:c r="M83" s="18" t="n">
        <x:f>J83-L83</x:f>
        <x:v>0</x:v>
      </x:c>
      <x:c r="N83" s="18" t="n">
        <x:f>E83*(G83*'原始输入与口径'!$D$5+H83/'原始输入与口径'!$D$5)/'原始输入与口径'!$H$5</x:f>
        <x:v>0</x:v>
      </x:c>
      <x:c r="O83" s="18" t="n">
        <x:v>0</x:v>
      </x:c>
      <x:c r="P83" s="18" t="n">
        <x:f>N83-O83</x:f>
        <x:v>0</x:v>
      </x:c>
      <x:c r="Q83" s="18" t="n">
        <x:f>E83*G83</x:f>
        <x:v>0</x:v>
      </x:c>
      <x:c r="R83" s="18" t="n">
        <x:f>E83*H83</x:f>
        <x:v>0</x:v>
      </x:c>
      <x:c r="S83" s="2" t="n">
        <x:v>32</x:v>
      </x:c>
    </x:row>
    <x:row r="84" ht="21" customHeight="1">
      <x:c r="A84" s="36" t="n">
        <x:v>45658.323334374996</x:v>
      </x:c>
      <x:c r="B84" s="36" t="n">
        <x:v>45658.33333333333</x:v>
      </x:c>
      <x:c r="C84" s="36" t="n">
        <x:v>45658.322916666664</x:v>
      </x:c>
      <x:c r="D84" s="2" t="str">
        <x:v>0</x:v>
      </x:c>
      <x:c r="E84" s="18" t="n">
        <x:v>0.239975</x:v>
      </x:c>
      <x:c r="F84" s="18" t="n">
        <x:f>IF(D84="d",'两日价格与决策'!K38-'两日价格与决策'!N38,IF(D84="u",'两日价格与决策'!K38+'两日价格与决策'!M38,'两日价格与决策'!K38))</x:f>
        <x:v>0</x:v>
      </x:c>
      <x:c r="G84" s="18" t="n">
        <x:f>MAX(-F84,0)</x:f>
        <x:v>0</x:v>
      </x:c>
      <x:c r="H84" s="18" t="n">
        <x:f>MAX(F84,0)</x:f>
        <x:v>0</x:v>
      </x:c>
      <x:c r="I84" s="18" t="n">
        <x:f>J83</x:f>
        <x:v>10</x:v>
      </x:c>
      <x:c r="J84" s="18" t="n">
        <x:f>I84+E84*(G84*'原始输入与口径'!$D$5-H84/'原始输入与口径'!$D$5)</x:f>
        <x:v>10</x:v>
      </x:c>
      <x:c r="K84" s="18" t="n">
        <x:v>10</x:v>
      </x:c>
      <x:c r="L84" s="18" t="n">
        <x:v>10</x:v>
      </x:c>
      <x:c r="M84" s="18" t="n">
        <x:f>J84-L84</x:f>
        <x:v>0</x:v>
      </x:c>
      <x:c r="N84" s="18" t="n">
        <x:f>E84*(G84*'原始输入与口径'!$D$5+H84/'原始输入与口径'!$D$5)/'原始输入与口径'!$H$5</x:f>
        <x:v>0</x:v>
      </x:c>
      <x:c r="O84" s="18" t="n">
        <x:v>0</x:v>
      </x:c>
      <x:c r="P84" s="18" t="n">
        <x:f>N84-O84</x:f>
        <x:v>0</x:v>
      </x:c>
      <x:c r="Q84" s="18" t="n">
        <x:f>E84*G84</x:f>
        <x:v>0</x:v>
      </x:c>
      <x:c r="R84" s="18" t="n">
        <x:f>E84*H84</x:f>
        <x:v>0</x:v>
      </x:c>
      <x:c r="S84" s="2" t="n">
        <x:v>32</x:v>
      </x:c>
    </x:row>
    <x:row r="85" ht="21" customHeight="1">
      <x:c r="A85" s="36" t="n">
        <x:v>45658.333333333336</x:v>
      </x:c>
      <x:c r="B85" s="36" t="n">
        <x:v>45658.335184166666</x:v>
      </x:c>
      <x:c r="C85" s="36" t="n">
        <x:v>45658.333333333336</x:v>
      </x:c>
      <x:c r="D85" s="2" t="str">
        <x:v>u</x:v>
      </x:c>
      <x:c r="E85" s="18" t="n">
        <x:v>0.04442</x:v>
      </x:c>
      <x:c r="F85" s="18" t="n">
        <x:f>IF(D85="d",'两日价格与决策'!K39-'两日价格与决策'!N39,IF(D85="u",'两日价格与决策'!K39+'两日价格与决策'!M39,'两日价格与决策'!K39))</x:f>
        <x:v>0</x:v>
      </x:c>
      <x:c r="G85" s="18" t="n">
        <x:f>MAX(-F85,0)</x:f>
        <x:v>0</x:v>
      </x:c>
      <x:c r="H85" s="18" t="n">
        <x:f>MAX(F85,0)</x:f>
        <x:v>0</x:v>
      </x:c>
      <x:c r="I85" s="18" t="n">
        <x:f>J84</x:f>
        <x:v>10</x:v>
      </x:c>
      <x:c r="J85" s="18" t="n">
        <x:f>I85+E85*(G85*'原始输入与口径'!$D$5-H85/'原始输入与口径'!$D$5)</x:f>
        <x:v>10</x:v>
      </x:c>
      <x:c r="K85" s="18" t="n">
        <x:v>10</x:v>
      </x:c>
      <x:c r="L85" s="18" t="n">
        <x:v>10</x:v>
      </x:c>
      <x:c r="M85" s="18" t="n">
        <x:f>J85-L85</x:f>
        <x:v>0</x:v>
      </x:c>
      <x:c r="N85" s="18" t="n">
        <x:f>E85*(G85*'原始输入与口径'!$D$5+H85/'原始输入与口径'!$D$5)/'原始输入与口径'!$H$5</x:f>
        <x:v>0</x:v>
      </x:c>
      <x:c r="O85" s="18" t="n">
        <x:v>0</x:v>
      </x:c>
      <x:c r="P85" s="18" t="n">
        <x:f>N85-O85</x:f>
        <x:v>0</x:v>
      </x:c>
      <x:c r="Q85" s="18" t="n">
        <x:f>E85*G85</x:f>
        <x:v>0</x:v>
      </x:c>
      <x:c r="R85" s="18" t="n">
        <x:f>E85*H85</x:f>
        <x:v>0</x:v>
      </x:c>
      <x:c r="S85" s="2" t="n">
        <x:v>33</x:v>
      </x:c>
    </x:row>
    <x:row r="86" ht="21" customHeight="1">
      <x:c r="A86" s="36" t="n">
        <x:v>45658.335184166666</x:v>
      </x:c>
      <x:c r="B86" s="36" t="n">
        <x:v>45658.34375</x:v>
      </x:c>
      <x:c r="C86" s="36" t="n">
        <x:v>45658.333333333336</x:v>
      </x:c>
      <x:c r="D86" s="2" t="str">
        <x:v>0</x:v>
      </x:c>
      <x:c r="E86" s="18" t="n">
        <x:v>0.20557999999999998</x:v>
      </x:c>
      <x:c r="F86" s="18" t="n">
        <x:f>IF(D86="d",'两日价格与决策'!K39-'两日价格与决策'!N39,IF(D86="u",'两日价格与决策'!K39+'两日价格与决策'!M39,'两日价格与决策'!K39))</x:f>
        <x:v>0</x:v>
      </x:c>
      <x:c r="G86" s="18" t="n">
        <x:f>MAX(-F86,0)</x:f>
        <x:v>0</x:v>
      </x:c>
      <x:c r="H86" s="18" t="n">
        <x:f>MAX(F86,0)</x:f>
        <x:v>0</x:v>
      </x:c>
      <x:c r="I86" s="18" t="n">
        <x:f>J85</x:f>
        <x:v>10</x:v>
      </x:c>
      <x:c r="J86" s="18" t="n">
        <x:f>I86+E86*(G86*'原始输入与口径'!$D$5-H86/'原始输入与口径'!$D$5)</x:f>
        <x:v>10</x:v>
      </x:c>
      <x:c r="K86" s="18" t="n">
        <x:v>10</x:v>
      </x:c>
      <x:c r="L86" s="18" t="n">
        <x:v>10</x:v>
      </x:c>
      <x:c r="M86" s="18" t="n">
        <x:f>J86-L86</x:f>
        <x:v>0</x:v>
      </x:c>
      <x:c r="N86" s="18" t="n">
        <x:f>E86*(G86*'原始输入与口径'!$D$5+H86/'原始输入与口径'!$D$5)/'原始输入与口径'!$H$5</x:f>
        <x:v>0</x:v>
      </x:c>
      <x:c r="O86" s="18" t="n">
        <x:v>0</x:v>
      </x:c>
      <x:c r="P86" s="18" t="n">
        <x:f>N86-O86</x:f>
        <x:v>0</x:v>
      </x:c>
      <x:c r="Q86" s="18" t="n">
        <x:f>E86*G86</x:f>
        <x:v>0</x:v>
      </x:c>
      <x:c r="R86" s="18" t="n">
        <x:f>E86*H86</x:f>
        <x:v>0</x:v>
      </x:c>
      <x:c r="S86" s="2" t="n">
        <x:v>33</x:v>
      </x:c>
    </x:row>
    <x:row r="87" ht="21" customHeight="1">
      <x:c r="A87" s="36" t="n">
        <x:v>45658.34375</x:v>
      </x:c>
      <x:c r="B87" s="36" t="n">
        <x:v>45658.34404875</x:v>
      </x:c>
      <x:c r="C87" s="36" t="n">
        <x:v>45658.34375</x:v>
      </x:c>
      <x:c r="D87" s="2" t="str">
        <x:v>u</x:v>
      </x:c>
      <x:c r="E87" s="18" t="n">
        <x:v>0.007169999999999999</x:v>
      </x:c>
      <x:c r="F87" s="18" t="n">
        <x:f>IF(D87="d",'两日价格与决策'!K40-'两日价格与决策'!N40,IF(D87="u",'两日价格与决策'!K40+'两日价格与决策'!M40,'两日价格与决策'!K40))</x:f>
        <x:v>0</x:v>
      </x:c>
      <x:c r="G87" s="18" t="n">
        <x:f>MAX(-F87,0)</x:f>
        <x:v>0</x:v>
      </x:c>
      <x:c r="H87" s="18" t="n">
        <x:f>MAX(F87,0)</x:f>
        <x:v>0</x:v>
      </x:c>
      <x:c r="I87" s="18" t="n">
        <x:f>J86</x:f>
        <x:v>10</x:v>
      </x:c>
      <x:c r="J87" s="18" t="n">
        <x:f>I87+E87*(G87*'原始输入与口径'!$D$5-H87/'原始输入与口径'!$D$5)</x:f>
        <x:v>10</x:v>
      </x:c>
      <x:c r="K87" s="18" t="n">
        <x:v>10</x:v>
      </x:c>
      <x:c r="L87" s="18" t="n">
        <x:v>10</x:v>
      </x:c>
      <x:c r="M87" s="18" t="n">
        <x:f>J87-L87</x:f>
        <x:v>0</x:v>
      </x:c>
      <x:c r="N87" s="18" t="n">
        <x:f>E87*(G87*'原始输入与口径'!$D$5+H87/'原始输入与口径'!$D$5)/'原始输入与口径'!$H$5</x:f>
        <x:v>0</x:v>
      </x:c>
      <x:c r="O87" s="18" t="n">
        <x:v>0</x:v>
      </x:c>
      <x:c r="P87" s="18" t="n">
        <x:f>N87-O87</x:f>
        <x:v>0</x:v>
      </x:c>
      <x:c r="Q87" s="18" t="n">
        <x:f>E87*G87</x:f>
        <x:v>0</x:v>
      </x:c>
      <x:c r="R87" s="18" t="n">
        <x:f>E87*H87</x:f>
        <x:v>0</x:v>
      </x:c>
      <x:c r="S87" s="2" t="n">
        <x:v>34</x:v>
      </x:c>
    </x:row>
    <x:row r="88" ht="21" customHeight="1">
      <x:c r="A88" s="36" t="n">
        <x:v>45658.34404875</x:v>
      </x:c>
      <x:c r="B88" s="36" t="n">
        <x:v>45658.354166666664</x:v>
      </x:c>
      <x:c r="C88" s="36" t="n">
        <x:v>45658.34375</x:v>
      </x:c>
      <x:c r="D88" s="2" t="str">
        <x:v>0</x:v>
      </x:c>
      <x:c r="E88" s="18" t="n">
        <x:v>0.24283</x:v>
      </x:c>
      <x:c r="F88" s="18" t="n">
        <x:f>IF(D88="d",'两日价格与决策'!K40-'两日价格与决策'!N40,IF(D88="u",'两日价格与决策'!K40+'两日价格与决策'!M40,'两日价格与决策'!K40))</x:f>
        <x:v>0</x:v>
      </x:c>
      <x:c r="G88" s="18" t="n">
        <x:f>MAX(-F88,0)</x:f>
        <x:v>0</x:v>
      </x:c>
      <x:c r="H88" s="18" t="n">
        <x:f>MAX(F88,0)</x:f>
        <x:v>0</x:v>
      </x:c>
      <x:c r="I88" s="18" t="n">
        <x:f>J87</x:f>
        <x:v>10</x:v>
      </x:c>
      <x:c r="J88" s="18" t="n">
        <x:f>I88+E88*(G88*'原始输入与口径'!$D$5-H88/'原始输入与口径'!$D$5)</x:f>
        <x:v>10</x:v>
      </x:c>
      <x:c r="K88" s="18" t="n">
        <x:v>10</x:v>
      </x:c>
      <x:c r="L88" s="18" t="n">
        <x:v>10</x:v>
      </x:c>
      <x:c r="M88" s="18" t="n">
        <x:f>J88-L88</x:f>
        <x:v>0</x:v>
      </x:c>
      <x:c r="N88" s="18" t="n">
        <x:f>E88*(G88*'原始输入与口径'!$D$5+H88/'原始输入与口径'!$D$5)/'原始输入与口径'!$H$5</x:f>
        <x:v>0</x:v>
      </x:c>
      <x:c r="O88" s="18" t="n">
        <x:v>0</x:v>
      </x:c>
      <x:c r="P88" s="18" t="n">
        <x:f>N88-O88</x:f>
        <x:v>0</x:v>
      </x:c>
      <x:c r="Q88" s="18" t="n">
        <x:f>E88*G88</x:f>
        <x:v>0</x:v>
      </x:c>
      <x:c r="R88" s="18" t="n">
        <x:f>E88*H88</x:f>
        <x:v>0</x:v>
      </x:c>
      <x:c r="S88" s="2" t="n">
        <x:v>34</x:v>
      </x:c>
    </x:row>
    <x:row r="89" ht="21" customHeight="1">
      <x:c r="A89" s="36" t="n">
        <x:v>45658.354166666664</x:v>
      </x:c>
      <x:c r="B89" s="36" t="n">
        <x:v>45658.35426166667</x:v>
      </x:c>
      <x:c r="C89" s="36" t="n">
        <x:v>45658.354166666664</x:v>
      </x:c>
      <x:c r="D89" s="2" t="str">
        <x:v>d</x:v>
      </x:c>
      <x:c r="E89" s="18" t="n">
        <x:v>0.00228</x:v>
      </x:c>
      <x:c r="F89" s="18" t="n">
        <x:f>IF(D89="d",'两日价格与决策'!K41-'两日价格与决策'!N41,IF(D89="u",'两日价格与决策'!K41+'两日价格与决策'!M41,'两日价格与决策'!K41))</x:f>
        <x:v>0</x:v>
      </x:c>
      <x:c r="G89" s="18" t="n">
        <x:f>MAX(-F89,0)</x:f>
        <x:v>0</x:v>
      </x:c>
      <x:c r="H89" s="18" t="n">
        <x:f>MAX(F89,0)</x:f>
        <x:v>0</x:v>
      </x:c>
      <x:c r="I89" s="18" t="n">
        <x:f>J88</x:f>
        <x:v>10</x:v>
      </x:c>
      <x:c r="J89" s="18" t="n">
        <x:f>I89+E89*(G89*'原始输入与口径'!$D$5-H89/'原始输入与口径'!$D$5)</x:f>
        <x:v>10</x:v>
      </x:c>
      <x:c r="K89" s="18" t="n">
        <x:v>10</x:v>
      </x:c>
      <x:c r="L89" s="18" t="n">
        <x:v>10</x:v>
      </x:c>
      <x:c r="M89" s="18" t="n">
        <x:f>J89-L89</x:f>
        <x:v>0</x:v>
      </x:c>
      <x:c r="N89" s="18" t="n">
        <x:f>E89*(G89*'原始输入与口径'!$D$5+H89/'原始输入与口径'!$D$5)/'原始输入与口径'!$H$5</x:f>
        <x:v>0</x:v>
      </x:c>
      <x:c r="O89" s="18" t="n">
        <x:v>0</x:v>
      </x:c>
      <x:c r="P89" s="18" t="n">
        <x:f>N89-O89</x:f>
        <x:v>0</x:v>
      </x:c>
      <x:c r="Q89" s="18" t="n">
        <x:f>E89*G89</x:f>
        <x:v>0</x:v>
      </x:c>
      <x:c r="R89" s="18" t="n">
        <x:f>E89*H89</x:f>
        <x:v>0</x:v>
      </x:c>
      <x:c r="S89" s="2" t="n">
        <x:v>35</x:v>
      </x:c>
    </x:row>
    <x:row r="90" ht="21" customHeight="1">
      <x:c r="A90" s="36" t="n">
        <x:v>45658.35426166667</x:v>
      </x:c>
      <x:c r="B90" s="36" t="n">
        <x:v>45658.35427645833</x:v>
      </x:c>
      <x:c r="C90" s="36" t="n">
        <x:v>45658.354166666664</x:v>
      </x:c>
      <x:c r="D90" s="2" t="str">
        <x:v>u</x:v>
      </x:c>
      <x:c r="E90" s="18" t="n">
        <x:v>0.00035499999999999996</x:v>
      </x:c>
      <x:c r="F90" s="18" t="n">
        <x:f>IF(D90="d",'两日价格与决策'!K41-'两日价格与决策'!N41,IF(D90="u",'两日价格与决策'!K41+'两日价格与决策'!M41,'两日价格与决策'!K41))</x:f>
        <x:v>0</x:v>
      </x:c>
      <x:c r="G90" s="18" t="n">
        <x:f>MAX(-F90,0)</x:f>
        <x:v>0</x:v>
      </x:c>
      <x:c r="H90" s="18" t="n">
        <x:f>MAX(F90,0)</x:f>
        <x:v>0</x:v>
      </x:c>
      <x:c r="I90" s="18" t="n">
        <x:f>J89</x:f>
        <x:v>10</x:v>
      </x:c>
      <x:c r="J90" s="18" t="n">
        <x:f>I90+E90*(G90*'原始输入与口径'!$D$5-H90/'原始输入与口径'!$D$5)</x:f>
        <x:v>10</x:v>
      </x:c>
      <x:c r="K90" s="18" t="n">
        <x:v>10</x:v>
      </x:c>
      <x:c r="L90" s="18" t="n">
        <x:v>10</x:v>
      </x:c>
      <x:c r="M90" s="18" t="n">
        <x:f>J90-L90</x:f>
        <x:v>0</x:v>
      </x:c>
      <x:c r="N90" s="18" t="n">
        <x:f>E90*(G90*'原始输入与口径'!$D$5+H90/'原始输入与口径'!$D$5)/'原始输入与口径'!$H$5</x:f>
        <x:v>0</x:v>
      </x:c>
      <x:c r="O90" s="18" t="n">
        <x:v>0</x:v>
      </x:c>
      <x:c r="P90" s="18" t="n">
        <x:f>N90-O90</x:f>
        <x:v>0</x:v>
      </x:c>
      <x:c r="Q90" s="18" t="n">
        <x:f>E90*G90</x:f>
        <x:v>0</x:v>
      </x:c>
      <x:c r="R90" s="18" t="n">
        <x:f>E90*H90</x:f>
        <x:v>0</x:v>
      </x:c>
      <x:c r="S90" s="2" t="n">
        <x:v>35</x:v>
      </x:c>
    </x:row>
    <x:row r="91" ht="21" customHeight="1">
      <x:c r="A91" s="36" t="n">
        <x:v>45658.35427645833</x:v>
      </x:c>
      <x:c r="B91" s="36" t="n">
        <x:v>45658.36458333333</x:v>
      </x:c>
      <x:c r="C91" s="36" t="n">
        <x:v>45658.354166666664</x:v>
      </x:c>
      <x:c r="D91" s="2" t="str">
        <x:v>0</x:v>
      </x:c>
      <x:c r="E91" s="18" t="n">
        <x:v>0.247365</x:v>
      </x:c>
      <x:c r="F91" s="18" t="n">
        <x:f>IF(D91="d",'两日价格与决策'!K41-'两日价格与决策'!N41,IF(D91="u",'两日价格与决策'!K41+'两日价格与决策'!M41,'两日价格与决策'!K41))</x:f>
        <x:v>0</x:v>
      </x:c>
      <x:c r="G91" s="18" t="n">
        <x:f>MAX(-F91,0)</x:f>
        <x:v>0</x:v>
      </x:c>
      <x:c r="H91" s="18" t="n">
        <x:f>MAX(F91,0)</x:f>
        <x:v>0</x:v>
      </x:c>
      <x:c r="I91" s="18" t="n">
        <x:f>J90</x:f>
        <x:v>10</x:v>
      </x:c>
      <x:c r="J91" s="18" t="n">
        <x:f>I91+E91*(G91*'原始输入与口径'!$D$5-H91/'原始输入与口径'!$D$5)</x:f>
        <x:v>10</x:v>
      </x:c>
      <x:c r="K91" s="18" t="n">
        <x:v>10</x:v>
      </x:c>
      <x:c r="L91" s="18" t="n">
        <x:v>10</x:v>
      </x:c>
      <x:c r="M91" s="18" t="n">
        <x:f>J91-L91</x:f>
        <x:v>0</x:v>
      </x:c>
      <x:c r="N91" s="18" t="n">
        <x:f>E91*(G91*'原始输入与口径'!$D$5+H91/'原始输入与口径'!$D$5)/'原始输入与口径'!$H$5</x:f>
        <x:v>0</x:v>
      </x:c>
      <x:c r="O91" s="18" t="n">
        <x:v>0</x:v>
      </x:c>
      <x:c r="P91" s="18" t="n">
        <x:f>N91-O91</x:f>
        <x:v>0</x:v>
      </x:c>
      <x:c r="Q91" s="18" t="n">
        <x:f>E91*G91</x:f>
        <x:v>0</x:v>
      </x:c>
      <x:c r="R91" s="18" t="n">
        <x:f>E91*H91</x:f>
        <x:v>0</x:v>
      </x:c>
      <x:c r="S91" s="2" t="n">
        <x:v>35</x:v>
      </x:c>
    </x:row>
    <x:row r="92" ht="21" customHeight="1">
      <x:c r="A92" s="36" t="n">
        <x:v>45658.364583333336</x:v>
      </x:c>
      <x:c r="B92" s="36" t="n">
        <x:v>45658.36744166667</x:v>
      </x:c>
      <x:c r="C92" s="36" t="n">
        <x:v>45658.364583333336</x:v>
      </x:c>
      <x:c r="D92" s="2" t="str">
        <x:v>d</x:v>
      </x:c>
      <x:c r="E92" s="18" t="n">
        <x:v>0.06860000000000001</x:v>
      </x:c>
      <x:c r="F92" s="18" t="n">
        <x:f>IF(D92="d",'两日价格与决策'!K42-'两日价格与决策'!N42,IF(D92="u",'两日价格与决策'!K42+'两日价格与决策'!M42,'两日价格与决策'!K42))</x:f>
        <x:v>0</x:v>
      </x:c>
      <x:c r="G92" s="18" t="n">
        <x:f>MAX(-F92,0)</x:f>
        <x:v>0</x:v>
      </x:c>
      <x:c r="H92" s="18" t="n">
        <x:f>MAX(F92,0)</x:f>
        <x:v>0</x:v>
      </x:c>
      <x:c r="I92" s="18" t="n">
        <x:f>J91</x:f>
        <x:v>10</x:v>
      </x:c>
      <x:c r="J92" s="18" t="n">
        <x:f>I92+E92*(G92*'原始输入与口径'!$D$5-H92/'原始输入与口径'!$D$5)</x:f>
        <x:v>10</x:v>
      </x:c>
      <x:c r="K92" s="18" t="n">
        <x:v>10</x:v>
      </x:c>
      <x:c r="L92" s="18" t="n">
        <x:v>10</x:v>
      </x:c>
      <x:c r="M92" s="18" t="n">
        <x:f>J92-L92</x:f>
        <x:v>0</x:v>
      </x:c>
      <x:c r="N92" s="18" t="n">
        <x:f>E92*(G92*'原始输入与口径'!$D$5+H92/'原始输入与口径'!$D$5)/'原始输入与口径'!$H$5</x:f>
        <x:v>0</x:v>
      </x:c>
      <x:c r="O92" s="18" t="n">
        <x:v>0</x:v>
      </x:c>
      <x:c r="P92" s="18" t="n">
        <x:f>N92-O92</x:f>
        <x:v>0</x:v>
      </x:c>
      <x:c r="Q92" s="18" t="n">
        <x:f>E92*G92</x:f>
        <x:v>0</x:v>
      </x:c>
      <x:c r="R92" s="18" t="n">
        <x:f>E92*H92</x:f>
        <x:v>0</x:v>
      </x:c>
      <x:c r="S92" s="2" t="n">
        <x:v>36</x:v>
      </x:c>
    </x:row>
    <x:row r="93" ht="21" customHeight="1">
      <x:c r="A93" s="36" t="n">
        <x:v>45658.36744166667</x:v>
      </x:c>
      <x:c r="B93" s="36" t="n">
        <x:v>45658.375</x:v>
      </x:c>
      <x:c r="C93" s="36" t="n">
        <x:v>45658.364583333336</x:v>
      </x:c>
      <x:c r="D93" s="2" t="str">
        <x:v>0</x:v>
      </x:c>
      <x:c r="E93" s="18" t="n">
        <x:v>0.1814</x:v>
      </x:c>
      <x:c r="F93" s="18" t="n">
        <x:f>IF(D93="d",'两日价格与决策'!K42-'两日价格与决策'!N42,IF(D93="u",'两日价格与决策'!K42+'两日价格与决策'!M42,'两日价格与决策'!K42))</x:f>
        <x:v>0</x:v>
      </x:c>
      <x:c r="G93" s="18" t="n">
        <x:f>MAX(-F93,0)</x:f>
        <x:v>0</x:v>
      </x:c>
      <x:c r="H93" s="18" t="n">
        <x:f>MAX(F93,0)</x:f>
        <x:v>0</x:v>
      </x:c>
      <x:c r="I93" s="18" t="n">
        <x:f>J92</x:f>
        <x:v>10</x:v>
      </x:c>
      <x:c r="J93" s="18" t="n">
        <x:f>I93+E93*(G93*'原始输入与口径'!$D$5-H93/'原始输入与口径'!$D$5)</x:f>
        <x:v>10</x:v>
      </x:c>
      <x:c r="K93" s="18" t="n">
        <x:v>10</x:v>
      </x:c>
      <x:c r="L93" s="18" t="n">
        <x:v>10</x:v>
      </x:c>
      <x:c r="M93" s="18" t="n">
        <x:f>J93-L93</x:f>
        <x:v>0</x:v>
      </x:c>
      <x:c r="N93" s="18" t="n">
        <x:f>E93*(G93*'原始输入与口径'!$D$5+H93/'原始输入与口径'!$D$5)/'原始输入与口径'!$H$5</x:f>
        <x:v>0</x:v>
      </x:c>
      <x:c r="O93" s="18" t="n">
        <x:v>0</x:v>
      </x:c>
      <x:c r="P93" s="18" t="n">
        <x:f>N93-O93</x:f>
        <x:v>0</x:v>
      </x:c>
      <x:c r="Q93" s="18" t="n">
        <x:f>E93*G93</x:f>
        <x:v>0</x:v>
      </x:c>
      <x:c r="R93" s="18" t="n">
        <x:f>E93*H93</x:f>
        <x:v>0</x:v>
      </x:c>
      <x:c r="S93" s="2" t="n">
        <x:v>36</x:v>
      </x:c>
    </x:row>
    <x:row r="94" ht="21" customHeight="1">
      <x:c r="A94" s="36" t="n">
        <x:v>45658.375</x:v>
      </x:c>
      <x:c r="B94" s="36" t="n">
        <x:v>45658.385416666664</x:v>
      </x:c>
      <x:c r="C94" s="36" t="n">
        <x:v>45658.375</x:v>
      </x:c>
      <x:c r="D94" s="2" t="str">
        <x:v>NO_AFRR_OBLIGATION</x:v>
      </x:c>
      <x:c r="E94" s="18" t="n">
        <x:v>0.25</x:v>
      </x:c>
      <x:c r="F94" s="18" t="n">
        <x:f>IF(D94="d",'两日价格与决策'!K43-'两日价格与决策'!N43,IF(D94="u",'两日价格与决策'!K43+'两日价格与决策'!M43,'两日价格与决策'!K43))</x:f>
        <x:v>0</x:v>
      </x:c>
      <x:c r="G94" s="18" t="n">
        <x:f>MAX(-F94,0)</x:f>
        <x:v>0</x:v>
      </x:c>
      <x:c r="H94" s="18" t="n">
        <x:f>MAX(F94,0)</x:f>
        <x:v>0</x:v>
      </x:c>
      <x:c r="I94" s="18" t="n">
        <x:f>J93</x:f>
        <x:v>10</x:v>
      </x:c>
      <x:c r="J94" s="18" t="n">
        <x:f>I94+E94*(G94*'原始输入与口径'!$D$5-H94/'原始输入与口径'!$D$5)</x:f>
        <x:v>10</x:v>
      </x:c>
      <x:c r="K94" s="18" t="n">
        <x:v>10</x:v>
      </x:c>
      <x:c r="L94" s="18" t="n">
        <x:v>10</x:v>
      </x:c>
      <x:c r="M94" s="18" t="n">
        <x:f>J94-L94</x:f>
        <x:v>0</x:v>
      </x:c>
      <x:c r="N94" s="18" t="n">
        <x:f>E94*(G94*'原始输入与口径'!$D$5+H94/'原始输入与口径'!$D$5)/'原始输入与口径'!$H$5</x:f>
        <x:v>0</x:v>
      </x:c>
      <x:c r="O94" s="18" t="n">
        <x:v>0</x:v>
      </x:c>
      <x:c r="P94" s="18" t="n">
        <x:f>N94-O94</x:f>
        <x:v>0</x:v>
      </x:c>
      <x:c r="Q94" s="18" t="n">
        <x:f>E94*G94</x:f>
        <x:v>0</x:v>
      </x:c>
      <x:c r="R94" s="18" t="n">
        <x:f>E94*H94</x:f>
        <x:v>0</x:v>
      </x:c>
      <x:c r="S94" s="2" t="n">
        <x:v>37</x:v>
      </x:c>
    </x:row>
    <x:row r="95" ht="21" customHeight="1">
      <x:c r="A95" s="36" t="n">
        <x:v>45658.385416666664</x:v>
      </x:c>
      <x:c r="B95" s="36" t="n">
        <x:v>45658.39583333333</x:v>
      </x:c>
      <x:c r="C95" s="36" t="n">
        <x:v>45658.385416666664</x:v>
      </x:c>
      <x:c r="D95" s="2" t="str">
        <x:v>NO_AFRR_OBLIGATION</x:v>
      </x:c>
      <x:c r="E95" s="18" t="n">
        <x:v>0.25</x:v>
      </x:c>
      <x:c r="F95" s="18" t="n">
        <x:f>IF(D95="d",'两日价格与决策'!K44-'两日价格与决策'!N44,IF(D95="u",'两日价格与决策'!K44+'两日价格与决策'!M44,'两日价格与决策'!K44))</x:f>
        <x:v>0</x:v>
      </x:c>
      <x:c r="G95" s="18" t="n">
        <x:f>MAX(-F95,0)</x:f>
        <x:v>0</x:v>
      </x:c>
      <x:c r="H95" s="18" t="n">
        <x:f>MAX(F95,0)</x:f>
        <x:v>0</x:v>
      </x:c>
      <x:c r="I95" s="18" t="n">
        <x:f>J94</x:f>
        <x:v>10</x:v>
      </x:c>
      <x:c r="J95" s="18" t="n">
        <x:f>I95+E95*(G95*'原始输入与口径'!$D$5-H95/'原始输入与口径'!$D$5)</x:f>
        <x:v>10</x:v>
      </x:c>
      <x:c r="K95" s="18" t="n">
        <x:v>10</x:v>
      </x:c>
      <x:c r="L95" s="18" t="n">
        <x:v>10</x:v>
      </x:c>
      <x:c r="M95" s="18" t="n">
        <x:f>J95-L95</x:f>
        <x:v>0</x:v>
      </x:c>
      <x:c r="N95" s="18" t="n">
        <x:f>E95*(G95*'原始输入与口径'!$D$5+H95/'原始输入与口径'!$D$5)/'原始输入与口径'!$H$5</x:f>
        <x:v>0</x:v>
      </x:c>
      <x:c r="O95" s="18" t="n">
        <x:v>0</x:v>
      </x:c>
      <x:c r="P95" s="18" t="n">
        <x:f>N95-O95</x:f>
        <x:v>0</x:v>
      </x:c>
      <x:c r="Q95" s="18" t="n">
        <x:f>E95*G95</x:f>
        <x:v>0</x:v>
      </x:c>
      <x:c r="R95" s="18" t="n">
        <x:f>E95*H95</x:f>
        <x:v>0</x:v>
      </x:c>
      <x:c r="S95" s="2" t="n">
        <x:v>38</x:v>
      </x:c>
    </x:row>
    <x:row r="96" ht="21" customHeight="1">
      <x:c r="A96" s="36" t="n">
        <x:v>45658.395833333336</x:v>
      </x:c>
      <x:c r="B96" s="36" t="n">
        <x:v>45658.40625</x:v>
      </x:c>
      <x:c r="C96" s="36" t="n">
        <x:v>45658.395833333336</x:v>
      </x:c>
      <x:c r="D96" s="2" t="str">
        <x:v>NO_AFRR_OBLIGATION</x:v>
      </x:c>
      <x:c r="E96" s="18" t="n">
        <x:v>0.25</x:v>
      </x:c>
      <x:c r="F96" s="18" t="n">
        <x:f>IF(D96="d",'两日价格与决策'!K45-'两日价格与决策'!N45,IF(D96="u",'两日价格与决策'!K45+'两日价格与决策'!M45,'两日价格与决策'!K45))</x:f>
        <x:v>0</x:v>
      </x:c>
      <x:c r="G96" s="18" t="n">
        <x:f>MAX(-F96,0)</x:f>
        <x:v>0</x:v>
      </x:c>
      <x:c r="H96" s="18" t="n">
        <x:f>MAX(F96,0)</x:f>
        <x:v>0</x:v>
      </x:c>
      <x:c r="I96" s="18" t="n">
        <x:f>J95</x:f>
        <x:v>10</x:v>
      </x:c>
      <x:c r="J96" s="18" t="n">
        <x:f>I96+E96*(G96*'原始输入与口径'!$D$5-H96/'原始输入与口径'!$D$5)</x:f>
        <x:v>10</x:v>
      </x:c>
      <x:c r="K96" s="18" t="n">
        <x:v>10</x:v>
      </x:c>
      <x:c r="L96" s="18" t="n">
        <x:v>10</x:v>
      </x:c>
      <x:c r="M96" s="18" t="n">
        <x:f>J96-L96</x:f>
        <x:v>0</x:v>
      </x:c>
      <x:c r="N96" s="18" t="n">
        <x:f>E96*(G96*'原始输入与口径'!$D$5+H96/'原始输入与口径'!$D$5)/'原始输入与口径'!$H$5</x:f>
        <x:v>0</x:v>
      </x:c>
      <x:c r="O96" s="18" t="n">
        <x:v>0</x:v>
      </x:c>
      <x:c r="P96" s="18" t="n">
        <x:f>N96-O96</x:f>
        <x:v>0</x:v>
      </x:c>
      <x:c r="Q96" s="18" t="n">
        <x:f>E96*G96</x:f>
        <x:v>0</x:v>
      </x:c>
      <x:c r="R96" s="18" t="n">
        <x:f>E96*H96</x:f>
        <x:v>0</x:v>
      </x:c>
      <x:c r="S96" s="2" t="n">
        <x:v>39</x:v>
      </x:c>
    </x:row>
    <x:row r="97" ht="21" customHeight="1">
      <x:c r="A97" s="36" t="n">
        <x:v>45658.40625</x:v>
      </x:c>
      <x:c r="B97" s="36" t="n">
        <x:v>45658.416666666664</x:v>
      </x:c>
      <x:c r="C97" s="36" t="n">
        <x:v>45658.40625</x:v>
      </x:c>
      <x:c r="D97" s="2" t="str">
        <x:v>NO_AFRR_OBLIGATION</x:v>
      </x:c>
      <x:c r="E97" s="18" t="n">
        <x:v>0.25</x:v>
      </x:c>
      <x:c r="F97" s="18" t="n">
        <x:f>IF(D97="d",'两日价格与决策'!K46-'两日价格与决策'!N46,IF(D97="u",'两日价格与决策'!K46+'两日价格与决策'!M46,'两日价格与决策'!K46))</x:f>
        <x:v>0</x:v>
      </x:c>
      <x:c r="G97" s="18" t="n">
        <x:f>MAX(-F97,0)</x:f>
        <x:v>0</x:v>
      </x:c>
      <x:c r="H97" s="18" t="n">
        <x:f>MAX(F97,0)</x:f>
        <x:v>0</x:v>
      </x:c>
      <x:c r="I97" s="18" t="n">
        <x:f>J96</x:f>
        <x:v>10</x:v>
      </x:c>
      <x:c r="J97" s="18" t="n">
        <x:f>I97+E97*(G97*'原始输入与口径'!$D$5-H97/'原始输入与口径'!$D$5)</x:f>
        <x:v>10</x:v>
      </x:c>
      <x:c r="K97" s="18" t="n">
        <x:v>10</x:v>
      </x:c>
      <x:c r="L97" s="18" t="n">
        <x:v>10</x:v>
      </x:c>
      <x:c r="M97" s="18" t="n">
        <x:f>J97-L97</x:f>
        <x:v>0</x:v>
      </x:c>
      <x:c r="N97" s="18" t="n">
        <x:f>E97*(G97*'原始输入与口径'!$D$5+H97/'原始输入与口径'!$D$5)/'原始输入与口径'!$H$5</x:f>
        <x:v>0</x:v>
      </x:c>
      <x:c r="O97" s="18" t="n">
        <x:v>0</x:v>
      </x:c>
      <x:c r="P97" s="18" t="n">
        <x:f>N97-O97</x:f>
        <x:v>0</x:v>
      </x:c>
      <x:c r="Q97" s="18" t="n">
        <x:f>E97*G97</x:f>
        <x:v>0</x:v>
      </x:c>
      <x:c r="R97" s="18" t="n">
        <x:f>E97*H97</x:f>
        <x:v>0</x:v>
      </x:c>
      <x:c r="S97" s="2" t="n">
        <x:v>40</x:v>
      </x:c>
    </x:row>
    <x:row r="98" ht="21" customHeight="1">
      <x:c r="A98" s="36" t="n">
        <x:v>45658.416666666664</x:v>
      </x:c>
      <x:c r="B98" s="36" t="n">
        <x:v>45658.42267770833</x:v>
      </x:c>
      <x:c r="C98" s="36" t="n">
        <x:v>45658.416666666664</x:v>
      </x:c>
      <x:c r="D98" s="2" t="str">
        <x:v>d</x:v>
      </x:c>
      <x:c r="E98" s="18" t="n">
        <x:v>0.144265</x:v>
      </x:c>
      <x:c r="F98" s="18" t="n">
        <x:f>IF(D98="d",'两日价格与决策'!K47-'两日价格与决策'!N47,IF(D98="u",'两日价格与决策'!K47+'两日价格与决策'!M47,'两日价格与决策'!K47))</x:f>
        <x:v>0</x:v>
      </x:c>
      <x:c r="G98" s="18" t="n">
        <x:f>MAX(-F98,0)</x:f>
        <x:v>0</x:v>
      </x:c>
      <x:c r="H98" s="18" t="n">
        <x:f>MAX(F98,0)</x:f>
        <x:v>0</x:v>
      </x:c>
      <x:c r="I98" s="18" t="n">
        <x:f>J97</x:f>
        <x:v>10</x:v>
      </x:c>
      <x:c r="J98" s="18" t="n">
        <x:f>I98+E98*(G98*'原始输入与口径'!$D$5-H98/'原始输入与口径'!$D$5)</x:f>
        <x:v>10</x:v>
      </x:c>
      <x:c r="K98" s="18" t="n">
        <x:v>10</x:v>
      </x:c>
      <x:c r="L98" s="18" t="n">
        <x:v>10</x:v>
      </x:c>
      <x:c r="M98" s="18" t="n">
        <x:f>J98-L98</x:f>
        <x:v>0</x:v>
      </x:c>
      <x:c r="N98" s="18" t="n">
        <x:f>E98*(G98*'原始输入与口径'!$D$5+H98/'原始输入与口径'!$D$5)/'原始输入与口径'!$H$5</x:f>
        <x:v>0</x:v>
      </x:c>
      <x:c r="O98" s="18" t="n">
        <x:v>0</x:v>
      </x:c>
      <x:c r="P98" s="18" t="n">
        <x:f>N98-O98</x:f>
        <x:v>0</x:v>
      </x:c>
      <x:c r="Q98" s="18" t="n">
        <x:f>E98*G98</x:f>
        <x:v>0</x:v>
      </x:c>
      <x:c r="R98" s="18" t="n">
        <x:f>E98*H98</x:f>
        <x:v>0</x:v>
      </x:c>
      <x:c r="S98" s="2" t="n">
        <x:v>41</x:v>
      </x:c>
    </x:row>
    <x:row r="99" ht="21" customHeight="1">
      <x:c r="A99" s="36" t="n">
        <x:v>45658.42267770833</x:v>
      </x:c>
      <x:c r="B99" s="36" t="n">
        <x:v>45658.42708333333</x:v>
      </x:c>
      <x:c r="C99" s="36" t="n">
        <x:v>45658.416666666664</x:v>
      </x:c>
      <x:c r="D99" s="2" t="str">
        <x:v>0</x:v>
      </x:c>
      <x:c r="E99" s="18" t="n">
        <x:v>0.105735</x:v>
      </x:c>
      <x:c r="F99" s="18" t="n">
        <x:f>IF(D99="d",'两日价格与决策'!K47-'两日价格与决策'!N47,IF(D99="u",'两日价格与决策'!K47+'两日价格与决策'!M47,'两日价格与决策'!K47))</x:f>
        <x:v>0</x:v>
      </x:c>
      <x:c r="G99" s="18" t="n">
        <x:f>MAX(-F99,0)</x:f>
        <x:v>0</x:v>
      </x:c>
      <x:c r="H99" s="18" t="n">
        <x:f>MAX(F99,0)</x:f>
        <x:v>0</x:v>
      </x:c>
      <x:c r="I99" s="18" t="n">
        <x:f>J98</x:f>
        <x:v>10</x:v>
      </x:c>
      <x:c r="J99" s="18" t="n">
        <x:f>I99+E99*(G99*'原始输入与口径'!$D$5-H99/'原始输入与口径'!$D$5)</x:f>
        <x:v>10</x:v>
      </x:c>
      <x:c r="K99" s="18" t="n">
        <x:v>10</x:v>
      </x:c>
      <x:c r="L99" s="18" t="n">
        <x:v>10</x:v>
      </x:c>
      <x:c r="M99" s="18" t="n">
        <x:f>J99-L99</x:f>
        <x:v>0</x:v>
      </x:c>
      <x:c r="N99" s="18" t="n">
        <x:f>E99*(G99*'原始输入与口径'!$D$5+H99/'原始输入与口径'!$D$5)/'原始输入与口径'!$H$5</x:f>
        <x:v>0</x:v>
      </x:c>
      <x:c r="O99" s="18" t="n">
        <x:v>0</x:v>
      </x:c>
      <x:c r="P99" s="18" t="n">
        <x:f>N99-O99</x:f>
        <x:v>0</x:v>
      </x:c>
      <x:c r="Q99" s="18" t="n">
        <x:f>E99*G99</x:f>
        <x:v>0</x:v>
      </x:c>
      <x:c r="R99" s="18" t="n">
        <x:f>E99*H99</x:f>
        <x:v>0</x:v>
      </x:c>
      <x:c r="S99" s="2" t="n">
        <x:v>41</x:v>
      </x:c>
    </x:row>
    <x:row r="100" ht="21" customHeight="1">
      <x:c r="A100" s="36" t="n">
        <x:v>45658.427083333336</x:v>
      </x:c>
      <x:c r="B100" s="36" t="n">
        <x:v>45658.433177708335</x:v>
      </x:c>
      <x:c r="C100" s="36" t="n">
        <x:v>45658.427083333336</x:v>
      </x:c>
      <x:c r="D100" s="2" t="str">
        <x:v>d</x:v>
      </x:c>
      <x:c r="E100" s="18" t="n">
        <x:v>0.146265</x:v>
      </x:c>
      <x:c r="F100" s="18" t="n">
        <x:f>IF(D100="d",'两日价格与决策'!K48-'两日价格与决策'!N48,IF(D100="u",'两日价格与决策'!K48+'两日价格与决策'!M48,'两日价格与决策'!K48))</x:f>
        <x:v>0</x:v>
      </x:c>
      <x:c r="G100" s="18" t="n">
        <x:f>MAX(-F100,0)</x:f>
        <x:v>0</x:v>
      </x:c>
      <x:c r="H100" s="18" t="n">
        <x:f>MAX(F100,0)</x:f>
        <x:v>0</x:v>
      </x:c>
      <x:c r="I100" s="18" t="n">
        <x:f>J99</x:f>
        <x:v>10</x:v>
      </x:c>
      <x:c r="J100" s="18" t="n">
        <x:f>I100+E100*(G100*'原始输入与口径'!$D$5-H100/'原始输入与口径'!$D$5)</x:f>
        <x:v>10</x:v>
      </x:c>
      <x:c r="K100" s="18" t="n">
        <x:v>10</x:v>
      </x:c>
      <x:c r="L100" s="18" t="n">
        <x:v>10</x:v>
      </x:c>
      <x:c r="M100" s="18" t="n">
        <x:f>J100-L100</x:f>
        <x:v>0</x:v>
      </x:c>
      <x:c r="N100" s="18" t="n">
        <x:f>E100*(G100*'原始输入与口径'!$D$5+H100/'原始输入与口径'!$D$5)/'原始输入与口径'!$H$5</x:f>
        <x:v>0</x:v>
      </x:c>
      <x:c r="O100" s="18" t="n">
        <x:v>0</x:v>
      </x:c>
      <x:c r="P100" s="18" t="n">
        <x:f>N100-O100</x:f>
        <x:v>0</x:v>
      </x:c>
      <x:c r="Q100" s="18" t="n">
        <x:f>E100*G100</x:f>
        <x:v>0</x:v>
      </x:c>
      <x:c r="R100" s="18" t="n">
        <x:f>E100*H100</x:f>
        <x:v>0</x:v>
      </x:c>
      <x:c r="S100" s="2" t="n">
        <x:v>42</x:v>
      </x:c>
    </x:row>
    <x:row r="101" ht="21" customHeight="1">
      <x:c r="A101" s="36" t="n">
        <x:v>45658.433177708335</x:v>
      </x:c>
      <x:c r="B101" s="36" t="n">
        <x:v>45658.4375</x:v>
      </x:c>
      <x:c r="C101" s="36" t="n">
        <x:v>45658.427083333336</x:v>
      </x:c>
      <x:c r="D101" s="2" t="str">
        <x:v>0</x:v>
      </x:c>
      <x:c r="E101" s="18" t="n">
        <x:v>0.103735</x:v>
      </x:c>
      <x:c r="F101" s="18" t="n">
        <x:f>IF(D101="d",'两日价格与决策'!K48-'两日价格与决策'!N48,IF(D101="u",'两日价格与决策'!K48+'两日价格与决策'!M48,'两日价格与决策'!K48))</x:f>
        <x:v>0</x:v>
      </x:c>
      <x:c r="G101" s="18" t="n">
        <x:f>MAX(-F101,0)</x:f>
        <x:v>0</x:v>
      </x:c>
      <x:c r="H101" s="18" t="n">
        <x:f>MAX(F101,0)</x:f>
        <x:v>0</x:v>
      </x:c>
      <x:c r="I101" s="18" t="n">
        <x:f>J100</x:f>
        <x:v>10</x:v>
      </x:c>
      <x:c r="J101" s="18" t="n">
        <x:f>I101+E101*(G101*'原始输入与口径'!$D$5-H101/'原始输入与口径'!$D$5)</x:f>
        <x:v>10</x:v>
      </x:c>
      <x:c r="K101" s="18" t="n">
        <x:v>10</x:v>
      </x:c>
      <x:c r="L101" s="18" t="n">
        <x:v>10</x:v>
      </x:c>
      <x:c r="M101" s="18" t="n">
        <x:f>J101-L101</x:f>
        <x:v>0</x:v>
      </x:c>
      <x:c r="N101" s="18" t="n">
        <x:f>E101*(G101*'原始输入与口径'!$D$5+H101/'原始输入与口径'!$D$5)/'原始输入与口径'!$H$5</x:f>
        <x:v>0</x:v>
      </x:c>
      <x:c r="O101" s="18" t="n">
        <x:v>0</x:v>
      </x:c>
      <x:c r="P101" s="18" t="n">
        <x:f>N101-O101</x:f>
        <x:v>0</x:v>
      </x:c>
      <x:c r="Q101" s="18" t="n">
        <x:f>E101*G101</x:f>
        <x:v>0</x:v>
      </x:c>
      <x:c r="R101" s="18" t="n">
        <x:f>E101*H101</x:f>
        <x:v>0</x:v>
      </x:c>
      <x:c r="S101" s="2" t="n">
        <x:v>42</x:v>
      </x:c>
    </x:row>
    <x:row r="102" ht="21" customHeight="1">
      <x:c r="A102" s="36" t="n">
        <x:v>45658.4375</x:v>
      </x:c>
      <x:c r="B102" s="36" t="n">
        <x:v>45658.44415145833</x:v>
      </x:c>
      <x:c r="C102" s="36" t="n">
        <x:v>45658.4375</x:v>
      </x:c>
      <x:c r="D102" s="2" t="str">
        <x:v>d</x:v>
      </x:c>
      <x:c r="E102" s="18" t="n">
        <x:v>0.159635</x:v>
      </x:c>
      <x:c r="F102" s="18" t="n">
        <x:f>IF(D102="d",'两日价格与决策'!K49-'两日价格与决策'!N49,IF(D102="u",'两日价格与决策'!K49+'两日价格与决策'!M49,'两日价格与决策'!K49))</x:f>
        <x:v>0</x:v>
      </x:c>
      <x:c r="G102" s="18" t="n">
        <x:f>MAX(-F102,0)</x:f>
        <x:v>0</x:v>
      </x:c>
      <x:c r="H102" s="18" t="n">
        <x:f>MAX(F102,0)</x:f>
        <x:v>0</x:v>
      </x:c>
      <x:c r="I102" s="18" t="n">
        <x:f>J101</x:f>
        <x:v>10</x:v>
      </x:c>
      <x:c r="J102" s="18" t="n">
        <x:f>I102+E102*(G102*'原始输入与口径'!$D$5-H102/'原始输入与口径'!$D$5)</x:f>
        <x:v>10</x:v>
      </x:c>
      <x:c r="K102" s="18" t="n">
        <x:v>10</x:v>
      </x:c>
      <x:c r="L102" s="18" t="n">
        <x:v>10</x:v>
      </x:c>
      <x:c r="M102" s="18" t="n">
        <x:f>J102-L102</x:f>
        <x:v>0</x:v>
      </x:c>
      <x:c r="N102" s="18" t="n">
        <x:f>E102*(G102*'原始输入与口径'!$D$5+H102/'原始输入与口径'!$D$5)/'原始输入与口径'!$H$5</x:f>
        <x:v>0</x:v>
      </x:c>
      <x:c r="O102" s="18" t="n">
        <x:v>0</x:v>
      </x:c>
      <x:c r="P102" s="18" t="n">
        <x:f>N102-O102</x:f>
        <x:v>0</x:v>
      </x:c>
      <x:c r="Q102" s="18" t="n">
        <x:f>E102*G102</x:f>
        <x:v>0</x:v>
      </x:c>
      <x:c r="R102" s="18" t="n">
        <x:f>E102*H102</x:f>
        <x:v>0</x:v>
      </x:c>
      <x:c r="S102" s="2" t="n">
        <x:v>43</x:v>
      </x:c>
    </x:row>
    <x:row r="103" ht="21" customHeight="1">
      <x:c r="A103" s="36" t="n">
        <x:v>45658.44415145833</x:v>
      </x:c>
      <x:c r="B103" s="36" t="n">
        <x:v>45658.447916666664</x:v>
      </x:c>
      <x:c r="C103" s="36" t="n">
        <x:v>45658.4375</x:v>
      </x:c>
      <x:c r="D103" s="2" t="str">
        <x:v>0</x:v>
      </x:c>
      <x:c r="E103" s="18" t="n">
        <x:v>0.090365</x:v>
      </x:c>
      <x:c r="F103" s="18" t="n">
        <x:f>IF(D103="d",'两日价格与决策'!K49-'两日价格与决策'!N49,IF(D103="u",'两日价格与决策'!K49+'两日价格与决策'!M49,'两日价格与决策'!K49))</x:f>
        <x:v>0</x:v>
      </x:c>
      <x:c r="G103" s="18" t="n">
        <x:f>MAX(-F103,0)</x:f>
        <x:v>0</x:v>
      </x:c>
      <x:c r="H103" s="18" t="n">
        <x:f>MAX(F103,0)</x:f>
        <x:v>0</x:v>
      </x:c>
      <x:c r="I103" s="18" t="n">
        <x:f>J102</x:f>
        <x:v>10</x:v>
      </x:c>
      <x:c r="J103" s="18" t="n">
        <x:f>I103+E103*(G103*'原始输入与口径'!$D$5-H103/'原始输入与口径'!$D$5)</x:f>
        <x:v>10</x:v>
      </x:c>
      <x:c r="K103" s="18" t="n">
        <x:v>10</x:v>
      </x:c>
      <x:c r="L103" s="18" t="n">
        <x:v>10</x:v>
      </x:c>
      <x:c r="M103" s="18" t="n">
        <x:f>J103-L103</x:f>
        <x:v>0</x:v>
      </x:c>
      <x:c r="N103" s="18" t="n">
        <x:f>E103*(G103*'原始输入与口径'!$D$5+H103/'原始输入与口径'!$D$5)/'原始输入与口径'!$H$5</x:f>
        <x:v>0</x:v>
      </x:c>
      <x:c r="O103" s="18" t="n">
        <x:v>0</x:v>
      </x:c>
      <x:c r="P103" s="18" t="n">
        <x:f>N103-O103</x:f>
        <x:v>0</x:v>
      </x:c>
      <x:c r="Q103" s="18" t="n">
        <x:f>E103*G103</x:f>
        <x:v>0</x:v>
      </x:c>
      <x:c r="R103" s="18" t="n">
        <x:f>E103*H103</x:f>
        <x:v>0</x:v>
      </x:c>
      <x:c r="S103" s="2" t="n">
        <x:v>43</x:v>
      </x:c>
    </x:row>
    <x:row r="104" ht="21" customHeight="1">
      <x:c r="A104" s="36" t="n">
        <x:v>45658.447916666664</x:v>
      </x:c>
      <x:c r="B104" s="36" t="n">
        <x:v>45658.45484270833</x:v>
      </x:c>
      <x:c r="C104" s="36" t="n">
        <x:v>45658.447916666664</x:v>
      </x:c>
      <x:c r="D104" s="2" t="str">
        <x:v>d</x:v>
      </x:c>
      <x:c r="E104" s="18" t="n">
        <x:v>0.16622499999999998</x:v>
      </x:c>
      <x:c r="F104" s="18" t="n">
        <x:f>IF(D104="d",'两日价格与决策'!K50-'两日价格与决策'!N50,IF(D104="u",'两日价格与决策'!K50+'两日价格与决策'!M50,'两日价格与决策'!K50))</x:f>
        <x:v>0</x:v>
      </x:c>
      <x:c r="G104" s="18" t="n">
        <x:f>MAX(-F104,0)</x:f>
        <x:v>0</x:v>
      </x:c>
      <x:c r="H104" s="18" t="n">
        <x:f>MAX(F104,0)</x:f>
        <x:v>0</x:v>
      </x:c>
      <x:c r="I104" s="18" t="n">
        <x:f>J103</x:f>
        <x:v>10</x:v>
      </x:c>
      <x:c r="J104" s="18" t="n">
        <x:f>I104+E104*(G104*'原始输入与口径'!$D$5-H104/'原始输入与口径'!$D$5)</x:f>
        <x:v>10</x:v>
      </x:c>
      <x:c r="K104" s="18" t="n">
        <x:v>10</x:v>
      </x:c>
      <x:c r="L104" s="18" t="n">
        <x:v>10</x:v>
      </x:c>
      <x:c r="M104" s="18" t="n">
        <x:f>J104-L104</x:f>
        <x:v>0</x:v>
      </x:c>
      <x:c r="N104" s="18" t="n">
        <x:f>E104*(G104*'原始输入与口径'!$D$5+H104/'原始输入与口径'!$D$5)/'原始输入与口径'!$H$5</x:f>
        <x:v>0</x:v>
      </x:c>
      <x:c r="O104" s="18" t="n">
        <x:v>0</x:v>
      </x:c>
      <x:c r="P104" s="18" t="n">
        <x:f>N104-O104</x:f>
        <x:v>0</x:v>
      </x:c>
      <x:c r="Q104" s="18" t="n">
        <x:f>E104*G104</x:f>
        <x:v>0</x:v>
      </x:c>
      <x:c r="R104" s="18" t="n">
        <x:f>E104*H104</x:f>
        <x:v>0</x:v>
      </x:c>
      <x:c r="S104" s="2" t="n">
        <x:v>44</x:v>
      </x:c>
    </x:row>
    <x:row r="105" ht="21" customHeight="1">
      <x:c r="A105" s="36" t="n">
        <x:v>45658.45484270833</x:v>
      </x:c>
      <x:c r="B105" s="36" t="n">
        <x:v>45658.45833333333</x:v>
      </x:c>
      <x:c r="C105" s="36" t="n">
        <x:v>45658.447916666664</x:v>
      </x:c>
      <x:c r="D105" s="2" t="str">
        <x:v>0</x:v>
      </x:c>
      <x:c r="E105" s="18" t="n">
        <x:v>0.08377500000000002</x:v>
      </x:c>
      <x:c r="F105" s="18" t="n">
        <x:f>IF(D105="d",'两日价格与决策'!K50-'两日价格与决策'!N50,IF(D105="u",'两日价格与决策'!K50+'两日价格与决策'!M50,'两日价格与决策'!K50))</x:f>
        <x:v>0</x:v>
      </x:c>
      <x:c r="G105" s="18" t="n">
        <x:f>MAX(-F105,0)</x:f>
        <x:v>0</x:v>
      </x:c>
      <x:c r="H105" s="18" t="n">
        <x:f>MAX(F105,0)</x:f>
        <x:v>0</x:v>
      </x:c>
      <x:c r="I105" s="18" t="n">
        <x:f>J104</x:f>
        <x:v>10</x:v>
      </x:c>
      <x:c r="J105" s="18" t="n">
        <x:f>I105+E105*(G105*'原始输入与口径'!$D$5-H105/'原始输入与口径'!$D$5)</x:f>
        <x:v>10</x:v>
      </x:c>
      <x:c r="K105" s="18" t="n">
        <x:v>10</x:v>
      </x:c>
      <x:c r="L105" s="18" t="n">
        <x:v>10</x:v>
      </x:c>
      <x:c r="M105" s="18" t="n">
        <x:f>J105-L105</x:f>
        <x:v>0</x:v>
      </x:c>
      <x:c r="N105" s="18" t="n">
        <x:f>E105*(G105*'原始输入与口径'!$D$5+H105/'原始输入与口径'!$D$5)/'原始输入与口径'!$H$5</x:f>
        <x:v>0</x:v>
      </x:c>
      <x:c r="O105" s="18" t="n">
        <x:v>0</x:v>
      </x:c>
      <x:c r="P105" s="18" t="n">
        <x:f>N105-O105</x:f>
        <x:v>0</x:v>
      </x:c>
      <x:c r="Q105" s="18" t="n">
        <x:f>E105*G105</x:f>
        <x:v>0</x:v>
      </x:c>
      <x:c r="R105" s="18" t="n">
        <x:f>E105*H105</x:f>
        <x:v>0</x:v>
      </x:c>
      <x:c r="S105" s="2" t="n">
        <x:v>44</x:v>
      </x:c>
    </x:row>
    <x:row r="106" ht="21" customHeight="1">
      <x:c r="A106" s="36" t="n">
        <x:v>45658.458333333336</x:v>
      </x:c>
      <x:c r="B106" s="36" t="n">
        <x:v>45658.463322083335</x:v>
      </x:c>
      <x:c r="C106" s="36" t="n">
        <x:v>45658.458333333336</x:v>
      </x:c>
      <x:c r="D106" s="2" t="str">
        <x:v>d</x:v>
      </x:c>
      <x:c r="E106" s="18" t="n">
        <x:v>0.11973</x:v>
      </x:c>
      <x:c r="F106" s="18" t="n">
        <x:f>IF(D106="d",'两日价格与决策'!K51-'两日价格与决策'!N51,IF(D106="u",'两日价格与决策'!K51+'两日价格与决策'!M51,'两日价格与决策'!K51))</x:f>
        <x:v>0</x:v>
      </x:c>
      <x:c r="G106" s="18" t="n">
        <x:f>MAX(-F106,0)</x:f>
        <x:v>0</x:v>
      </x:c>
      <x:c r="H106" s="18" t="n">
        <x:f>MAX(F106,0)</x:f>
        <x:v>0</x:v>
      </x:c>
      <x:c r="I106" s="18" t="n">
        <x:f>J105</x:f>
        <x:v>10</x:v>
      </x:c>
      <x:c r="J106" s="18" t="n">
        <x:f>I106+E106*(G106*'原始输入与口径'!$D$5-H106/'原始输入与口径'!$D$5)</x:f>
        <x:v>10</x:v>
      </x:c>
      <x:c r="K106" s="18" t="n">
        <x:v>10</x:v>
      </x:c>
      <x:c r="L106" s="18" t="n">
        <x:v>10</x:v>
      </x:c>
      <x:c r="M106" s="18" t="n">
        <x:f>J106-L106</x:f>
        <x:v>0</x:v>
      </x:c>
      <x:c r="N106" s="18" t="n">
        <x:f>E106*(G106*'原始输入与口径'!$D$5+H106/'原始输入与口径'!$D$5)/'原始输入与口径'!$H$5</x:f>
        <x:v>0</x:v>
      </x:c>
      <x:c r="O106" s="18" t="n">
        <x:v>0</x:v>
      </x:c>
      <x:c r="P106" s="18" t="n">
        <x:f>N106-O106</x:f>
        <x:v>0</x:v>
      </x:c>
      <x:c r="Q106" s="18" t="n">
        <x:f>E106*G106</x:f>
        <x:v>0</x:v>
      </x:c>
      <x:c r="R106" s="18" t="n">
        <x:f>E106*H106</x:f>
        <x:v>0</x:v>
      </x:c>
      <x:c r="S106" s="2" t="n">
        <x:v>45</x:v>
      </x:c>
    </x:row>
    <x:row r="107" ht="21" customHeight="1">
      <x:c r="A107" s="36" t="n">
        <x:v>45658.463322083335</x:v>
      </x:c>
      <x:c r="B107" s="36" t="n">
        <x:v>45658.46875</x:v>
      </x:c>
      <x:c r="C107" s="36" t="n">
        <x:v>45658.458333333336</x:v>
      </x:c>
      <x:c r="D107" s="2" t="str">
        <x:v>0</x:v>
      </x:c>
      <x:c r="E107" s="18" t="n">
        <x:v>0.13027</x:v>
      </x:c>
      <x:c r="F107" s="18" t="n">
        <x:f>IF(D107="d",'两日价格与决策'!K51-'两日价格与决策'!N51,IF(D107="u",'两日价格与决策'!K51+'两日价格与决策'!M51,'两日价格与决策'!K51))</x:f>
        <x:v>0</x:v>
      </x:c>
      <x:c r="G107" s="18" t="n">
        <x:f>MAX(-F107,0)</x:f>
        <x:v>0</x:v>
      </x:c>
      <x:c r="H107" s="18" t="n">
        <x:f>MAX(F107,0)</x:f>
        <x:v>0</x:v>
      </x:c>
      <x:c r="I107" s="18" t="n">
        <x:f>J106</x:f>
        <x:v>10</x:v>
      </x:c>
      <x:c r="J107" s="18" t="n">
        <x:f>I107+E107*(G107*'原始输入与口径'!$D$5-H107/'原始输入与口径'!$D$5)</x:f>
        <x:v>10</x:v>
      </x:c>
      <x:c r="K107" s="18" t="n">
        <x:v>10</x:v>
      </x:c>
      <x:c r="L107" s="18" t="n">
        <x:v>10</x:v>
      </x:c>
      <x:c r="M107" s="18" t="n">
        <x:f>J107-L107</x:f>
        <x:v>0</x:v>
      </x:c>
      <x:c r="N107" s="18" t="n">
        <x:f>E107*(G107*'原始输入与口径'!$D$5+H107/'原始输入与口径'!$D$5)/'原始输入与口径'!$H$5</x:f>
        <x:v>0</x:v>
      </x:c>
      <x:c r="O107" s="18" t="n">
        <x:v>0</x:v>
      </x:c>
      <x:c r="P107" s="18" t="n">
        <x:f>N107-O107</x:f>
        <x:v>0</x:v>
      </x:c>
      <x:c r="Q107" s="18" t="n">
        <x:f>E107*G107</x:f>
        <x:v>0</x:v>
      </x:c>
      <x:c r="R107" s="18" t="n">
        <x:f>E107*H107</x:f>
        <x:v>0</x:v>
      </x:c>
      <x:c r="S107" s="2" t="n">
        <x:v>45</x:v>
      </x:c>
    </x:row>
    <x:row r="108" ht="21" customHeight="1">
      <x:c r="A108" s="36" t="n">
        <x:v>45658.46875</x:v>
      </x:c>
      <x:c r="B108" s="36" t="n">
        <x:v>45658.47224354167</x:v>
      </x:c>
      <x:c r="C108" s="36" t="n">
        <x:v>45658.46875</x:v>
      </x:c>
      <x:c r="D108" s="2" t="str">
        <x:v>d</x:v>
      </x:c>
      <x:c r="E108" s="18" t="n">
        <x:v>0.08384499999999999</x:v>
      </x:c>
      <x:c r="F108" s="18" t="n">
        <x:f>IF(D108="d",'两日价格与决策'!K52-'两日价格与决策'!N52,IF(D108="u",'两日价格与决策'!K52+'两日价格与决策'!M52,'两日价格与决策'!K52))</x:f>
        <x:v>0</x:v>
      </x:c>
      <x:c r="G108" s="18" t="n">
        <x:f>MAX(-F108,0)</x:f>
        <x:v>0</x:v>
      </x:c>
      <x:c r="H108" s="18" t="n">
        <x:f>MAX(F108,0)</x:f>
        <x:v>0</x:v>
      </x:c>
      <x:c r="I108" s="18" t="n">
        <x:f>J107</x:f>
        <x:v>10</x:v>
      </x:c>
      <x:c r="J108" s="18" t="n">
        <x:f>I108+E108*(G108*'原始输入与口径'!$D$5-H108/'原始输入与口径'!$D$5)</x:f>
        <x:v>10</x:v>
      </x:c>
      <x:c r="K108" s="18" t="n">
        <x:v>10</x:v>
      </x:c>
      <x:c r="L108" s="18" t="n">
        <x:v>10</x:v>
      </x:c>
      <x:c r="M108" s="18" t="n">
        <x:f>J108-L108</x:f>
        <x:v>0</x:v>
      </x:c>
      <x:c r="N108" s="18" t="n">
        <x:f>E108*(G108*'原始输入与口径'!$D$5+H108/'原始输入与口径'!$D$5)/'原始输入与口径'!$H$5</x:f>
        <x:v>0</x:v>
      </x:c>
      <x:c r="O108" s="18" t="n">
        <x:v>0</x:v>
      </x:c>
      <x:c r="P108" s="18" t="n">
        <x:f>N108-O108</x:f>
        <x:v>0</x:v>
      </x:c>
      <x:c r="Q108" s="18" t="n">
        <x:f>E108*G108</x:f>
        <x:v>0</x:v>
      </x:c>
      <x:c r="R108" s="18" t="n">
        <x:f>E108*H108</x:f>
        <x:v>0</x:v>
      </x:c>
      <x:c r="S108" s="2" t="n">
        <x:v>46</x:v>
      </x:c>
    </x:row>
    <x:row r="109" ht="21" customHeight="1">
      <x:c r="A109" s="36" t="n">
        <x:v>45658.47224354167</x:v>
      </x:c>
      <x:c r="B109" s="36" t="n">
        <x:v>45658.479166666664</x:v>
      </x:c>
      <x:c r="C109" s="36" t="n">
        <x:v>45658.46875</x:v>
      </x:c>
      <x:c r="D109" s="2" t="str">
        <x:v>0</x:v>
      </x:c>
      <x:c r="E109" s="18" t="n">
        <x:v>0.166155</x:v>
      </x:c>
      <x:c r="F109" s="18" t="n">
        <x:f>IF(D109="d",'两日价格与决策'!K52-'两日价格与决策'!N52,IF(D109="u",'两日价格与决策'!K52+'两日价格与决策'!M52,'两日价格与决策'!K52))</x:f>
        <x:v>0</x:v>
      </x:c>
      <x:c r="G109" s="18" t="n">
        <x:f>MAX(-F109,0)</x:f>
        <x:v>0</x:v>
      </x:c>
      <x:c r="H109" s="18" t="n">
        <x:f>MAX(F109,0)</x:f>
        <x:v>0</x:v>
      </x:c>
      <x:c r="I109" s="18" t="n">
        <x:f>J108</x:f>
        <x:v>10</x:v>
      </x:c>
      <x:c r="J109" s="18" t="n">
        <x:f>I109+E109*(G109*'原始输入与口径'!$D$5-H109/'原始输入与口径'!$D$5)</x:f>
        <x:v>10</x:v>
      </x:c>
      <x:c r="K109" s="18" t="n">
        <x:v>10</x:v>
      </x:c>
      <x:c r="L109" s="18" t="n">
        <x:v>10</x:v>
      </x:c>
      <x:c r="M109" s="18" t="n">
        <x:f>J109-L109</x:f>
        <x:v>0</x:v>
      </x:c>
      <x:c r="N109" s="18" t="n">
        <x:f>E109*(G109*'原始输入与口径'!$D$5+H109/'原始输入与口径'!$D$5)/'原始输入与口径'!$H$5</x:f>
        <x:v>0</x:v>
      </x:c>
      <x:c r="O109" s="18" t="n">
        <x:v>0</x:v>
      </x:c>
      <x:c r="P109" s="18" t="n">
        <x:f>N109-O109</x:f>
        <x:v>0</x:v>
      </x:c>
      <x:c r="Q109" s="18" t="n">
        <x:f>E109*G109</x:f>
        <x:v>0</x:v>
      </x:c>
      <x:c r="R109" s="18" t="n">
        <x:f>E109*H109</x:f>
        <x:v>0</x:v>
      </x:c>
      <x:c r="S109" s="2" t="n">
        <x:v>46</x:v>
      </x:c>
    </x:row>
    <x:row r="110" ht="21" customHeight="1">
      <x:c r="A110" s="36" t="n">
        <x:v>45658.479166666664</x:v>
      </x:c>
      <x:c r="B110" s="36" t="n">
        <x:v>45658.480567499995</x:v>
      </x:c>
      <x:c r="C110" s="36" t="n">
        <x:v>45658.479166666664</x:v>
      </x:c>
      <x:c r="D110" s="2" t="str">
        <x:v>d</x:v>
      </x:c>
      <x:c r="E110" s="18" t="n">
        <x:v>0.033620000000000004</x:v>
      </x:c>
      <x:c r="F110" s="18" t="n">
        <x:f>IF(D110="d",'两日价格与决策'!K53-'两日价格与决策'!N53,IF(D110="u",'两日价格与决策'!K53+'两日价格与决策'!M53,'两日价格与决策'!K53))</x:f>
        <x:v>0</x:v>
      </x:c>
      <x:c r="G110" s="18" t="n">
        <x:f>MAX(-F110,0)</x:f>
        <x:v>0</x:v>
      </x:c>
      <x:c r="H110" s="18" t="n">
        <x:f>MAX(F110,0)</x:f>
        <x:v>0</x:v>
      </x:c>
      <x:c r="I110" s="18" t="n">
        <x:f>J109</x:f>
        <x:v>10</x:v>
      </x:c>
      <x:c r="J110" s="18" t="n">
        <x:f>I110+E110*(G110*'原始输入与口径'!$D$5-H110/'原始输入与口径'!$D$5)</x:f>
        <x:v>10</x:v>
      </x:c>
      <x:c r="K110" s="18" t="n">
        <x:v>10</x:v>
      </x:c>
      <x:c r="L110" s="18" t="n">
        <x:v>10</x:v>
      </x:c>
      <x:c r="M110" s="18" t="n">
        <x:f>J110-L110</x:f>
        <x:v>0</x:v>
      </x:c>
      <x:c r="N110" s="18" t="n">
        <x:f>E110*(G110*'原始输入与口径'!$D$5+H110/'原始输入与口径'!$D$5)/'原始输入与口径'!$H$5</x:f>
        <x:v>0</x:v>
      </x:c>
      <x:c r="O110" s="18" t="n">
        <x:v>0</x:v>
      </x:c>
      <x:c r="P110" s="18" t="n">
        <x:f>N110-O110</x:f>
        <x:v>0</x:v>
      </x:c>
      <x:c r="Q110" s="18" t="n">
        <x:f>E110*G110</x:f>
        <x:v>0</x:v>
      </x:c>
      <x:c r="R110" s="18" t="n">
        <x:f>E110*H110</x:f>
        <x:v>0</x:v>
      </x:c>
      <x:c r="S110" s="2" t="n">
        <x:v>47</x:v>
      </x:c>
    </x:row>
    <x:row r="111" ht="21" customHeight="1">
      <x:c r="A111" s="36" t="n">
        <x:v>45658.480567499995</x:v>
      </x:c>
      <x:c r="B111" s="36" t="n">
        <x:v>45658.48958333333</x:v>
      </x:c>
      <x:c r="C111" s="36" t="n">
        <x:v>45658.479166666664</x:v>
      </x:c>
      <x:c r="D111" s="2" t="str">
        <x:v>0</x:v>
      </x:c>
      <x:c r="E111" s="18" t="n">
        <x:v>0.21638</x:v>
      </x:c>
      <x:c r="F111" s="18" t="n">
        <x:f>IF(D111="d",'两日价格与决策'!K53-'两日价格与决策'!N53,IF(D111="u",'两日价格与决策'!K53+'两日价格与决策'!M53,'两日价格与决策'!K53))</x:f>
        <x:v>0</x:v>
      </x:c>
      <x:c r="G111" s="18" t="n">
        <x:f>MAX(-F111,0)</x:f>
        <x:v>0</x:v>
      </x:c>
      <x:c r="H111" s="18" t="n">
        <x:f>MAX(F111,0)</x:f>
        <x:v>0</x:v>
      </x:c>
      <x:c r="I111" s="18" t="n">
        <x:f>J110</x:f>
        <x:v>10</x:v>
      </x:c>
      <x:c r="J111" s="18" t="n">
        <x:f>I111+E111*(G111*'原始输入与口径'!$D$5-H111/'原始输入与口径'!$D$5)</x:f>
        <x:v>10</x:v>
      </x:c>
      <x:c r="K111" s="18" t="n">
        <x:v>10</x:v>
      </x:c>
      <x:c r="L111" s="18" t="n">
        <x:v>10</x:v>
      </x:c>
      <x:c r="M111" s="18" t="n">
        <x:f>J111-L111</x:f>
        <x:v>0</x:v>
      </x:c>
      <x:c r="N111" s="18" t="n">
        <x:f>E111*(G111*'原始输入与口径'!$D$5+H111/'原始输入与口径'!$D$5)/'原始输入与口径'!$H$5</x:f>
        <x:v>0</x:v>
      </x:c>
      <x:c r="O111" s="18" t="n">
        <x:v>0</x:v>
      </x:c>
      <x:c r="P111" s="18" t="n">
        <x:f>N111-O111</x:f>
        <x:v>0</x:v>
      </x:c>
      <x:c r="Q111" s="18" t="n">
        <x:f>E111*G111</x:f>
        <x:v>0</x:v>
      </x:c>
      <x:c r="R111" s="18" t="n">
        <x:f>E111*H111</x:f>
        <x:v>0</x:v>
      </x:c>
      <x:c r="S111" s="2" t="n">
        <x:v>47</x:v>
      </x:c>
    </x:row>
    <x:row r="112" ht="21" customHeight="1">
      <x:c r="A112" s="36" t="n">
        <x:v>45658.489583333336</x:v>
      </x:c>
      <x:c r="B112" s="36" t="n">
        <x:v>45658.49195645833</x:v>
      </x:c>
      <x:c r="C112" s="36" t="n">
        <x:v>45658.489583333336</x:v>
      </x:c>
      <x:c r="D112" s="2" t="str">
        <x:v>d</x:v>
      </x:c>
      <x:c r="E112" s="18" t="n">
        <x:v>0.056955</x:v>
      </x:c>
      <x:c r="F112" s="18" t="n">
        <x:f>IF(D112="d",'两日价格与决策'!K54-'两日价格与决策'!N54,IF(D112="u",'两日价格与决策'!K54+'两日价格与决策'!M54,'两日价格与决策'!K54))</x:f>
        <x:v>0</x:v>
      </x:c>
      <x:c r="G112" s="18" t="n">
        <x:f>MAX(-F112,0)</x:f>
        <x:v>0</x:v>
      </x:c>
      <x:c r="H112" s="18" t="n">
        <x:f>MAX(F112,0)</x:f>
        <x:v>0</x:v>
      </x:c>
      <x:c r="I112" s="18" t="n">
        <x:f>J111</x:f>
        <x:v>10</x:v>
      </x:c>
      <x:c r="J112" s="18" t="n">
        <x:f>I112+E112*(G112*'原始输入与口径'!$D$5-H112/'原始输入与口径'!$D$5)</x:f>
        <x:v>10</x:v>
      </x:c>
      <x:c r="K112" s="18" t="n">
        <x:v>10</x:v>
      </x:c>
      <x:c r="L112" s="18" t="n">
        <x:v>10</x:v>
      </x:c>
      <x:c r="M112" s="18" t="n">
        <x:f>J112-L112</x:f>
        <x:v>0</x:v>
      </x:c>
      <x:c r="N112" s="18" t="n">
        <x:f>E112*(G112*'原始输入与口径'!$D$5+H112/'原始输入与口径'!$D$5)/'原始输入与口径'!$H$5</x:f>
        <x:v>0</x:v>
      </x:c>
      <x:c r="O112" s="18" t="n">
        <x:v>0</x:v>
      </x:c>
      <x:c r="P112" s="18" t="n">
        <x:f>N112-O112</x:f>
        <x:v>0</x:v>
      </x:c>
      <x:c r="Q112" s="18" t="n">
        <x:f>E112*G112</x:f>
        <x:v>0</x:v>
      </x:c>
      <x:c r="R112" s="18" t="n">
        <x:f>E112*H112</x:f>
        <x:v>0</x:v>
      </x:c>
      <x:c r="S112" s="2" t="n">
        <x:v>48</x:v>
      </x:c>
    </x:row>
    <x:row r="113" ht="21" customHeight="1">
      <x:c r="A113" s="36" t="n">
        <x:v>45658.49195645833</x:v>
      </x:c>
      <x:c r="B113" s="36" t="n">
        <x:v>45658.5</x:v>
      </x:c>
      <x:c r="C113" s="36" t="n">
        <x:v>45658.489583333336</x:v>
      </x:c>
      <x:c r="D113" s="2" t="str">
        <x:v>0</x:v>
      </x:c>
      <x:c r="E113" s="18" t="n">
        <x:v>0.193045</x:v>
      </x:c>
      <x:c r="F113" s="18" t="n">
        <x:f>IF(D113="d",'两日价格与决策'!K54-'两日价格与决策'!N54,IF(D113="u",'两日价格与决策'!K54+'两日价格与决策'!M54,'两日价格与决策'!K54))</x:f>
        <x:v>0</x:v>
      </x:c>
      <x:c r="G113" s="18" t="n">
        <x:f>MAX(-F113,0)</x:f>
        <x:v>0</x:v>
      </x:c>
      <x:c r="H113" s="18" t="n">
        <x:f>MAX(F113,0)</x:f>
        <x:v>0</x:v>
      </x:c>
      <x:c r="I113" s="18" t="n">
        <x:f>J112</x:f>
        <x:v>10</x:v>
      </x:c>
      <x:c r="J113" s="18" t="n">
        <x:f>I113+E113*(G113*'原始输入与口径'!$D$5-H113/'原始输入与口径'!$D$5)</x:f>
        <x:v>10</x:v>
      </x:c>
      <x:c r="K113" s="18" t="n">
        <x:v>10</x:v>
      </x:c>
      <x:c r="L113" s="18" t="n">
        <x:v>10</x:v>
      </x:c>
      <x:c r="M113" s="18" t="n">
        <x:f>J113-L113</x:f>
        <x:v>0</x:v>
      </x:c>
      <x:c r="N113" s="18" t="n">
        <x:f>E113*(G113*'原始输入与口径'!$D$5+H113/'原始输入与口径'!$D$5)/'原始输入与口径'!$H$5</x:f>
        <x:v>0</x:v>
      </x:c>
      <x:c r="O113" s="18" t="n">
        <x:v>0</x:v>
      </x:c>
      <x:c r="P113" s="18" t="n">
        <x:f>N113-O113</x:f>
        <x:v>0</x:v>
      </x:c>
      <x:c r="Q113" s="18" t="n">
        <x:f>E113*G113</x:f>
        <x:v>0</x:v>
      </x:c>
      <x:c r="R113" s="18" t="n">
        <x:f>E113*H113</x:f>
        <x:v>0</x:v>
      </x:c>
      <x:c r="S113" s="2" t="n">
        <x:v>48</x:v>
      </x:c>
    </x:row>
    <x:row r="114" ht="21" customHeight="1">
      <x:c r="A114" s="36" t="n">
        <x:v>45658.5</x:v>
      </x:c>
      <x:c r="B114" s="36" t="n">
        <x:v>45658.500563333335</x:v>
      </x:c>
      <x:c r="C114" s="36" t="n">
        <x:v>45658.5</x:v>
      </x:c>
      <x:c r="D114" s="2" t="str">
        <x:v>d</x:v>
      </x:c>
      <x:c r="E114" s="18" t="n">
        <x:v>0.01352</x:v>
      </x:c>
      <x:c r="F114" s="18" t="n">
        <x:f>IF(D114="d",'两日价格与决策'!K55-'两日价格与决策'!N55,IF(D114="u",'两日价格与决策'!K55+'两日价格与决策'!M55,'两日价格与决策'!K55))</x:f>
        <x:v>0</x:v>
      </x:c>
      <x:c r="G114" s="18" t="n">
        <x:f>MAX(-F114,0)</x:f>
        <x:v>0</x:v>
      </x:c>
      <x:c r="H114" s="18" t="n">
        <x:f>MAX(F114,0)</x:f>
        <x:v>0</x:v>
      </x:c>
      <x:c r="I114" s="18" t="n">
        <x:f>J113</x:f>
        <x:v>10</x:v>
      </x:c>
      <x:c r="J114" s="18" t="n">
        <x:f>I114+E114*(G114*'原始输入与口径'!$D$5-H114/'原始输入与口径'!$D$5)</x:f>
        <x:v>10</x:v>
      </x:c>
      <x:c r="K114" s="18" t="n">
        <x:v>10</x:v>
      </x:c>
      <x:c r="L114" s="18" t="n">
        <x:v>10</x:v>
      </x:c>
      <x:c r="M114" s="18" t="n">
        <x:f>J114-L114</x:f>
        <x:v>0</x:v>
      </x:c>
      <x:c r="N114" s="18" t="n">
        <x:f>E114*(G114*'原始输入与口径'!$D$5+H114/'原始输入与口径'!$D$5)/'原始输入与口径'!$H$5</x:f>
        <x:v>0</x:v>
      </x:c>
      <x:c r="O114" s="18" t="n">
        <x:v>0</x:v>
      </x:c>
      <x:c r="P114" s="18" t="n">
        <x:f>N114-O114</x:f>
        <x:v>0</x:v>
      </x:c>
      <x:c r="Q114" s="18" t="n">
        <x:f>E114*G114</x:f>
        <x:v>0</x:v>
      </x:c>
      <x:c r="R114" s="18" t="n">
        <x:f>E114*H114</x:f>
        <x:v>0</x:v>
      </x:c>
      <x:c r="S114" s="2" t="n">
        <x:v>49</x:v>
      </x:c>
    </x:row>
    <x:row r="115" ht="21" customHeight="1">
      <x:c r="A115" s="36" t="n">
        <x:v>45658.500563333335</x:v>
      </x:c>
      <x:c r="B115" s="36" t="n">
        <x:v>45658.510416666664</x:v>
      </x:c>
      <x:c r="C115" s="36" t="n">
        <x:v>45658.5</x:v>
      </x:c>
      <x:c r="D115" s="2" t="str">
        <x:v>0</x:v>
      </x:c>
      <x:c r="E115" s="18" t="n">
        <x:v>0.23648</x:v>
      </x:c>
      <x:c r="F115" s="18" t="n">
        <x:f>IF(D115="d",'两日价格与决策'!K55-'两日价格与决策'!N55,IF(D115="u",'两日价格与决策'!K55+'两日价格与决策'!M55,'两日价格与决策'!K55))</x:f>
        <x:v>0</x:v>
      </x:c>
      <x:c r="G115" s="18" t="n">
        <x:f>MAX(-F115,0)</x:f>
        <x:v>0</x:v>
      </x:c>
      <x:c r="H115" s="18" t="n">
        <x:f>MAX(F115,0)</x:f>
        <x:v>0</x:v>
      </x:c>
      <x:c r="I115" s="18" t="n">
        <x:f>J114</x:f>
        <x:v>10</x:v>
      </x:c>
      <x:c r="J115" s="18" t="n">
        <x:f>I115+E115*(G115*'原始输入与口径'!$D$5-H115/'原始输入与口径'!$D$5)</x:f>
        <x:v>10</x:v>
      </x:c>
      <x:c r="K115" s="18" t="n">
        <x:v>10</x:v>
      </x:c>
      <x:c r="L115" s="18" t="n">
        <x:v>10</x:v>
      </x:c>
      <x:c r="M115" s="18" t="n">
        <x:f>J115-L115</x:f>
        <x:v>0</x:v>
      </x:c>
      <x:c r="N115" s="18" t="n">
        <x:f>E115*(G115*'原始输入与口径'!$D$5+H115/'原始输入与口径'!$D$5)/'原始输入与口径'!$H$5</x:f>
        <x:v>0</x:v>
      </x:c>
      <x:c r="O115" s="18" t="n">
        <x:v>0</x:v>
      </x:c>
      <x:c r="P115" s="18" t="n">
        <x:f>N115-O115</x:f>
        <x:v>0</x:v>
      </x:c>
      <x:c r="Q115" s="18" t="n">
        <x:f>E115*G115</x:f>
        <x:v>0</x:v>
      </x:c>
      <x:c r="R115" s="18" t="n">
        <x:f>E115*H115</x:f>
        <x:v>0</x:v>
      </x:c>
      <x:c r="S115" s="2" t="n">
        <x:v>49</x:v>
      </x:c>
    </x:row>
    <x:row r="116" ht="21" customHeight="1">
      <x:c r="A116" s="36" t="n">
        <x:v>45658.510416666664</x:v>
      </x:c>
      <x:c r="B116" s="36" t="n">
        <x:v>45658.510417708334</x:v>
      </x:c>
      <x:c r="C116" s="36" t="n">
        <x:v>45658.510416666664</x:v>
      </x:c>
      <x:c r="D116" s="2" t="str">
        <x:v>d</x:v>
      </x:c>
      <x:c r="E116" s="18" t="n">
        <x:v>0.000025</x:v>
      </x:c>
      <x:c r="F116" s="18" t="n">
        <x:f>IF(D116="d",'两日价格与决策'!K56-'两日价格与决策'!N56,IF(D116="u",'两日价格与决策'!K56+'两日价格与决策'!M56,'两日价格与决策'!K56))</x:f>
        <x:v>0</x:v>
      </x:c>
      <x:c r="G116" s="18" t="n">
        <x:f>MAX(-F116,0)</x:f>
        <x:v>0</x:v>
      </x:c>
      <x:c r="H116" s="18" t="n">
        <x:f>MAX(F116,0)</x:f>
        <x:v>0</x:v>
      </x:c>
      <x:c r="I116" s="18" t="n">
        <x:f>J115</x:f>
        <x:v>10</x:v>
      </x:c>
      <x:c r="J116" s="18" t="n">
        <x:f>I116+E116*(G116*'原始输入与口径'!$D$5-H116/'原始输入与口径'!$D$5)</x:f>
        <x:v>10</x:v>
      </x:c>
      <x:c r="K116" s="18" t="n">
        <x:v>10</x:v>
      </x:c>
      <x:c r="L116" s="18" t="n">
        <x:v>10</x:v>
      </x:c>
      <x:c r="M116" s="18" t="n">
        <x:f>J116-L116</x:f>
        <x:v>0</x:v>
      </x:c>
      <x:c r="N116" s="18" t="n">
        <x:f>E116*(G116*'原始输入与口径'!$D$5+H116/'原始输入与口径'!$D$5)/'原始输入与口径'!$H$5</x:f>
        <x:v>0</x:v>
      </x:c>
      <x:c r="O116" s="18" t="n">
        <x:v>0</x:v>
      </x:c>
      <x:c r="P116" s="18" t="n">
        <x:f>N116-O116</x:f>
        <x:v>0</x:v>
      </x:c>
      <x:c r="Q116" s="18" t="n">
        <x:f>E116*G116</x:f>
        <x:v>0</x:v>
      </x:c>
      <x:c r="R116" s="18" t="n">
        <x:f>E116*H116</x:f>
        <x:v>0</x:v>
      </x:c>
      <x:c r="S116" s="2" t="n">
        <x:v>50</x:v>
      </x:c>
    </x:row>
    <x:row r="117" ht="21" customHeight="1">
      <x:c r="A117" s="36" t="n">
        <x:v>45658.510417708334</x:v>
      </x:c>
      <x:c r="B117" s="36" t="n">
        <x:v>45658.51061875</x:v>
      </x:c>
      <x:c r="C117" s="36" t="n">
        <x:v>45658.510416666664</x:v>
      </x:c>
      <x:c r="D117" s="2" t="str">
        <x:v>u</x:v>
      </x:c>
      <x:c r="E117" s="18" t="n">
        <x:v>0.004824999999999999</x:v>
      </x:c>
      <x:c r="F117" s="18" t="n">
        <x:f>IF(D117="d",'两日价格与决策'!K56-'两日价格与决策'!N56,IF(D117="u",'两日价格与决策'!K56+'两日价格与决策'!M56,'两日价格与决策'!K56))</x:f>
        <x:v>0</x:v>
      </x:c>
      <x:c r="G117" s="18" t="n">
        <x:f>MAX(-F117,0)</x:f>
        <x:v>0</x:v>
      </x:c>
      <x:c r="H117" s="18" t="n">
        <x:f>MAX(F117,0)</x:f>
        <x:v>0</x:v>
      </x:c>
      <x:c r="I117" s="18" t="n">
        <x:f>J116</x:f>
        <x:v>10</x:v>
      </x:c>
      <x:c r="J117" s="18" t="n">
        <x:f>I117+E117*(G117*'原始输入与口径'!$D$5-H117/'原始输入与口径'!$D$5)</x:f>
        <x:v>10</x:v>
      </x:c>
      <x:c r="K117" s="18" t="n">
        <x:v>10</x:v>
      </x:c>
      <x:c r="L117" s="18" t="n">
        <x:v>10</x:v>
      </x:c>
      <x:c r="M117" s="18" t="n">
        <x:f>J117-L117</x:f>
        <x:v>0</x:v>
      </x:c>
      <x:c r="N117" s="18" t="n">
        <x:f>E117*(G117*'原始输入与口径'!$D$5+H117/'原始输入与口径'!$D$5)/'原始输入与口径'!$H$5</x:f>
        <x:v>0</x:v>
      </x:c>
      <x:c r="O117" s="18" t="n">
        <x:v>0</x:v>
      </x:c>
      <x:c r="P117" s="18" t="n">
        <x:f>N117-O117</x:f>
        <x:v>0</x:v>
      </x:c>
      <x:c r="Q117" s="18" t="n">
        <x:f>E117*G117</x:f>
        <x:v>0</x:v>
      </x:c>
      <x:c r="R117" s="18" t="n">
        <x:f>E117*H117</x:f>
        <x:v>0</x:v>
      </x:c>
      <x:c r="S117" s="2" t="n">
        <x:v>50</x:v>
      </x:c>
    </x:row>
    <x:row r="118" ht="21" customHeight="1">
      <x:c r="A118" s="36" t="n">
        <x:v>45658.51061875</x:v>
      </x:c>
      <x:c r="B118" s="36" t="n">
        <x:v>45658.52083333333</x:v>
      </x:c>
      <x:c r="C118" s="36" t="n">
        <x:v>45658.510416666664</x:v>
      </x:c>
      <x:c r="D118" s="2" t="str">
        <x:v>0</x:v>
      </x:c>
      <x:c r="E118" s="18" t="n">
        <x:v>0.24515</x:v>
      </x:c>
      <x:c r="F118" s="18" t="n">
        <x:f>IF(D118="d",'两日价格与决策'!K56-'两日价格与决策'!N56,IF(D118="u",'两日价格与决策'!K56+'两日价格与决策'!M56,'两日价格与决策'!K56))</x:f>
        <x:v>0</x:v>
      </x:c>
      <x:c r="G118" s="18" t="n">
        <x:f>MAX(-F118,0)</x:f>
        <x:v>0</x:v>
      </x:c>
      <x:c r="H118" s="18" t="n">
        <x:f>MAX(F118,0)</x:f>
        <x:v>0</x:v>
      </x:c>
      <x:c r="I118" s="18" t="n">
        <x:f>J117</x:f>
        <x:v>10</x:v>
      </x:c>
      <x:c r="J118" s="18" t="n">
        <x:f>I118+E118*(G118*'原始输入与口径'!$D$5-H118/'原始输入与口径'!$D$5)</x:f>
        <x:v>10</x:v>
      </x:c>
      <x:c r="K118" s="18" t="n">
        <x:v>10</x:v>
      </x:c>
      <x:c r="L118" s="18" t="n">
        <x:v>10</x:v>
      </x:c>
      <x:c r="M118" s="18" t="n">
        <x:f>J118-L118</x:f>
        <x:v>0</x:v>
      </x:c>
      <x:c r="N118" s="18" t="n">
        <x:f>E118*(G118*'原始输入与口径'!$D$5+H118/'原始输入与口径'!$D$5)/'原始输入与口径'!$H$5</x:f>
        <x:v>0</x:v>
      </x:c>
      <x:c r="O118" s="18" t="n">
        <x:v>0</x:v>
      </x:c>
      <x:c r="P118" s="18" t="n">
        <x:f>N118-O118</x:f>
        <x:v>0</x:v>
      </x:c>
      <x:c r="Q118" s="18" t="n">
        <x:f>E118*G118</x:f>
        <x:v>0</x:v>
      </x:c>
      <x:c r="R118" s="18" t="n">
        <x:f>E118*H118</x:f>
        <x:v>0</x:v>
      </x:c>
      <x:c r="S118" s="2" t="n">
        <x:v>50</x:v>
      </x:c>
    </x:row>
    <x:row r="119" ht="21" customHeight="1">
      <x:c r="A119" s="36" t="n">
        <x:v>45658.520833333336</x:v>
      </x:c>
      <x:c r="B119" s="36" t="n">
        <x:v>45658.52310979167</x:v>
      </x:c>
      <x:c r="C119" s="36" t="n">
        <x:v>45658.520833333336</x:v>
      </x:c>
      <x:c r="D119" s="2" t="str">
        <x:v>u</x:v>
      </x:c>
      <x:c r="E119" s="18" t="n">
        <x:v>0.054634999999999996</x:v>
      </x:c>
      <x:c r="F119" s="18" t="n">
        <x:f>IF(D119="d",'两日价格与决策'!K57-'两日价格与决策'!N57,IF(D119="u",'两日价格与决策'!K57+'两日价格与决策'!M57,'两日价格与决策'!K57))</x:f>
        <x:v>0</x:v>
      </x:c>
      <x:c r="G119" s="18" t="n">
        <x:f>MAX(-F119,0)</x:f>
        <x:v>0</x:v>
      </x:c>
      <x:c r="H119" s="18" t="n">
        <x:f>MAX(F119,0)</x:f>
        <x:v>0</x:v>
      </x:c>
      <x:c r="I119" s="18" t="n">
        <x:f>J118</x:f>
        <x:v>10</x:v>
      </x:c>
      <x:c r="J119" s="18" t="n">
        <x:f>I119+E119*(G119*'原始输入与口径'!$D$5-H119/'原始输入与口径'!$D$5)</x:f>
        <x:v>10</x:v>
      </x:c>
      <x:c r="K119" s="18" t="n">
        <x:v>10</x:v>
      </x:c>
      <x:c r="L119" s="18" t="n">
        <x:v>10</x:v>
      </x:c>
      <x:c r="M119" s="18" t="n">
        <x:f>J119-L119</x:f>
        <x:v>0</x:v>
      </x:c>
      <x:c r="N119" s="18" t="n">
        <x:f>E119*(G119*'原始输入与口径'!$D$5+H119/'原始输入与口径'!$D$5)/'原始输入与口径'!$H$5</x:f>
        <x:v>0</x:v>
      </x:c>
      <x:c r="O119" s="18" t="n">
        <x:v>0</x:v>
      </x:c>
      <x:c r="P119" s="18" t="n">
        <x:f>N119-O119</x:f>
        <x:v>0</x:v>
      </x:c>
      <x:c r="Q119" s="18" t="n">
        <x:f>E119*G119</x:f>
        <x:v>0</x:v>
      </x:c>
      <x:c r="R119" s="18" t="n">
        <x:f>E119*H119</x:f>
        <x:v>0</x:v>
      </x:c>
      <x:c r="S119" s="2" t="n">
        <x:v>51</x:v>
      </x:c>
    </x:row>
    <x:row r="120" ht="21" customHeight="1">
      <x:c r="A120" s="36" t="n">
        <x:v>45658.52310979167</x:v>
      </x:c>
      <x:c r="B120" s="36" t="n">
        <x:v>45658.53125</x:v>
      </x:c>
      <x:c r="C120" s="36" t="n">
        <x:v>45658.520833333336</x:v>
      </x:c>
      <x:c r="D120" s="2" t="str">
        <x:v>0</x:v>
      </x:c>
      <x:c r="E120" s="18" t="n">
        <x:v>0.195365</x:v>
      </x:c>
      <x:c r="F120" s="18" t="n">
        <x:f>IF(D120="d",'两日价格与决策'!K57-'两日价格与决策'!N57,IF(D120="u",'两日价格与决策'!K57+'两日价格与决策'!M57,'两日价格与决策'!K57))</x:f>
        <x:v>0</x:v>
      </x:c>
      <x:c r="G120" s="18" t="n">
        <x:f>MAX(-F120,0)</x:f>
        <x:v>0</x:v>
      </x:c>
      <x:c r="H120" s="18" t="n">
        <x:f>MAX(F120,0)</x:f>
        <x:v>0</x:v>
      </x:c>
      <x:c r="I120" s="18" t="n">
        <x:f>J119</x:f>
        <x:v>10</x:v>
      </x:c>
      <x:c r="J120" s="18" t="n">
        <x:f>I120+E120*(G120*'原始输入与口径'!$D$5-H120/'原始输入与口径'!$D$5)</x:f>
        <x:v>10</x:v>
      </x:c>
      <x:c r="K120" s="18" t="n">
        <x:v>10</x:v>
      </x:c>
      <x:c r="L120" s="18" t="n">
        <x:v>10</x:v>
      </x:c>
      <x:c r="M120" s="18" t="n">
        <x:f>J120-L120</x:f>
        <x:v>0</x:v>
      </x:c>
      <x:c r="N120" s="18" t="n">
        <x:f>E120*(G120*'原始输入与口径'!$D$5+H120/'原始输入与口径'!$D$5)/'原始输入与口径'!$H$5</x:f>
        <x:v>0</x:v>
      </x:c>
      <x:c r="O120" s="18" t="n">
        <x:v>0</x:v>
      </x:c>
      <x:c r="P120" s="18" t="n">
        <x:f>N120-O120</x:f>
        <x:v>0</x:v>
      </x:c>
      <x:c r="Q120" s="18" t="n">
        <x:f>E120*G120</x:f>
        <x:v>0</x:v>
      </x:c>
      <x:c r="R120" s="18" t="n">
        <x:f>E120*H120</x:f>
        <x:v>0</x:v>
      </x:c>
      <x:c r="S120" s="2" t="n">
        <x:v>51</x:v>
      </x:c>
    </x:row>
    <x:row r="121" ht="21" customHeight="1">
      <x:c r="A121" s="36" t="n">
        <x:v>45658.53125</x:v>
      </x:c>
      <x:c r="B121" s="36" t="n">
        <x:v>45658.53282166667</x:v>
      </x:c>
      <x:c r="C121" s="36" t="n">
        <x:v>45658.53125</x:v>
      </x:c>
      <x:c r="D121" s="2" t="str">
        <x:v>u</x:v>
      </x:c>
      <x:c r="E121" s="18" t="n">
        <x:v>0.03772</x:v>
      </x:c>
      <x:c r="F121" s="18" t="n">
        <x:f>IF(D121="d",'两日价格与决策'!K58-'两日价格与决策'!N58,IF(D121="u",'两日价格与决策'!K58+'两日价格与决策'!M58,'两日价格与决策'!K58))</x:f>
        <x:v>0</x:v>
      </x:c>
      <x:c r="G121" s="18" t="n">
        <x:f>MAX(-F121,0)</x:f>
        <x:v>0</x:v>
      </x:c>
      <x:c r="H121" s="18" t="n">
        <x:f>MAX(F121,0)</x:f>
        <x:v>0</x:v>
      </x:c>
      <x:c r="I121" s="18" t="n">
        <x:f>J120</x:f>
        <x:v>10</x:v>
      </x:c>
      <x:c r="J121" s="18" t="n">
        <x:f>I121+E121*(G121*'原始输入与口径'!$D$5-H121/'原始输入与口径'!$D$5)</x:f>
        <x:v>10</x:v>
      </x:c>
      <x:c r="K121" s="18" t="n">
        <x:v>10</x:v>
      </x:c>
      <x:c r="L121" s="18" t="n">
        <x:v>10</x:v>
      </x:c>
      <x:c r="M121" s="18" t="n">
        <x:f>J121-L121</x:f>
        <x:v>0</x:v>
      </x:c>
      <x:c r="N121" s="18" t="n">
        <x:f>E121*(G121*'原始输入与口径'!$D$5+H121/'原始输入与口径'!$D$5)/'原始输入与口径'!$H$5</x:f>
        <x:v>0</x:v>
      </x:c>
      <x:c r="O121" s="18" t="n">
        <x:v>0</x:v>
      </x:c>
      <x:c r="P121" s="18" t="n">
        <x:f>N121-O121</x:f>
        <x:v>0</x:v>
      </x:c>
      <x:c r="Q121" s="18" t="n">
        <x:f>E121*G121</x:f>
        <x:v>0</x:v>
      </x:c>
      <x:c r="R121" s="18" t="n">
        <x:f>E121*H121</x:f>
        <x:v>0</x:v>
      </x:c>
      <x:c r="S121" s="2" t="n">
        <x:v>52</x:v>
      </x:c>
    </x:row>
    <x:row r="122" ht="21" customHeight="1">
      <x:c r="A122" s="36" t="n">
        <x:v>45658.53282166667</x:v>
      </x:c>
      <x:c r="B122" s="36" t="n">
        <x:v>45658.541666666664</x:v>
      </x:c>
      <x:c r="C122" s="36" t="n">
        <x:v>45658.53125</x:v>
      </x:c>
      <x:c r="D122" s="2" t="str">
        <x:v>0</x:v>
      </x:c>
      <x:c r="E122" s="18" t="n">
        <x:v>0.21228</x:v>
      </x:c>
      <x:c r="F122" s="18" t="n">
        <x:f>IF(D122="d",'两日价格与决策'!K58-'两日价格与决策'!N58,IF(D122="u",'两日价格与决策'!K58+'两日价格与决策'!M58,'两日价格与决策'!K58))</x:f>
        <x:v>0</x:v>
      </x:c>
      <x:c r="G122" s="18" t="n">
        <x:f>MAX(-F122,0)</x:f>
        <x:v>0</x:v>
      </x:c>
      <x:c r="H122" s="18" t="n">
        <x:f>MAX(F122,0)</x:f>
        <x:v>0</x:v>
      </x:c>
      <x:c r="I122" s="18" t="n">
        <x:f>J121</x:f>
        <x:v>10</x:v>
      </x:c>
      <x:c r="J122" s="18" t="n">
        <x:f>I122+E122*(G122*'原始输入与口径'!$D$5-H122/'原始输入与口径'!$D$5)</x:f>
        <x:v>10</x:v>
      </x:c>
      <x:c r="K122" s="18" t="n">
        <x:v>10</x:v>
      </x:c>
      <x:c r="L122" s="18" t="n">
        <x:v>10</x:v>
      </x:c>
      <x:c r="M122" s="18" t="n">
        <x:f>J122-L122</x:f>
        <x:v>0</x:v>
      </x:c>
      <x:c r="N122" s="18" t="n">
        <x:f>E122*(G122*'原始输入与口径'!$D$5+H122/'原始输入与口径'!$D$5)/'原始输入与口径'!$H$5</x:f>
        <x:v>0</x:v>
      </x:c>
      <x:c r="O122" s="18" t="n">
        <x:v>0</x:v>
      </x:c>
      <x:c r="P122" s="18" t="n">
        <x:f>N122-O122</x:f>
        <x:v>0</x:v>
      </x:c>
      <x:c r="Q122" s="18" t="n">
        <x:f>E122*G122</x:f>
        <x:v>0</x:v>
      </x:c>
      <x:c r="R122" s="18" t="n">
        <x:f>E122*H122</x:f>
        <x:v>0</x:v>
      </x:c>
      <x:c r="S122" s="2" t="n">
        <x:v>52</x:v>
      </x:c>
    </x:row>
    <x:row r="123" ht="21" customHeight="1">
      <x:c r="A123" s="36" t="n">
        <x:v>45658.541666666664</x:v>
      </x:c>
      <x:c r="B123" s="36" t="n">
        <x:v>45658.54171041666</x:v>
      </x:c>
      <x:c r="C123" s="36" t="n">
        <x:v>45658.541666666664</x:v>
      </x:c>
      <x:c r="D123" s="2" t="str">
        <x:v>d</x:v>
      </x:c>
      <x:c r="E123" s="18" t="n">
        <x:v>0.00105</x:v>
      </x:c>
      <x:c r="F123" s="18" t="n">
        <x:f>IF(D123="d",'两日价格与决策'!K59-'两日价格与决策'!N59,IF(D123="u",'两日价格与决策'!K59+'两日价格与决策'!M59,'两日价格与决策'!K59))</x:f>
        <x:v>0</x:v>
      </x:c>
      <x:c r="G123" s="18" t="n">
        <x:f>MAX(-F123,0)</x:f>
        <x:v>0</x:v>
      </x:c>
      <x:c r="H123" s="18" t="n">
        <x:f>MAX(F123,0)</x:f>
        <x:v>0</x:v>
      </x:c>
      <x:c r="I123" s="18" t="n">
        <x:f>J122</x:f>
        <x:v>10</x:v>
      </x:c>
      <x:c r="J123" s="18" t="n">
        <x:f>I123+E123*(G123*'原始输入与口径'!$D$5-H123/'原始输入与口径'!$D$5)</x:f>
        <x:v>10</x:v>
      </x:c>
      <x:c r="K123" s="18" t="n">
        <x:v>10</x:v>
      </x:c>
      <x:c r="L123" s="18" t="n">
        <x:v>10</x:v>
      </x:c>
      <x:c r="M123" s="18" t="n">
        <x:f>J123-L123</x:f>
        <x:v>0</x:v>
      </x:c>
      <x:c r="N123" s="18" t="n">
        <x:f>E123*(G123*'原始输入与口径'!$D$5+H123/'原始输入与口径'!$D$5)/'原始输入与口径'!$H$5</x:f>
        <x:v>0</x:v>
      </x:c>
      <x:c r="O123" s="18" t="n">
        <x:v>0</x:v>
      </x:c>
      <x:c r="P123" s="18" t="n">
        <x:f>N123-O123</x:f>
        <x:v>0</x:v>
      </x:c>
      <x:c r="Q123" s="18" t="n">
        <x:f>E123*G123</x:f>
        <x:v>0</x:v>
      </x:c>
      <x:c r="R123" s="18" t="n">
        <x:f>E123*H123</x:f>
        <x:v>0</x:v>
      </x:c>
      <x:c r="S123" s="2" t="n">
        <x:v>53</x:v>
      </x:c>
    </x:row>
    <x:row r="124" ht="21" customHeight="1">
      <x:c r="A124" s="36" t="n">
        <x:v>45658.54171041666</x:v>
      </x:c>
      <x:c r="B124" s="36" t="n">
        <x:v>45658.54180104166</x:v>
      </x:c>
      <x:c r="C124" s="36" t="n">
        <x:v>45658.541666666664</x:v>
      </x:c>
      <x:c r="D124" s="2" t="str">
        <x:v>u</x:v>
      </x:c>
      <x:c r="E124" s="18" t="n">
        <x:v>0.002175</x:v>
      </x:c>
      <x:c r="F124" s="18" t="n">
        <x:f>IF(D124="d",'两日价格与决策'!K59-'两日价格与决策'!N59,IF(D124="u",'两日价格与决策'!K59+'两日价格与决策'!M59,'两日价格与决策'!K59))</x:f>
        <x:v>0</x:v>
      </x:c>
      <x:c r="G124" s="18" t="n">
        <x:f>MAX(-F124,0)</x:f>
        <x:v>0</x:v>
      </x:c>
      <x:c r="H124" s="18" t="n">
        <x:f>MAX(F124,0)</x:f>
        <x:v>0</x:v>
      </x:c>
      <x:c r="I124" s="18" t="n">
        <x:f>J123</x:f>
        <x:v>10</x:v>
      </x:c>
      <x:c r="J124" s="18" t="n">
        <x:f>I124+E124*(G124*'原始输入与口径'!$D$5-H124/'原始输入与口径'!$D$5)</x:f>
        <x:v>10</x:v>
      </x:c>
      <x:c r="K124" s="18" t="n">
        <x:v>10</x:v>
      </x:c>
      <x:c r="L124" s="18" t="n">
        <x:v>10</x:v>
      </x:c>
      <x:c r="M124" s="18" t="n">
        <x:f>J124-L124</x:f>
        <x:v>0</x:v>
      </x:c>
      <x:c r="N124" s="18" t="n">
        <x:f>E124*(G124*'原始输入与口径'!$D$5+H124/'原始输入与口径'!$D$5)/'原始输入与口径'!$H$5</x:f>
        <x:v>0</x:v>
      </x:c>
      <x:c r="O124" s="18" t="n">
        <x:v>0</x:v>
      </x:c>
      <x:c r="P124" s="18" t="n">
        <x:f>N124-O124</x:f>
        <x:v>0</x:v>
      </x:c>
      <x:c r="Q124" s="18" t="n">
        <x:f>E124*G124</x:f>
        <x:v>0</x:v>
      </x:c>
      <x:c r="R124" s="18" t="n">
        <x:f>E124*H124</x:f>
        <x:v>0</x:v>
      </x:c>
      <x:c r="S124" s="2" t="n">
        <x:v>53</x:v>
      </x:c>
    </x:row>
    <x:row r="125" ht="21" customHeight="1">
      <x:c r="A125" s="36" t="n">
        <x:v>45658.54180104166</x:v>
      </x:c>
      <x:c r="B125" s="36" t="n">
        <x:v>45658.55208333333</x:v>
      </x:c>
      <x:c r="C125" s="36" t="n">
        <x:v>45658.541666666664</x:v>
      </x:c>
      <x:c r="D125" s="2" t="str">
        <x:v>0</x:v>
      </x:c>
      <x:c r="E125" s="18" t="n">
        <x:v>0.246775</x:v>
      </x:c>
      <x:c r="F125" s="18" t="n">
        <x:f>IF(D125="d",'两日价格与决策'!K59-'两日价格与决策'!N59,IF(D125="u",'两日价格与决策'!K59+'两日价格与决策'!M59,'两日价格与决策'!K59))</x:f>
        <x:v>0</x:v>
      </x:c>
      <x:c r="G125" s="18" t="n">
        <x:f>MAX(-F125,0)</x:f>
        <x:v>0</x:v>
      </x:c>
      <x:c r="H125" s="18" t="n">
        <x:f>MAX(F125,0)</x:f>
        <x:v>0</x:v>
      </x:c>
      <x:c r="I125" s="18" t="n">
        <x:f>J124</x:f>
        <x:v>10</x:v>
      </x:c>
      <x:c r="J125" s="18" t="n">
        <x:f>I125+E125*(G125*'原始输入与口径'!$D$5-H125/'原始输入与口径'!$D$5)</x:f>
        <x:v>10</x:v>
      </x:c>
      <x:c r="K125" s="18" t="n">
        <x:v>10</x:v>
      </x:c>
      <x:c r="L125" s="18" t="n">
        <x:v>10</x:v>
      </x:c>
      <x:c r="M125" s="18" t="n">
        <x:f>J125-L125</x:f>
        <x:v>0</x:v>
      </x:c>
      <x:c r="N125" s="18" t="n">
        <x:f>E125*(G125*'原始输入与口径'!$D$5+H125/'原始输入与口径'!$D$5)/'原始输入与口径'!$H$5</x:f>
        <x:v>0</x:v>
      </x:c>
      <x:c r="O125" s="18" t="n">
        <x:v>0</x:v>
      </x:c>
      <x:c r="P125" s="18" t="n">
        <x:f>N125-O125</x:f>
        <x:v>0</x:v>
      </x:c>
      <x:c r="Q125" s="18" t="n">
        <x:f>E125*G125</x:f>
        <x:v>0</x:v>
      </x:c>
      <x:c r="R125" s="18" t="n">
        <x:f>E125*H125</x:f>
        <x:v>0</x:v>
      </x:c>
      <x:c r="S125" s="2" t="n">
        <x:v>53</x:v>
      </x:c>
    </x:row>
    <x:row r="126" ht="21" customHeight="1">
      <x:c r="A126" s="36" t="n">
        <x:v>45658.552083333336</x:v>
      </x:c>
      <x:c r="B126" s="36" t="n">
        <x:v>45658.55267708334</x:v>
      </x:c>
      <x:c r="C126" s="36" t="n">
        <x:v>45658.552083333336</x:v>
      </x:c>
      <x:c r="D126" s="2" t="str">
        <x:v>d</x:v>
      </x:c>
      <x:c r="E126" s="18" t="n">
        <x:v>0.01425</x:v>
      </x:c>
      <x:c r="F126" s="18" t="n">
        <x:f>IF(D126="d",'两日价格与决策'!K60-'两日价格与决策'!N60,IF(D126="u",'两日价格与决策'!K60+'两日价格与决策'!M60,'两日价格与决策'!K60))</x:f>
        <x:v>0</x:v>
      </x:c>
      <x:c r="G126" s="18" t="n">
        <x:f>MAX(-F126,0)</x:f>
        <x:v>0</x:v>
      </x:c>
      <x:c r="H126" s="18" t="n">
        <x:f>MAX(F126,0)</x:f>
        <x:v>0</x:v>
      </x:c>
      <x:c r="I126" s="18" t="n">
        <x:f>J125</x:f>
        <x:v>10</x:v>
      </x:c>
      <x:c r="J126" s="18" t="n">
        <x:f>I126+E126*(G126*'原始输入与口径'!$D$5-H126/'原始输入与口径'!$D$5)</x:f>
        <x:v>10</x:v>
      </x:c>
      <x:c r="K126" s="18" t="n">
        <x:v>10</x:v>
      </x:c>
      <x:c r="L126" s="18" t="n">
        <x:v>10</x:v>
      </x:c>
      <x:c r="M126" s="18" t="n">
        <x:f>J126-L126</x:f>
        <x:v>0</x:v>
      </x:c>
      <x:c r="N126" s="18" t="n">
        <x:f>E126*(G126*'原始输入与口径'!$D$5+H126/'原始输入与口径'!$D$5)/'原始输入与口径'!$H$5</x:f>
        <x:v>0</x:v>
      </x:c>
      <x:c r="O126" s="18" t="n">
        <x:v>0</x:v>
      </x:c>
      <x:c r="P126" s="18" t="n">
        <x:f>N126-O126</x:f>
        <x:v>0</x:v>
      </x:c>
      <x:c r="Q126" s="18" t="n">
        <x:f>E126*G126</x:f>
        <x:v>0</x:v>
      </x:c>
      <x:c r="R126" s="18" t="n">
        <x:f>E126*H126</x:f>
        <x:v>0</x:v>
      </x:c>
      <x:c r="S126" s="2" t="n">
        <x:v>54</x:v>
      </x:c>
    </x:row>
    <x:row r="127" ht="21" customHeight="1">
      <x:c r="A127" s="36" t="n">
        <x:v>45658.55267708334</x:v>
      </x:c>
      <x:c r="B127" s="36" t="n">
        <x:v>45658.5625</x:v>
      </x:c>
      <x:c r="C127" s="36" t="n">
        <x:v>45658.552083333336</x:v>
      </x:c>
      <x:c r="D127" s="2" t="str">
        <x:v>0</x:v>
      </x:c>
      <x:c r="E127" s="18" t="n">
        <x:v>0.23575</x:v>
      </x:c>
      <x:c r="F127" s="18" t="n">
        <x:f>IF(D127="d",'两日价格与决策'!K60-'两日价格与决策'!N60,IF(D127="u",'两日价格与决策'!K60+'两日价格与决策'!M60,'两日价格与决策'!K60))</x:f>
        <x:v>0</x:v>
      </x:c>
      <x:c r="G127" s="18" t="n">
        <x:f>MAX(-F127,0)</x:f>
        <x:v>0</x:v>
      </x:c>
      <x:c r="H127" s="18" t="n">
        <x:f>MAX(F127,0)</x:f>
        <x:v>0</x:v>
      </x:c>
      <x:c r="I127" s="18" t="n">
        <x:f>J126</x:f>
        <x:v>10</x:v>
      </x:c>
      <x:c r="J127" s="18" t="n">
        <x:f>I127+E127*(G127*'原始输入与口径'!$D$5-H127/'原始输入与口径'!$D$5)</x:f>
        <x:v>10</x:v>
      </x:c>
      <x:c r="K127" s="18" t="n">
        <x:v>10</x:v>
      </x:c>
      <x:c r="L127" s="18" t="n">
        <x:v>10</x:v>
      </x:c>
      <x:c r="M127" s="18" t="n">
        <x:f>J127-L127</x:f>
        <x:v>0</x:v>
      </x:c>
      <x:c r="N127" s="18" t="n">
        <x:f>E127*(G127*'原始输入与口径'!$D$5+H127/'原始输入与口径'!$D$5)/'原始输入与口径'!$H$5</x:f>
        <x:v>0</x:v>
      </x:c>
      <x:c r="O127" s="18" t="n">
        <x:v>0</x:v>
      </x:c>
      <x:c r="P127" s="18" t="n">
        <x:f>N127-O127</x:f>
        <x:v>0</x:v>
      </x:c>
      <x:c r="Q127" s="18" t="n">
        <x:f>E127*G127</x:f>
        <x:v>0</x:v>
      </x:c>
      <x:c r="R127" s="18" t="n">
        <x:f>E127*H127</x:f>
        <x:v>0</x:v>
      </x:c>
      <x:c r="S127" s="2" t="n">
        <x:v>54</x:v>
      </x:c>
    </x:row>
    <x:row r="128" ht="21" customHeight="1">
      <x:c r="A128" s="36" t="n">
        <x:v>45658.5625</x:v>
      </x:c>
      <x:c r="B128" s="36" t="n">
        <x:v>45658.5629425</x:v>
      </x:c>
      <x:c r="C128" s="36" t="n">
        <x:v>45658.5625</x:v>
      </x:c>
      <x:c r="D128" s="2" t="str">
        <x:v>d</x:v>
      </x:c>
      <x:c r="E128" s="18" t="n">
        <x:v>0.010620000000000001</x:v>
      </x:c>
      <x:c r="F128" s="18" t="n">
        <x:f>IF(D128="d",'两日价格与决策'!K61-'两日价格与决策'!N61,IF(D128="u",'两日价格与决策'!K61+'两日价格与决策'!M61,'两日价格与决策'!K61))</x:f>
        <x:v>0</x:v>
      </x:c>
      <x:c r="G128" s="18" t="n">
        <x:f>MAX(-F128,0)</x:f>
        <x:v>0</x:v>
      </x:c>
      <x:c r="H128" s="18" t="n">
        <x:f>MAX(F128,0)</x:f>
        <x:v>0</x:v>
      </x:c>
      <x:c r="I128" s="18" t="n">
        <x:f>J127</x:f>
        <x:v>10</x:v>
      </x:c>
      <x:c r="J128" s="18" t="n">
        <x:f>I128+E128*(G128*'原始输入与口径'!$D$5-H128/'原始输入与口径'!$D$5)</x:f>
        <x:v>10</x:v>
      </x:c>
      <x:c r="K128" s="18" t="n">
        <x:v>10</x:v>
      </x:c>
      <x:c r="L128" s="18" t="n">
        <x:v>10</x:v>
      </x:c>
      <x:c r="M128" s="18" t="n">
        <x:f>J128-L128</x:f>
        <x:v>0</x:v>
      </x:c>
      <x:c r="N128" s="18" t="n">
        <x:f>E128*(G128*'原始输入与口径'!$D$5+H128/'原始输入与口径'!$D$5)/'原始输入与口径'!$H$5</x:f>
        <x:v>0</x:v>
      </x:c>
      <x:c r="O128" s="18" t="n">
        <x:v>0</x:v>
      </x:c>
      <x:c r="P128" s="18" t="n">
        <x:f>N128-O128</x:f>
        <x:v>0</x:v>
      </x:c>
      <x:c r="Q128" s="18" t="n">
        <x:f>E128*G128</x:f>
        <x:v>0</x:v>
      </x:c>
      <x:c r="R128" s="18" t="n">
        <x:f>E128*H128</x:f>
        <x:v>0</x:v>
      </x:c>
      <x:c r="S128" s="2" t="n">
        <x:v>55</x:v>
      </x:c>
    </x:row>
    <x:row r="129" ht="21" customHeight="1">
      <x:c r="A129" s="36" t="n">
        <x:v>45658.5629425</x:v>
      </x:c>
      <x:c r="B129" s="36" t="n">
        <x:v>45658.572916666664</x:v>
      </x:c>
      <x:c r="C129" s="36" t="n">
        <x:v>45658.5625</x:v>
      </x:c>
      <x:c r="D129" s="2" t="str">
        <x:v>0</x:v>
      </x:c>
      <x:c r="E129" s="18" t="n">
        <x:v>0.23938</x:v>
      </x:c>
      <x:c r="F129" s="18" t="n">
        <x:f>IF(D129="d",'两日价格与决策'!K61-'两日价格与决策'!N61,IF(D129="u",'两日价格与决策'!K61+'两日价格与决策'!M61,'两日价格与决策'!K61))</x:f>
        <x:v>0</x:v>
      </x:c>
      <x:c r="G129" s="18" t="n">
        <x:f>MAX(-F129,0)</x:f>
        <x:v>0</x:v>
      </x:c>
      <x:c r="H129" s="18" t="n">
        <x:f>MAX(F129,0)</x:f>
        <x:v>0</x:v>
      </x:c>
      <x:c r="I129" s="18" t="n">
        <x:f>J128</x:f>
        <x:v>10</x:v>
      </x:c>
      <x:c r="J129" s="18" t="n">
        <x:f>I129+E129*(G129*'原始输入与口径'!$D$5-H129/'原始输入与口径'!$D$5)</x:f>
        <x:v>10</x:v>
      </x:c>
      <x:c r="K129" s="18" t="n">
        <x:v>10</x:v>
      </x:c>
      <x:c r="L129" s="18" t="n">
        <x:v>10</x:v>
      </x:c>
      <x:c r="M129" s="18" t="n">
        <x:f>J129-L129</x:f>
        <x:v>0</x:v>
      </x:c>
      <x:c r="N129" s="18" t="n">
        <x:f>E129*(G129*'原始输入与口径'!$D$5+H129/'原始输入与口径'!$D$5)/'原始输入与口径'!$H$5</x:f>
        <x:v>0</x:v>
      </x:c>
      <x:c r="O129" s="18" t="n">
        <x:v>0</x:v>
      </x:c>
      <x:c r="P129" s="18" t="n">
        <x:f>N129-O129</x:f>
        <x:v>0</x:v>
      </x:c>
      <x:c r="Q129" s="18" t="n">
        <x:f>E129*G129</x:f>
        <x:v>0</x:v>
      </x:c>
      <x:c r="R129" s="18" t="n">
        <x:f>E129*H129</x:f>
        <x:v>0</x:v>
      </x:c>
      <x:c r="S129" s="2" t="n">
        <x:v>55</x:v>
      </x:c>
    </x:row>
    <x:row r="130" ht="21" customHeight="1">
      <x:c r="A130" s="36" t="n">
        <x:v>45658.572916666664</x:v>
      </x:c>
      <x:c r="B130" s="36" t="n">
        <x:v>45658.57352458333</x:v>
      </x:c>
      <x:c r="C130" s="36" t="n">
        <x:v>45658.572916666664</x:v>
      </x:c>
      <x:c r="D130" s="2" t="str">
        <x:v>d</x:v>
      </x:c>
      <x:c r="E130" s="18" t="n">
        <x:v>0.01459</x:v>
      </x:c>
      <x:c r="F130" s="18" t="n">
        <x:f>IF(D130="d",'两日价格与决策'!K62-'两日价格与决策'!N62,IF(D130="u",'两日价格与决策'!K62+'两日价格与决策'!M62,'两日价格与决策'!K62))</x:f>
        <x:v>0</x:v>
      </x:c>
      <x:c r="G130" s="18" t="n">
        <x:f>MAX(-F130,0)</x:f>
        <x:v>0</x:v>
      </x:c>
      <x:c r="H130" s="18" t="n">
        <x:f>MAX(F130,0)</x:f>
        <x:v>0</x:v>
      </x:c>
      <x:c r="I130" s="18" t="n">
        <x:f>J129</x:f>
        <x:v>10</x:v>
      </x:c>
      <x:c r="J130" s="18" t="n">
        <x:f>I130+E130*(G130*'原始输入与口径'!$D$5-H130/'原始输入与口径'!$D$5)</x:f>
        <x:v>10</x:v>
      </x:c>
      <x:c r="K130" s="18" t="n">
        <x:v>10</x:v>
      </x:c>
      <x:c r="L130" s="18" t="n">
        <x:v>10</x:v>
      </x:c>
      <x:c r="M130" s="18" t="n">
        <x:f>J130-L130</x:f>
        <x:v>0</x:v>
      </x:c>
      <x:c r="N130" s="18" t="n">
        <x:f>E130*(G130*'原始输入与口径'!$D$5+H130/'原始输入与口径'!$D$5)/'原始输入与口径'!$H$5</x:f>
        <x:v>0</x:v>
      </x:c>
      <x:c r="O130" s="18" t="n">
        <x:v>0</x:v>
      </x:c>
      <x:c r="P130" s="18" t="n">
        <x:f>N130-O130</x:f>
        <x:v>0</x:v>
      </x:c>
      <x:c r="Q130" s="18" t="n">
        <x:f>E130*G130</x:f>
        <x:v>0</x:v>
      </x:c>
      <x:c r="R130" s="18" t="n">
        <x:f>E130*H130</x:f>
        <x:v>0</x:v>
      </x:c>
      <x:c r="S130" s="2" t="n">
        <x:v>56</x:v>
      </x:c>
    </x:row>
    <x:row r="131" ht="21" customHeight="1">
      <x:c r="A131" s="36" t="n">
        <x:v>45658.57352458333</x:v>
      </x:c>
      <x:c r="B131" s="36" t="n">
        <x:v>45658.57352583333</x:v>
      </x:c>
      <x:c r="C131" s="36" t="n">
        <x:v>45658.572916666664</x:v>
      </x:c>
      <x:c r="D131" s="2" t="str">
        <x:v>u</x:v>
      </x:c>
      <x:c r="E131" s="18" t="n">
        <x:v>0.00003</x:v>
      </x:c>
      <x:c r="F131" s="18" t="n">
        <x:f>IF(D131="d",'两日价格与决策'!K62-'两日价格与决策'!N62,IF(D131="u",'两日价格与决策'!K62+'两日价格与决策'!M62,'两日价格与决策'!K62))</x:f>
        <x:v>0</x:v>
      </x:c>
      <x:c r="G131" s="18" t="n">
        <x:f>MAX(-F131,0)</x:f>
        <x:v>0</x:v>
      </x:c>
      <x:c r="H131" s="18" t="n">
        <x:f>MAX(F131,0)</x:f>
        <x:v>0</x:v>
      </x:c>
      <x:c r="I131" s="18" t="n">
        <x:f>J130</x:f>
        <x:v>10</x:v>
      </x:c>
      <x:c r="J131" s="18" t="n">
        <x:f>I131+E131*(G131*'原始输入与口径'!$D$5-H131/'原始输入与口径'!$D$5)</x:f>
        <x:v>10</x:v>
      </x:c>
      <x:c r="K131" s="18" t="n">
        <x:v>10</x:v>
      </x:c>
      <x:c r="L131" s="18" t="n">
        <x:v>10</x:v>
      </x:c>
      <x:c r="M131" s="18" t="n">
        <x:f>J131-L131</x:f>
        <x:v>0</x:v>
      </x:c>
      <x:c r="N131" s="18" t="n">
        <x:f>E131*(G131*'原始输入与口径'!$D$5+H131/'原始输入与口径'!$D$5)/'原始输入与口径'!$H$5</x:f>
        <x:v>0</x:v>
      </x:c>
      <x:c r="O131" s="18" t="n">
        <x:v>0</x:v>
      </x:c>
      <x:c r="P131" s="18" t="n">
        <x:f>N131-O131</x:f>
        <x:v>0</x:v>
      </x:c>
      <x:c r="Q131" s="18" t="n">
        <x:f>E131*G131</x:f>
        <x:v>0</x:v>
      </x:c>
      <x:c r="R131" s="18" t="n">
        <x:f>E131*H131</x:f>
        <x:v>0</x:v>
      </x:c>
      <x:c r="S131" s="2" t="n">
        <x:v>56</x:v>
      </x:c>
    </x:row>
    <x:row r="132" ht="21" customHeight="1">
      <x:c r="A132" s="36" t="n">
        <x:v>45658.57352583333</x:v>
      </x:c>
      <x:c r="B132" s="36" t="n">
        <x:v>45658.58333333333</x:v>
      </x:c>
      <x:c r="C132" s="36" t="n">
        <x:v>45658.572916666664</x:v>
      </x:c>
      <x:c r="D132" s="2" t="str">
        <x:v>0</x:v>
      </x:c>
      <x:c r="E132" s="18" t="n">
        <x:v>0.23538</x:v>
      </x:c>
      <x:c r="F132" s="18" t="n">
        <x:f>IF(D132="d",'两日价格与决策'!K62-'两日价格与决策'!N62,IF(D132="u",'两日价格与决策'!K62+'两日价格与决策'!M62,'两日价格与决策'!K62))</x:f>
        <x:v>0</x:v>
      </x:c>
      <x:c r="G132" s="18" t="n">
        <x:f>MAX(-F132,0)</x:f>
        <x:v>0</x:v>
      </x:c>
      <x:c r="H132" s="18" t="n">
        <x:f>MAX(F132,0)</x:f>
        <x:v>0</x:v>
      </x:c>
      <x:c r="I132" s="18" t="n">
        <x:f>J131</x:f>
        <x:v>10</x:v>
      </x:c>
      <x:c r="J132" s="18" t="n">
        <x:f>I132+E132*(G132*'原始输入与口径'!$D$5-H132/'原始输入与口径'!$D$5)</x:f>
        <x:v>10</x:v>
      </x:c>
      <x:c r="K132" s="18" t="n">
        <x:v>10</x:v>
      </x:c>
      <x:c r="L132" s="18" t="n">
        <x:v>10</x:v>
      </x:c>
      <x:c r="M132" s="18" t="n">
        <x:f>J132-L132</x:f>
        <x:v>0</x:v>
      </x:c>
      <x:c r="N132" s="18" t="n">
        <x:f>E132*(G132*'原始输入与口径'!$D$5+H132/'原始输入与口径'!$D$5)/'原始输入与口径'!$H$5</x:f>
        <x:v>0</x:v>
      </x:c>
      <x:c r="O132" s="18" t="n">
        <x:v>0</x:v>
      </x:c>
      <x:c r="P132" s="18" t="n">
        <x:f>N132-O132</x:f>
        <x:v>0</x:v>
      </x:c>
      <x:c r="Q132" s="18" t="n">
        <x:f>E132*G132</x:f>
        <x:v>0</x:v>
      </x:c>
      <x:c r="R132" s="18" t="n">
        <x:f>E132*H132</x:f>
        <x:v>0</x:v>
      </x:c>
      <x:c r="S132" s="2" t="n">
        <x:v>56</x:v>
      </x:c>
    </x:row>
    <x:row r="133" ht="21" customHeight="1">
      <x:c r="A133" s="36" t="n">
        <x:v>45658.583333333336</x:v>
      </x:c>
      <x:c r="B133" s="36" t="n">
        <x:v>45658.58755041667</x:v>
      </x:c>
      <x:c r="C133" s="36" t="n">
        <x:v>45658.583333333336</x:v>
      </x:c>
      <x:c r="D133" s="2" t="str">
        <x:v>d</x:v>
      </x:c>
      <x:c r="E133" s="18" t="n">
        <x:v>0.10121000000000001</x:v>
      </x:c>
      <x:c r="F133" s="18" t="n">
        <x:f>IF(D133="d",'两日价格与决策'!K63-'两日价格与决策'!N63,IF(D133="u",'两日价格与决策'!K63+'两日价格与决策'!M63,'两日价格与决策'!K63))</x:f>
        <x:v>0</x:v>
      </x:c>
      <x:c r="G133" s="18" t="n">
        <x:f>MAX(-F133,0)</x:f>
        <x:v>0</x:v>
      </x:c>
      <x:c r="H133" s="18" t="n">
        <x:f>MAX(F133,0)</x:f>
        <x:v>0</x:v>
      </x:c>
      <x:c r="I133" s="18" t="n">
        <x:f>J132</x:f>
        <x:v>10</x:v>
      </x:c>
      <x:c r="J133" s="18" t="n">
        <x:f>I133+E133*(G133*'原始输入与口径'!$D$5-H133/'原始输入与口径'!$D$5)</x:f>
        <x:v>10</x:v>
      </x:c>
      <x:c r="K133" s="18" t="n">
        <x:v>10</x:v>
      </x:c>
      <x:c r="L133" s="18" t="n">
        <x:v>10</x:v>
      </x:c>
      <x:c r="M133" s="18" t="n">
        <x:f>J133-L133</x:f>
        <x:v>0</x:v>
      </x:c>
      <x:c r="N133" s="18" t="n">
        <x:f>E133*(G133*'原始输入与口径'!$D$5+H133/'原始输入与口径'!$D$5)/'原始输入与口径'!$H$5</x:f>
        <x:v>0</x:v>
      </x:c>
      <x:c r="O133" s="18" t="n">
        <x:v>0</x:v>
      </x:c>
      <x:c r="P133" s="18" t="n">
        <x:f>N133-O133</x:f>
        <x:v>0</x:v>
      </x:c>
      <x:c r="Q133" s="18" t="n">
        <x:f>E133*G133</x:f>
        <x:v>0</x:v>
      </x:c>
      <x:c r="R133" s="18" t="n">
        <x:f>E133*H133</x:f>
        <x:v>0</x:v>
      </x:c>
      <x:c r="S133" s="2" t="n">
        <x:v>57</x:v>
      </x:c>
    </x:row>
    <x:row r="134" ht="21" customHeight="1">
      <x:c r="A134" s="36" t="n">
        <x:v>45658.58755041667</x:v>
      </x:c>
      <x:c r="B134" s="36" t="n">
        <x:v>45658.59375</x:v>
      </x:c>
      <x:c r="C134" s="36" t="n">
        <x:v>45658.583333333336</x:v>
      </x:c>
      <x:c r="D134" s="2" t="str">
        <x:v>0</x:v>
      </x:c>
      <x:c r="E134" s="18" t="n">
        <x:v>0.14878999999999998</x:v>
      </x:c>
      <x:c r="F134" s="18" t="n">
        <x:f>IF(D134="d",'两日价格与决策'!K63-'两日价格与决策'!N63,IF(D134="u",'两日价格与决策'!K63+'两日价格与决策'!M63,'两日价格与决策'!K63))</x:f>
        <x:v>0</x:v>
      </x:c>
      <x:c r="G134" s="18" t="n">
        <x:f>MAX(-F134,0)</x:f>
        <x:v>0</x:v>
      </x:c>
      <x:c r="H134" s="18" t="n">
        <x:f>MAX(F134,0)</x:f>
        <x:v>0</x:v>
      </x:c>
      <x:c r="I134" s="18" t="n">
        <x:f>J133</x:f>
        <x:v>10</x:v>
      </x:c>
      <x:c r="J134" s="18" t="n">
        <x:f>I134+E134*(G134*'原始输入与口径'!$D$5-H134/'原始输入与口径'!$D$5)</x:f>
        <x:v>10</x:v>
      </x:c>
      <x:c r="K134" s="18" t="n">
        <x:v>10</x:v>
      </x:c>
      <x:c r="L134" s="18" t="n">
        <x:v>10</x:v>
      </x:c>
      <x:c r="M134" s="18" t="n">
        <x:f>J134-L134</x:f>
        <x:v>0</x:v>
      </x:c>
      <x:c r="N134" s="18" t="n">
        <x:f>E134*(G134*'原始输入与口径'!$D$5+H134/'原始输入与口径'!$D$5)/'原始输入与口径'!$H$5</x:f>
        <x:v>0</x:v>
      </x:c>
      <x:c r="O134" s="18" t="n">
        <x:v>0</x:v>
      </x:c>
      <x:c r="P134" s="18" t="n">
        <x:f>N134-O134</x:f>
        <x:v>0</x:v>
      </x:c>
      <x:c r="Q134" s="18" t="n">
        <x:f>E134*G134</x:f>
        <x:v>0</x:v>
      </x:c>
      <x:c r="R134" s="18" t="n">
        <x:f>E134*H134</x:f>
        <x:v>0</x:v>
      </x:c>
      <x:c r="S134" s="2" t="n">
        <x:v>57</x:v>
      </x:c>
    </x:row>
    <x:row r="135" ht="21" customHeight="1">
      <x:c r="A135" s="36" t="n">
        <x:v>45658.59375</x:v>
      </x:c>
      <x:c r="B135" s="36" t="n">
        <x:v>45658.59879895833</x:v>
      </x:c>
      <x:c r="C135" s="36" t="n">
        <x:v>45658.59375</x:v>
      </x:c>
      <x:c r="D135" s="2" t="str">
        <x:v>d</x:v>
      </x:c>
      <x:c r="E135" s="18" t="n">
        <x:v>0.12117499999999999</x:v>
      </x:c>
      <x:c r="F135" s="18" t="n">
        <x:f>IF(D135="d",'两日价格与决策'!K64-'两日价格与决策'!N64,IF(D135="u",'两日价格与决策'!K64+'两日价格与决策'!M64,'两日价格与决策'!K64))</x:f>
        <x:v>0</x:v>
      </x:c>
      <x:c r="G135" s="18" t="n">
        <x:f>MAX(-F135,0)</x:f>
        <x:v>0</x:v>
      </x:c>
      <x:c r="H135" s="18" t="n">
        <x:f>MAX(F135,0)</x:f>
        <x:v>0</x:v>
      </x:c>
      <x:c r="I135" s="18" t="n">
        <x:f>J134</x:f>
        <x:v>10</x:v>
      </x:c>
      <x:c r="J135" s="18" t="n">
        <x:f>I135+E135*(G135*'原始输入与口径'!$D$5-H135/'原始输入与口径'!$D$5)</x:f>
        <x:v>10</x:v>
      </x:c>
      <x:c r="K135" s="18" t="n">
        <x:v>10</x:v>
      </x:c>
      <x:c r="L135" s="18" t="n">
        <x:v>10</x:v>
      </x:c>
      <x:c r="M135" s="18" t="n">
        <x:f>J135-L135</x:f>
        <x:v>0</x:v>
      </x:c>
      <x:c r="N135" s="18" t="n">
        <x:f>E135*(G135*'原始输入与口径'!$D$5+H135/'原始输入与口径'!$D$5)/'原始输入与口径'!$H$5</x:f>
        <x:v>0</x:v>
      </x:c>
      <x:c r="O135" s="18" t="n">
        <x:v>0</x:v>
      </x:c>
      <x:c r="P135" s="18" t="n">
        <x:f>N135-O135</x:f>
        <x:v>0</x:v>
      </x:c>
      <x:c r="Q135" s="18" t="n">
        <x:f>E135*G135</x:f>
        <x:v>0</x:v>
      </x:c>
      <x:c r="R135" s="18" t="n">
        <x:f>E135*H135</x:f>
        <x:v>0</x:v>
      </x:c>
      <x:c r="S135" s="2" t="n">
        <x:v>58</x:v>
      </x:c>
    </x:row>
    <x:row r="136" ht="21" customHeight="1">
      <x:c r="A136" s="36" t="n">
        <x:v>45658.59879895833</x:v>
      </x:c>
      <x:c r="B136" s="36" t="n">
        <x:v>45658.604166666664</x:v>
      </x:c>
      <x:c r="C136" s="36" t="n">
        <x:v>45658.59375</x:v>
      </x:c>
      <x:c r="D136" s="2" t="str">
        <x:v>0</x:v>
      </x:c>
      <x:c r="E136" s="18" t="n">
        <x:v>0.12882500000000002</x:v>
      </x:c>
      <x:c r="F136" s="18" t="n">
        <x:f>IF(D136="d",'两日价格与决策'!K64-'两日价格与决策'!N64,IF(D136="u",'两日价格与决策'!K64+'两日价格与决策'!M64,'两日价格与决策'!K64))</x:f>
        <x:v>0</x:v>
      </x:c>
      <x:c r="G136" s="18" t="n">
        <x:f>MAX(-F136,0)</x:f>
        <x:v>0</x:v>
      </x:c>
      <x:c r="H136" s="18" t="n">
        <x:f>MAX(F136,0)</x:f>
        <x:v>0</x:v>
      </x:c>
      <x:c r="I136" s="18" t="n">
        <x:f>J135</x:f>
        <x:v>10</x:v>
      </x:c>
      <x:c r="J136" s="18" t="n">
        <x:f>I136+E136*(G136*'原始输入与口径'!$D$5-H136/'原始输入与口径'!$D$5)</x:f>
        <x:v>10</x:v>
      </x:c>
      <x:c r="K136" s="18" t="n">
        <x:v>10</x:v>
      </x:c>
      <x:c r="L136" s="18" t="n">
        <x:v>10</x:v>
      </x:c>
      <x:c r="M136" s="18" t="n">
        <x:f>J136-L136</x:f>
        <x:v>0</x:v>
      </x:c>
      <x:c r="N136" s="18" t="n">
        <x:f>E136*(G136*'原始输入与口径'!$D$5+H136/'原始输入与口径'!$D$5)/'原始输入与口径'!$H$5</x:f>
        <x:v>0</x:v>
      </x:c>
      <x:c r="O136" s="18" t="n">
        <x:v>0</x:v>
      </x:c>
      <x:c r="P136" s="18" t="n">
        <x:f>N136-O136</x:f>
        <x:v>0</x:v>
      </x:c>
      <x:c r="Q136" s="18" t="n">
        <x:f>E136*G136</x:f>
        <x:v>0</x:v>
      </x:c>
      <x:c r="R136" s="18" t="n">
        <x:f>E136*H136</x:f>
        <x:v>0</x:v>
      </x:c>
      <x:c r="S136" s="2" t="n">
        <x:v>58</x:v>
      </x:c>
    </x:row>
    <x:row r="137" ht="21" customHeight="1">
      <x:c r="A137" s="36" t="n">
        <x:v>45658.604166666664</x:v>
      </x:c>
      <x:c r="B137" s="36" t="n">
        <x:v>45658.606809791665</x:v>
      </x:c>
      <x:c r="C137" s="36" t="n">
        <x:v>45658.604166666664</x:v>
      </x:c>
      <x:c r="D137" s="2" t="str">
        <x:v>d</x:v>
      </x:c>
      <x:c r="E137" s="18" t="n">
        <x:v>0.06343499999999999</x:v>
      </x:c>
      <x:c r="F137" s="18" t="n">
        <x:f>IF(D137="d",'两日价格与决策'!K65-'两日价格与决策'!N65,IF(D137="u",'两日价格与决策'!K65+'两日价格与决策'!M65,'两日价格与决策'!K65))</x:f>
        <x:v>0</x:v>
      </x:c>
      <x:c r="G137" s="18" t="n">
        <x:f>MAX(-F137,0)</x:f>
        <x:v>0</x:v>
      </x:c>
      <x:c r="H137" s="18" t="n">
        <x:f>MAX(F137,0)</x:f>
        <x:v>0</x:v>
      </x:c>
      <x:c r="I137" s="18" t="n">
        <x:f>J136</x:f>
        <x:v>10</x:v>
      </x:c>
      <x:c r="J137" s="18" t="n">
        <x:f>I137+E137*(G137*'原始输入与口径'!$D$5-H137/'原始输入与口径'!$D$5)</x:f>
        <x:v>10</x:v>
      </x:c>
      <x:c r="K137" s="18" t="n">
        <x:v>10</x:v>
      </x:c>
      <x:c r="L137" s="18" t="n">
        <x:v>10</x:v>
      </x:c>
      <x:c r="M137" s="18" t="n">
        <x:f>J137-L137</x:f>
        <x:v>0</x:v>
      </x:c>
      <x:c r="N137" s="18" t="n">
        <x:f>E137*(G137*'原始输入与口径'!$D$5+H137/'原始输入与口径'!$D$5)/'原始输入与口径'!$H$5</x:f>
        <x:v>0</x:v>
      </x:c>
      <x:c r="O137" s="18" t="n">
        <x:v>0</x:v>
      </x:c>
      <x:c r="P137" s="18" t="n">
        <x:f>N137-O137</x:f>
        <x:v>0</x:v>
      </x:c>
      <x:c r="Q137" s="18" t="n">
        <x:f>E137*G137</x:f>
        <x:v>0</x:v>
      </x:c>
      <x:c r="R137" s="18" t="n">
        <x:f>E137*H137</x:f>
        <x:v>0</x:v>
      </x:c>
      <x:c r="S137" s="2" t="n">
        <x:v>59</x:v>
      </x:c>
    </x:row>
    <x:row r="138" ht="21" customHeight="1">
      <x:c r="A138" s="36" t="n">
        <x:v>45658.606809791665</x:v>
      </x:c>
      <x:c r="B138" s="36" t="n">
        <x:v>45658.61458333333</x:v>
      </x:c>
      <x:c r="C138" s="36" t="n">
        <x:v>45658.604166666664</x:v>
      </x:c>
      <x:c r="D138" s="2" t="str">
        <x:v>0</x:v>
      </x:c>
      <x:c r="E138" s="18" t="n">
        <x:v>0.186565</x:v>
      </x:c>
      <x:c r="F138" s="18" t="n">
        <x:f>IF(D138="d",'两日价格与决策'!K65-'两日价格与决策'!N65,IF(D138="u",'两日价格与决策'!K65+'两日价格与决策'!M65,'两日价格与决策'!K65))</x:f>
        <x:v>0</x:v>
      </x:c>
      <x:c r="G138" s="18" t="n">
        <x:f>MAX(-F138,0)</x:f>
        <x:v>0</x:v>
      </x:c>
      <x:c r="H138" s="18" t="n">
        <x:f>MAX(F138,0)</x:f>
        <x:v>0</x:v>
      </x:c>
      <x:c r="I138" s="18" t="n">
        <x:f>J137</x:f>
        <x:v>10</x:v>
      </x:c>
      <x:c r="J138" s="18" t="n">
        <x:f>I138+E138*(G138*'原始输入与口径'!$D$5-H138/'原始输入与口径'!$D$5)</x:f>
        <x:v>10</x:v>
      </x:c>
      <x:c r="K138" s="18" t="n">
        <x:v>10</x:v>
      </x:c>
      <x:c r="L138" s="18" t="n">
        <x:v>10</x:v>
      </x:c>
      <x:c r="M138" s="18" t="n">
        <x:f>J138-L138</x:f>
        <x:v>0</x:v>
      </x:c>
      <x:c r="N138" s="18" t="n">
        <x:f>E138*(G138*'原始输入与口径'!$D$5+H138/'原始输入与口径'!$D$5)/'原始输入与口径'!$H$5</x:f>
        <x:v>0</x:v>
      </x:c>
      <x:c r="O138" s="18" t="n">
        <x:v>0</x:v>
      </x:c>
      <x:c r="P138" s="18" t="n">
        <x:f>N138-O138</x:f>
        <x:v>0</x:v>
      </x:c>
      <x:c r="Q138" s="18" t="n">
        <x:f>E138*G138</x:f>
        <x:v>0</x:v>
      </x:c>
      <x:c r="R138" s="18" t="n">
        <x:f>E138*H138</x:f>
        <x:v>0</x:v>
      </x:c>
      <x:c r="S138" s="2" t="n">
        <x:v>59</x:v>
      </x:c>
    </x:row>
    <x:row r="139" ht="21" customHeight="1">
      <x:c r="A139" s="36" t="n">
        <x:v>45658.614583333336</x:v>
      </x:c>
      <x:c r="B139" s="36" t="n">
        <x:v>45658.61535729167</x:v>
      </x:c>
      <x:c r="C139" s="36" t="n">
        <x:v>45658.614583333336</x:v>
      </x:c>
      <x:c r="D139" s="2" t="str">
        <x:v>d</x:v>
      </x:c>
      <x:c r="E139" s="18" t="n">
        <x:v>0.018574999999999998</x:v>
      </x:c>
      <x:c r="F139" s="18" t="n">
        <x:f>IF(D139="d",'两日价格与决策'!K66-'两日价格与决策'!N66,IF(D139="u",'两日价格与决策'!K66+'两日价格与决策'!M66,'两日价格与决策'!K66))</x:f>
        <x:v>0</x:v>
      </x:c>
      <x:c r="G139" s="18" t="n">
        <x:f>MAX(-F139,0)</x:f>
        <x:v>0</x:v>
      </x:c>
      <x:c r="H139" s="18" t="n">
        <x:f>MAX(F139,0)</x:f>
        <x:v>0</x:v>
      </x:c>
      <x:c r="I139" s="18" t="n">
        <x:f>J138</x:f>
        <x:v>10</x:v>
      </x:c>
      <x:c r="J139" s="18" t="n">
        <x:f>I139+E139*(G139*'原始输入与口径'!$D$5-H139/'原始输入与口径'!$D$5)</x:f>
        <x:v>10</x:v>
      </x:c>
      <x:c r="K139" s="18" t="n">
        <x:v>10</x:v>
      </x:c>
      <x:c r="L139" s="18" t="n">
        <x:v>10</x:v>
      </x:c>
      <x:c r="M139" s="18" t="n">
        <x:f>J139-L139</x:f>
        <x:v>0</x:v>
      </x:c>
      <x:c r="N139" s="18" t="n">
        <x:f>E139*(G139*'原始输入与口径'!$D$5+H139/'原始输入与口径'!$D$5)/'原始输入与口径'!$H$5</x:f>
        <x:v>0</x:v>
      </x:c>
      <x:c r="O139" s="18" t="n">
        <x:v>0</x:v>
      </x:c>
      <x:c r="P139" s="18" t="n">
        <x:f>N139-O139</x:f>
        <x:v>0</x:v>
      </x:c>
      <x:c r="Q139" s="18" t="n">
        <x:f>E139*G139</x:f>
        <x:v>0</x:v>
      </x:c>
      <x:c r="R139" s="18" t="n">
        <x:f>E139*H139</x:f>
        <x:v>0</x:v>
      </x:c>
      <x:c r="S139" s="2" t="n">
        <x:v>60</x:v>
      </x:c>
    </x:row>
    <x:row r="140" ht="21" customHeight="1">
      <x:c r="A140" s="36" t="n">
        <x:v>45658.61535729167</x:v>
      </x:c>
      <x:c r="B140" s="36" t="n">
        <x:v>45658.625</x:v>
      </x:c>
      <x:c r="C140" s="36" t="n">
        <x:v>45658.614583333336</x:v>
      </x:c>
      <x:c r="D140" s="2" t="str">
        <x:v>0</x:v>
      </x:c>
      <x:c r="E140" s="18" t="n">
        <x:v>0.231425</x:v>
      </x:c>
      <x:c r="F140" s="18" t="n">
        <x:f>IF(D140="d",'两日价格与决策'!K66-'两日价格与决策'!N66,IF(D140="u",'两日价格与决策'!K66+'两日价格与决策'!M66,'两日价格与决策'!K66))</x:f>
        <x:v>0</x:v>
      </x:c>
      <x:c r="G140" s="18" t="n">
        <x:f>MAX(-F140,0)</x:f>
        <x:v>0</x:v>
      </x:c>
      <x:c r="H140" s="18" t="n">
        <x:f>MAX(F140,0)</x:f>
        <x:v>0</x:v>
      </x:c>
      <x:c r="I140" s="18" t="n">
        <x:f>J139</x:f>
        <x:v>10</x:v>
      </x:c>
      <x:c r="J140" s="18" t="n">
        <x:f>I140+E140*(G140*'原始输入与口径'!$D$5-H140/'原始输入与口径'!$D$5)</x:f>
        <x:v>10</x:v>
      </x:c>
      <x:c r="K140" s="18" t="n">
        <x:v>10</x:v>
      </x:c>
      <x:c r="L140" s="18" t="n">
        <x:v>10</x:v>
      </x:c>
      <x:c r="M140" s="18" t="n">
        <x:f>J140-L140</x:f>
        <x:v>0</x:v>
      </x:c>
      <x:c r="N140" s="18" t="n">
        <x:f>E140*(G140*'原始输入与口径'!$D$5+H140/'原始输入与口径'!$D$5)/'原始输入与口径'!$H$5</x:f>
        <x:v>0</x:v>
      </x:c>
      <x:c r="O140" s="18" t="n">
        <x:v>0</x:v>
      </x:c>
      <x:c r="P140" s="18" t="n">
        <x:f>N140-O140</x:f>
        <x:v>0</x:v>
      </x:c>
      <x:c r="Q140" s="18" t="n">
        <x:f>E140*G140</x:f>
        <x:v>0</x:v>
      </x:c>
      <x:c r="R140" s="18" t="n">
        <x:f>E140*H140</x:f>
        <x:v>0</x:v>
      </x:c>
      <x:c r="S140" s="2" t="n">
        <x:v>60</x:v>
      </x:c>
    </x:row>
    <x:row r="141" ht="21" customHeight="1">
      <x:c r="A141" s="36" t="n">
        <x:v>45658.625</x:v>
      </x:c>
      <x:c r="B141" s="36" t="n">
        <x:v>45658.629036875</x:v>
      </x:c>
      <x:c r="C141" s="36" t="n">
        <x:v>45658.625</x:v>
      </x:c>
      <x:c r="D141" s="2" t="str">
        <x:v>d</x:v>
      </x:c>
      <x:c r="E141" s="18" t="n">
        <x:v>0.096885</x:v>
      </x:c>
      <x:c r="F141" s="18" t="n">
        <x:f>IF(D141="d",'两日价格与决策'!K67-'两日价格与决策'!N67,IF(D141="u",'两日价格与决策'!K67+'两日价格与决策'!M67,'两日价格与决策'!K67))</x:f>
        <x:v>0</x:v>
      </x:c>
      <x:c r="G141" s="18" t="n">
        <x:f>MAX(-F141,0)</x:f>
        <x:v>0</x:v>
      </x:c>
      <x:c r="H141" s="18" t="n">
        <x:f>MAX(F141,0)</x:f>
        <x:v>0</x:v>
      </x:c>
      <x:c r="I141" s="18" t="n">
        <x:f>J140</x:f>
        <x:v>10</x:v>
      </x:c>
      <x:c r="J141" s="18" t="n">
        <x:f>I141+E141*(G141*'原始输入与口径'!$D$5-H141/'原始输入与口径'!$D$5)</x:f>
        <x:v>10</x:v>
      </x:c>
      <x:c r="K141" s="18" t="n">
        <x:v>10</x:v>
      </x:c>
      <x:c r="L141" s="18" t="n">
        <x:v>10</x:v>
      </x:c>
      <x:c r="M141" s="18" t="n">
        <x:f>J141-L141</x:f>
        <x:v>0</x:v>
      </x:c>
      <x:c r="N141" s="18" t="n">
        <x:f>E141*(G141*'原始输入与口径'!$D$5+H141/'原始输入与口径'!$D$5)/'原始输入与口径'!$H$5</x:f>
        <x:v>0</x:v>
      </x:c>
      <x:c r="O141" s="18" t="n">
        <x:v>0</x:v>
      </x:c>
      <x:c r="P141" s="18" t="n">
        <x:f>N141-O141</x:f>
        <x:v>0</x:v>
      </x:c>
      <x:c r="Q141" s="18" t="n">
        <x:f>E141*G141</x:f>
        <x:v>0</x:v>
      </x:c>
      <x:c r="R141" s="18" t="n">
        <x:f>E141*H141</x:f>
        <x:v>0</x:v>
      </x:c>
      <x:c r="S141" s="2" t="n">
        <x:v>61</x:v>
      </x:c>
    </x:row>
    <x:row r="142" ht="21" customHeight="1">
      <x:c r="A142" s="36" t="n">
        <x:v>45658.629036875</x:v>
      </x:c>
      <x:c r="B142" s="36" t="n">
        <x:v>45658.635416666664</x:v>
      </x:c>
      <x:c r="C142" s="36" t="n">
        <x:v>45658.625</x:v>
      </x:c>
      <x:c r="D142" s="2" t="str">
        <x:v>0</x:v>
      </x:c>
      <x:c r="E142" s="18" t="n">
        <x:v>0.153115</x:v>
      </x:c>
      <x:c r="F142" s="18" t="n">
        <x:f>IF(D142="d",'两日价格与决策'!K67-'两日价格与决策'!N67,IF(D142="u",'两日价格与决策'!K67+'两日价格与决策'!M67,'两日价格与决策'!K67))</x:f>
        <x:v>0</x:v>
      </x:c>
      <x:c r="G142" s="18" t="n">
        <x:f>MAX(-F142,0)</x:f>
        <x:v>0</x:v>
      </x:c>
      <x:c r="H142" s="18" t="n">
        <x:f>MAX(F142,0)</x:f>
        <x:v>0</x:v>
      </x:c>
      <x:c r="I142" s="18" t="n">
        <x:f>J141</x:f>
        <x:v>10</x:v>
      </x:c>
      <x:c r="J142" s="18" t="n">
        <x:f>I142+E142*(G142*'原始输入与口径'!$D$5-H142/'原始输入与口径'!$D$5)</x:f>
        <x:v>10</x:v>
      </x:c>
      <x:c r="K142" s="18" t="n">
        <x:v>10</x:v>
      </x:c>
      <x:c r="L142" s="18" t="n">
        <x:v>10</x:v>
      </x:c>
      <x:c r="M142" s="18" t="n">
        <x:f>J142-L142</x:f>
        <x:v>0</x:v>
      </x:c>
      <x:c r="N142" s="18" t="n">
        <x:f>E142*(G142*'原始输入与口径'!$D$5+H142/'原始输入与口径'!$D$5)/'原始输入与口径'!$H$5</x:f>
        <x:v>0</x:v>
      </x:c>
      <x:c r="O142" s="18" t="n">
        <x:v>0</x:v>
      </x:c>
      <x:c r="P142" s="18" t="n">
        <x:f>N142-O142</x:f>
        <x:v>0</x:v>
      </x:c>
      <x:c r="Q142" s="18" t="n">
        <x:f>E142*G142</x:f>
        <x:v>0</x:v>
      </x:c>
      <x:c r="R142" s="18" t="n">
        <x:f>E142*H142</x:f>
        <x:v>0</x:v>
      </x:c>
      <x:c r="S142" s="2" t="n">
        <x:v>61</x:v>
      </x:c>
    </x:row>
    <x:row r="143" ht="21" customHeight="1">
      <x:c r="A143" s="36" t="n">
        <x:v>45658.635416666664</x:v>
      </x:c>
      <x:c r="B143" s="36" t="n">
        <x:v>45658.637504791666</x:v>
      </x:c>
      <x:c r="C143" s="36" t="n">
        <x:v>45658.635416666664</x:v>
      </x:c>
      <x:c r="D143" s="2" t="str">
        <x:v>d</x:v>
      </x:c>
      <x:c r="E143" s="18" t="n">
        <x:v>0.050115</x:v>
      </x:c>
      <x:c r="F143" s="18" t="n">
        <x:f>IF(D143="d",'两日价格与决策'!K68-'两日价格与决策'!N68,IF(D143="u",'两日价格与决策'!K68+'两日价格与决策'!M68,'两日价格与决策'!K68))</x:f>
        <x:v>0</x:v>
      </x:c>
      <x:c r="G143" s="18" t="n">
        <x:f>MAX(-F143,0)</x:f>
        <x:v>0</x:v>
      </x:c>
      <x:c r="H143" s="18" t="n">
        <x:f>MAX(F143,0)</x:f>
        <x:v>0</x:v>
      </x:c>
      <x:c r="I143" s="18" t="n">
        <x:f>J142</x:f>
        <x:v>10</x:v>
      </x:c>
      <x:c r="J143" s="18" t="n">
        <x:f>I143+E143*(G143*'原始输入与口径'!$D$5-H143/'原始输入与口径'!$D$5)</x:f>
        <x:v>10</x:v>
      </x:c>
      <x:c r="K143" s="18" t="n">
        <x:v>10</x:v>
      </x:c>
      <x:c r="L143" s="18" t="n">
        <x:v>10</x:v>
      </x:c>
      <x:c r="M143" s="18" t="n">
        <x:f>J143-L143</x:f>
        <x:v>0</x:v>
      </x:c>
      <x:c r="N143" s="18" t="n">
        <x:f>E143*(G143*'原始输入与口径'!$D$5+H143/'原始输入与口径'!$D$5)/'原始输入与口径'!$H$5</x:f>
        <x:v>0</x:v>
      </x:c>
      <x:c r="O143" s="18" t="n">
        <x:v>0</x:v>
      </x:c>
      <x:c r="P143" s="18" t="n">
        <x:f>N143-O143</x:f>
        <x:v>0</x:v>
      </x:c>
      <x:c r="Q143" s="18" t="n">
        <x:f>E143*G143</x:f>
        <x:v>0</x:v>
      </x:c>
      <x:c r="R143" s="18" t="n">
        <x:f>E143*H143</x:f>
        <x:v>0</x:v>
      </x:c>
      <x:c r="S143" s="2" t="n">
        <x:v>62</x:v>
      </x:c>
    </x:row>
    <x:row r="144" ht="21" customHeight="1">
      <x:c r="A144" s="36" t="n">
        <x:v>45658.637504791666</x:v>
      </x:c>
      <x:c r="B144" s="36" t="n">
        <x:v>45658.64583333333</x:v>
      </x:c>
      <x:c r="C144" s="36" t="n">
        <x:v>45658.635416666664</x:v>
      </x:c>
      <x:c r="D144" s="2" t="str">
        <x:v>0</x:v>
      </x:c>
      <x:c r="E144" s="18" t="n">
        <x:v>0.199885</x:v>
      </x:c>
      <x:c r="F144" s="18" t="n">
        <x:f>IF(D144="d",'两日价格与决策'!K68-'两日价格与决策'!N68,IF(D144="u",'两日价格与决策'!K68+'两日价格与决策'!M68,'两日价格与决策'!K68))</x:f>
        <x:v>0</x:v>
      </x:c>
      <x:c r="G144" s="18" t="n">
        <x:f>MAX(-F144,0)</x:f>
        <x:v>0</x:v>
      </x:c>
      <x:c r="H144" s="18" t="n">
        <x:f>MAX(F144,0)</x:f>
        <x:v>0</x:v>
      </x:c>
      <x:c r="I144" s="18" t="n">
        <x:f>J143</x:f>
        <x:v>10</x:v>
      </x:c>
      <x:c r="J144" s="18" t="n">
        <x:f>I144+E144*(G144*'原始输入与口径'!$D$5-H144/'原始输入与口径'!$D$5)</x:f>
        <x:v>10</x:v>
      </x:c>
      <x:c r="K144" s="18" t="n">
        <x:v>10</x:v>
      </x:c>
      <x:c r="L144" s="18" t="n">
        <x:v>10</x:v>
      </x:c>
      <x:c r="M144" s="18" t="n">
        <x:f>J144-L144</x:f>
        <x:v>0</x:v>
      </x:c>
      <x:c r="N144" s="18" t="n">
        <x:f>E144*(G144*'原始输入与口径'!$D$5+H144/'原始输入与口径'!$D$5)/'原始输入与口径'!$H$5</x:f>
        <x:v>0</x:v>
      </x:c>
      <x:c r="O144" s="18" t="n">
        <x:v>0</x:v>
      </x:c>
      <x:c r="P144" s="18" t="n">
        <x:f>N144-O144</x:f>
        <x:v>0</x:v>
      </x:c>
      <x:c r="Q144" s="18" t="n">
        <x:f>E144*G144</x:f>
        <x:v>0</x:v>
      </x:c>
      <x:c r="R144" s="18" t="n">
        <x:f>E144*H144</x:f>
        <x:v>0</x:v>
      </x:c>
      <x:c r="S144" s="2" t="n">
        <x:v>62</x:v>
      </x:c>
    </x:row>
    <x:row r="145" ht="21" customHeight="1">
      <x:c r="A145" s="36" t="n">
        <x:v>45658.645833333336</x:v>
      </x:c>
      <x:c r="B145" s="36" t="n">
        <x:v>45658.64584166667</x:v>
      </x:c>
      <x:c r="C145" s="36" t="n">
        <x:v>45658.645833333336</x:v>
      </x:c>
      <x:c r="D145" s="2" t="str">
        <x:v>d</x:v>
      </x:c>
      <x:c r="E145" s="18" t="n">
        <x:v>0.0002</x:v>
      </x:c>
      <x:c r="F145" s="18" t="n">
        <x:f>IF(D145="d",'两日价格与决策'!K69-'两日价格与决策'!N69,IF(D145="u",'两日价格与决策'!K69+'两日价格与决策'!M69,'两日价格与决策'!K69))</x:f>
        <x:v>0</x:v>
      </x:c>
      <x:c r="G145" s="18" t="n">
        <x:f>MAX(-F145,0)</x:f>
        <x:v>0</x:v>
      </x:c>
      <x:c r="H145" s="18" t="n">
        <x:f>MAX(F145,0)</x:f>
        <x:v>0</x:v>
      </x:c>
      <x:c r="I145" s="18" t="n">
        <x:f>J144</x:f>
        <x:v>10</x:v>
      </x:c>
      <x:c r="J145" s="18" t="n">
        <x:f>I145+E145*(G145*'原始输入与口径'!$D$5-H145/'原始输入与口径'!$D$5)</x:f>
        <x:v>10</x:v>
      </x:c>
      <x:c r="K145" s="18" t="n">
        <x:v>10</x:v>
      </x:c>
      <x:c r="L145" s="18" t="n">
        <x:v>10</x:v>
      </x:c>
      <x:c r="M145" s="18" t="n">
        <x:f>J145-L145</x:f>
        <x:v>0</x:v>
      </x:c>
      <x:c r="N145" s="18" t="n">
        <x:f>E145*(G145*'原始输入与口径'!$D$5+H145/'原始输入与口径'!$D$5)/'原始输入与口径'!$H$5</x:f>
        <x:v>0</x:v>
      </x:c>
      <x:c r="O145" s="18" t="n">
        <x:v>0</x:v>
      </x:c>
      <x:c r="P145" s="18" t="n">
        <x:f>N145-O145</x:f>
        <x:v>0</x:v>
      </x:c>
      <x:c r="Q145" s="18" t="n">
        <x:f>E145*G145</x:f>
        <x:v>0</x:v>
      </x:c>
      <x:c r="R145" s="18" t="n">
        <x:f>E145*H145</x:f>
        <x:v>0</x:v>
      </x:c>
      <x:c r="S145" s="2" t="n">
        <x:v>63</x:v>
      </x:c>
    </x:row>
    <x:row r="146" ht="21" customHeight="1">
      <x:c r="A146" s="36" t="n">
        <x:v>45658.64584166667</x:v>
      </x:c>
      <x:c r="B146" s="36" t="n">
        <x:v>45658.64791166667</x:v>
      </x:c>
      <x:c r="C146" s="36" t="n">
        <x:v>45658.645833333336</x:v>
      </x:c>
      <x:c r="D146" s="2" t="str">
        <x:v>u</x:v>
      </x:c>
      <x:c r="E146" s="18" t="n">
        <x:v>0.04968</x:v>
      </x:c>
      <x:c r="F146" s="18" t="n">
        <x:f>IF(D146="d",'两日价格与决策'!K69-'两日价格与决策'!N69,IF(D146="u",'两日价格与决策'!K69+'两日价格与决策'!M69,'两日价格与决策'!K69))</x:f>
        <x:v>0</x:v>
      </x:c>
      <x:c r="G146" s="18" t="n">
        <x:f>MAX(-F146,0)</x:f>
        <x:v>0</x:v>
      </x:c>
      <x:c r="H146" s="18" t="n">
        <x:f>MAX(F146,0)</x:f>
        <x:v>0</x:v>
      </x:c>
      <x:c r="I146" s="18" t="n">
        <x:f>J145</x:f>
        <x:v>10</x:v>
      </x:c>
      <x:c r="J146" s="18" t="n">
        <x:f>I146+E146*(G146*'原始输入与口径'!$D$5-H146/'原始输入与口径'!$D$5)</x:f>
        <x:v>10</x:v>
      </x:c>
      <x:c r="K146" s="18" t="n">
        <x:v>10</x:v>
      </x:c>
      <x:c r="L146" s="18" t="n">
        <x:v>10</x:v>
      </x:c>
      <x:c r="M146" s="18" t="n">
        <x:f>J146-L146</x:f>
        <x:v>0</x:v>
      </x:c>
      <x:c r="N146" s="18" t="n">
        <x:f>E146*(G146*'原始输入与口径'!$D$5+H146/'原始输入与口径'!$D$5)/'原始输入与口径'!$H$5</x:f>
        <x:v>0</x:v>
      </x:c>
      <x:c r="O146" s="18" t="n">
        <x:v>0</x:v>
      </x:c>
      <x:c r="P146" s="18" t="n">
        <x:f>N146-O146</x:f>
        <x:v>0</x:v>
      </x:c>
      <x:c r="Q146" s="18" t="n">
        <x:f>E146*G146</x:f>
        <x:v>0</x:v>
      </x:c>
      <x:c r="R146" s="18" t="n">
        <x:f>E146*H146</x:f>
        <x:v>0</x:v>
      </x:c>
      <x:c r="S146" s="2" t="n">
        <x:v>63</x:v>
      </x:c>
    </x:row>
    <x:row r="147" ht="21" customHeight="1">
      <x:c r="A147" s="36" t="n">
        <x:v>45658.64791166667</x:v>
      </x:c>
      <x:c r="B147" s="36" t="n">
        <x:v>45658.65625</x:v>
      </x:c>
      <x:c r="C147" s="36" t="n">
        <x:v>45658.645833333336</x:v>
      </x:c>
      <x:c r="D147" s="2" t="str">
        <x:v>0</x:v>
      </x:c>
      <x:c r="E147" s="18" t="n">
        <x:v>0.20012</x:v>
      </x:c>
      <x:c r="F147" s="18" t="n">
        <x:f>IF(D147="d",'两日价格与决策'!K69-'两日价格与决策'!N69,IF(D147="u",'两日价格与决策'!K69+'两日价格与决策'!M69,'两日价格与决策'!K69))</x:f>
        <x:v>0</x:v>
      </x:c>
      <x:c r="G147" s="18" t="n">
        <x:f>MAX(-F147,0)</x:f>
        <x:v>0</x:v>
      </x:c>
      <x:c r="H147" s="18" t="n">
        <x:f>MAX(F147,0)</x:f>
        <x:v>0</x:v>
      </x:c>
      <x:c r="I147" s="18" t="n">
        <x:f>J146</x:f>
        <x:v>10</x:v>
      </x:c>
      <x:c r="J147" s="18" t="n">
        <x:f>I147+E147*(G147*'原始输入与口径'!$D$5-H147/'原始输入与口径'!$D$5)</x:f>
        <x:v>10</x:v>
      </x:c>
      <x:c r="K147" s="18" t="n">
        <x:v>10</x:v>
      </x:c>
      <x:c r="L147" s="18" t="n">
        <x:v>10</x:v>
      </x:c>
      <x:c r="M147" s="18" t="n">
        <x:f>J147-L147</x:f>
        <x:v>0</x:v>
      </x:c>
      <x:c r="N147" s="18" t="n">
        <x:f>E147*(G147*'原始输入与口径'!$D$5+H147/'原始输入与口径'!$D$5)/'原始输入与口径'!$H$5</x:f>
        <x:v>0</x:v>
      </x:c>
      <x:c r="O147" s="18" t="n">
        <x:v>0</x:v>
      </x:c>
      <x:c r="P147" s="18" t="n">
        <x:f>N147-O147</x:f>
        <x:v>0</x:v>
      </x:c>
      <x:c r="Q147" s="18" t="n">
        <x:f>E147*G147</x:f>
        <x:v>0</x:v>
      </x:c>
      <x:c r="R147" s="18" t="n">
        <x:f>E147*H147</x:f>
        <x:v>0</x:v>
      </x:c>
      <x:c r="S147" s="2" t="n">
        <x:v>63</x:v>
      </x:c>
    </x:row>
    <x:row r="148" ht="21" customHeight="1">
      <x:c r="A148" s="36" t="n">
        <x:v>45658.65625</x:v>
      </x:c>
      <x:c r="B148" s="36" t="n">
        <x:v>45658.66446666667</x:v>
      </x:c>
      <x:c r="C148" s="36" t="n">
        <x:v>45658.65625</x:v>
      </x:c>
      <x:c r="D148" s="2" t="str">
        <x:v>u</x:v>
      </x:c>
      <x:c r="E148" s="18" t="n">
        <x:v>0.1972</x:v>
      </x:c>
      <x:c r="F148" s="18" t="n">
        <x:f>IF(D148="d",'两日价格与决策'!K70-'两日价格与决策'!N70,IF(D148="u",'两日价格与决策'!K70+'两日价格与决策'!M70,'两日价格与决策'!K70))</x:f>
        <x:v>0</x:v>
      </x:c>
      <x:c r="G148" s="18" t="n">
        <x:f>MAX(-F148,0)</x:f>
        <x:v>0</x:v>
      </x:c>
      <x:c r="H148" s="18" t="n">
        <x:f>MAX(F148,0)</x:f>
        <x:v>0</x:v>
      </x:c>
      <x:c r="I148" s="18" t="n">
        <x:f>J147</x:f>
        <x:v>10</x:v>
      </x:c>
      <x:c r="J148" s="18" t="n">
        <x:f>I148+E148*(G148*'原始输入与口径'!$D$5-H148/'原始输入与口径'!$D$5)</x:f>
        <x:v>10</x:v>
      </x:c>
      <x:c r="K148" s="18" t="n">
        <x:v>10</x:v>
      </x:c>
      <x:c r="L148" s="18" t="n">
        <x:v>10</x:v>
      </x:c>
      <x:c r="M148" s="18" t="n">
        <x:f>J148-L148</x:f>
        <x:v>0</x:v>
      </x:c>
      <x:c r="N148" s="18" t="n">
        <x:f>E148*(G148*'原始输入与口径'!$D$5+H148/'原始输入与口径'!$D$5)/'原始输入与口径'!$H$5</x:f>
        <x:v>0</x:v>
      </x:c>
      <x:c r="O148" s="18" t="n">
        <x:v>0</x:v>
      </x:c>
      <x:c r="P148" s="18" t="n">
        <x:f>N148-O148</x:f>
        <x:v>0</x:v>
      </x:c>
      <x:c r="Q148" s="18" t="n">
        <x:f>E148*G148</x:f>
        <x:v>0</x:v>
      </x:c>
      <x:c r="R148" s="18" t="n">
        <x:f>E148*H148</x:f>
        <x:v>0</x:v>
      </x:c>
      <x:c r="S148" s="2" t="n">
        <x:v>64</x:v>
      </x:c>
    </x:row>
    <x:row r="149" ht="21" customHeight="1">
      <x:c r="A149" s="36" t="n">
        <x:v>45658.66446666667</x:v>
      </x:c>
      <x:c r="B149" s="36" t="n">
        <x:v>45658.666666666664</x:v>
      </x:c>
      <x:c r="C149" s="36" t="n">
        <x:v>45658.65625</x:v>
      </x:c>
      <x:c r="D149" s="2" t="str">
        <x:v>0</x:v>
      </x:c>
      <x:c r="E149" s="18" t="n">
        <x:v>0.052800000000000014</x:v>
      </x:c>
      <x:c r="F149" s="18" t="n">
        <x:f>IF(D149="d",'两日价格与决策'!K70-'两日价格与决策'!N70,IF(D149="u",'两日价格与决策'!K70+'两日价格与决策'!M70,'两日价格与决策'!K70))</x:f>
        <x:v>0</x:v>
      </x:c>
      <x:c r="G149" s="18" t="n">
        <x:f>MAX(-F149,0)</x:f>
        <x:v>0</x:v>
      </x:c>
      <x:c r="H149" s="18" t="n">
        <x:f>MAX(F149,0)</x:f>
        <x:v>0</x:v>
      </x:c>
      <x:c r="I149" s="18" t="n">
        <x:f>J148</x:f>
        <x:v>10</x:v>
      </x:c>
      <x:c r="J149" s="18" t="n">
        <x:f>I149+E149*(G149*'原始输入与口径'!$D$5-H149/'原始输入与口径'!$D$5)</x:f>
        <x:v>10</x:v>
      </x:c>
      <x:c r="K149" s="18" t="n">
        <x:v>10</x:v>
      </x:c>
      <x:c r="L149" s="18" t="n">
        <x:v>10</x:v>
      </x:c>
      <x:c r="M149" s="18" t="n">
        <x:f>J149-L149</x:f>
        <x:v>0</x:v>
      </x:c>
      <x:c r="N149" s="18" t="n">
        <x:f>E149*(G149*'原始输入与口径'!$D$5+H149/'原始输入与口径'!$D$5)/'原始输入与口径'!$H$5</x:f>
        <x:v>0</x:v>
      </x:c>
      <x:c r="O149" s="18" t="n">
        <x:v>0</x:v>
      </x:c>
      <x:c r="P149" s="18" t="n">
        <x:f>N149-O149</x:f>
        <x:v>0</x:v>
      </x:c>
      <x:c r="Q149" s="18" t="n">
        <x:f>E149*G149</x:f>
        <x:v>0</x:v>
      </x:c>
      <x:c r="R149" s="18" t="n">
        <x:f>E149*H149</x:f>
        <x:v>0</x:v>
      </x:c>
      <x:c r="S149" s="2" t="n">
        <x:v>64</x:v>
      </x:c>
    </x:row>
    <x:row r="150" ht="21" customHeight="1">
      <x:c r="A150" s="36" t="n">
        <x:v>45658.666666666664</x:v>
      </x:c>
      <x:c r="B150" s="36" t="n">
        <x:v>45658.669112916665</x:v>
      </x:c>
      <x:c r="C150" s="36" t="n">
        <x:v>45658.666666666664</x:v>
      </x:c>
      <x:c r="D150" s="2" t="str">
        <x:v>d</x:v>
      </x:c>
      <x:c r="E150" s="18" t="n">
        <x:v>0.058710000000000005</x:v>
      </x:c>
      <x:c r="F150" s="18" t="n">
        <x:f>IF(D150="d",'两日价格与决策'!K71-'两日价格与决策'!N71,IF(D150="u",'两日价格与决策'!K71+'两日价格与决策'!M71,'两日价格与决策'!K71))</x:f>
        <x:v>0</x:v>
      </x:c>
      <x:c r="G150" s="18" t="n">
        <x:f>MAX(-F150,0)</x:f>
        <x:v>0</x:v>
      </x:c>
      <x:c r="H150" s="18" t="n">
        <x:f>MAX(F150,0)</x:f>
        <x:v>0</x:v>
      </x:c>
      <x:c r="I150" s="18" t="n">
        <x:f>J149</x:f>
        <x:v>10</x:v>
      </x:c>
      <x:c r="J150" s="18" t="n">
        <x:f>I150+E150*(G150*'原始输入与口径'!$D$5-H150/'原始输入与口径'!$D$5)</x:f>
        <x:v>10</x:v>
      </x:c>
      <x:c r="K150" s="18" t="n">
        <x:v>10</x:v>
      </x:c>
      <x:c r="L150" s="18" t="n">
        <x:v>10</x:v>
      </x:c>
      <x:c r="M150" s="18" t="n">
        <x:f>J150-L150</x:f>
        <x:v>0</x:v>
      </x:c>
      <x:c r="N150" s="18" t="n">
        <x:f>E150*(G150*'原始输入与口径'!$D$5+H150/'原始输入与口径'!$D$5)/'原始输入与口径'!$H$5</x:f>
        <x:v>0</x:v>
      </x:c>
      <x:c r="O150" s="18" t="n">
        <x:v>0</x:v>
      </x:c>
      <x:c r="P150" s="18" t="n">
        <x:f>N150-O150</x:f>
        <x:v>0</x:v>
      </x:c>
      <x:c r="Q150" s="18" t="n">
        <x:f>E150*G150</x:f>
        <x:v>0</x:v>
      </x:c>
      <x:c r="R150" s="18" t="n">
        <x:f>E150*H150</x:f>
        <x:v>0</x:v>
      </x:c>
      <x:c r="S150" s="2" t="n">
        <x:v>65</x:v>
      </x:c>
    </x:row>
    <x:row r="151" ht="21" customHeight="1">
      <x:c r="A151" s="36" t="n">
        <x:v>45658.669112916665</x:v>
      </x:c>
      <x:c r="B151" s="36" t="n">
        <x:v>45658.66988583333</x:v>
      </x:c>
      <x:c r="C151" s="36" t="n">
        <x:v>45658.666666666664</x:v>
      </x:c>
      <x:c r="D151" s="2" t="str">
        <x:v>u</x:v>
      </x:c>
      <x:c r="E151" s="18" t="n">
        <x:v>0.01855</x:v>
      </x:c>
      <x:c r="F151" s="18" t="n">
        <x:f>IF(D151="d",'两日价格与决策'!K71-'两日价格与决策'!N71,IF(D151="u",'两日价格与决策'!K71+'两日价格与决策'!M71,'两日价格与决策'!K71))</x:f>
        <x:v>0</x:v>
      </x:c>
      <x:c r="G151" s="18" t="n">
        <x:f>MAX(-F151,0)</x:f>
        <x:v>0</x:v>
      </x:c>
      <x:c r="H151" s="18" t="n">
        <x:f>MAX(F151,0)</x:f>
        <x:v>0</x:v>
      </x:c>
      <x:c r="I151" s="18" t="n">
        <x:f>J150</x:f>
        <x:v>10</x:v>
      </x:c>
      <x:c r="J151" s="18" t="n">
        <x:f>I151+E151*(G151*'原始输入与口径'!$D$5-H151/'原始输入与口径'!$D$5)</x:f>
        <x:v>10</x:v>
      </x:c>
      <x:c r="K151" s="18" t="n">
        <x:v>10</x:v>
      </x:c>
      <x:c r="L151" s="18" t="n">
        <x:v>10</x:v>
      </x:c>
      <x:c r="M151" s="18" t="n">
        <x:f>J151-L151</x:f>
        <x:v>0</x:v>
      </x:c>
      <x:c r="N151" s="18" t="n">
        <x:f>E151*(G151*'原始输入与口径'!$D$5+H151/'原始输入与口径'!$D$5)/'原始输入与口径'!$H$5</x:f>
        <x:v>0</x:v>
      </x:c>
      <x:c r="O151" s="18" t="n">
        <x:v>0</x:v>
      </x:c>
      <x:c r="P151" s="18" t="n">
        <x:f>N151-O151</x:f>
        <x:v>0</x:v>
      </x:c>
      <x:c r="Q151" s="18" t="n">
        <x:f>E151*G151</x:f>
        <x:v>0</x:v>
      </x:c>
      <x:c r="R151" s="18" t="n">
        <x:f>E151*H151</x:f>
        <x:v>0</x:v>
      </x:c>
      <x:c r="S151" s="2" t="n">
        <x:v>65</x:v>
      </x:c>
    </x:row>
    <x:row r="152" ht="21" customHeight="1">
      <x:c r="A152" s="36" t="n">
        <x:v>45658.66988583333</x:v>
      </x:c>
      <x:c r="B152" s="36" t="n">
        <x:v>45658.67708333333</x:v>
      </x:c>
      <x:c r="C152" s="36" t="n">
        <x:v>45658.666666666664</x:v>
      </x:c>
      <x:c r="D152" s="2" t="str">
        <x:v>0</x:v>
      </x:c>
      <x:c r="E152" s="18" t="n">
        <x:v>0.17273999999999998</x:v>
      </x:c>
      <x:c r="F152" s="18" t="n">
        <x:f>IF(D152="d",'两日价格与决策'!K71-'两日价格与决策'!N71,IF(D152="u",'两日价格与决策'!K71+'两日价格与决策'!M71,'两日价格与决策'!K71))</x:f>
        <x:v>0</x:v>
      </x:c>
      <x:c r="G152" s="18" t="n">
        <x:f>MAX(-F152,0)</x:f>
        <x:v>0</x:v>
      </x:c>
      <x:c r="H152" s="18" t="n">
        <x:f>MAX(F152,0)</x:f>
        <x:v>0</x:v>
      </x:c>
      <x:c r="I152" s="18" t="n">
        <x:f>J151</x:f>
        <x:v>10</x:v>
      </x:c>
      <x:c r="J152" s="18" t="n">
        <x:f>I152+E152*(G152*'原始输入与口径'!$D$5-H152/'原始输入与口径'!$D$5)</x:f>
        <x:v>10</x:v>
      </x:c>
      <x:c r="K152" s="18" t="n">
        <x:v>10</x:v>
      </x:c>
      <x:c r="L152" s="18" t="n">
        <x:v>10</x:v>
      </x:c>
      <x:c r="M152" s="18" t="n">
        <x:f>J152-L152</x:f>
        <x:v>0</x:v>
      </x:c>
      <x:c r="N152" s="18" t="n">
        <x:f>E152*(G152*'原始输入与口径'!$D$5+H152/'原始输入与口径'!$D$5)/'原始输入与口径'!$H$5</x:f>
        <x:v>0</x:v>
      </x:c>
      <x:c r="O152" s="18" t="n">
        <x:v>0</x:v>
      </x:c>
      <x:c r="P152" s="18" t="n">
        <x:f>N152-O152</x:f>
        <x:v>0</x:v>
      </x:c>
      <x:c r="Q152" s="18" t="n">
        <x:f>E152*G152</x:f>
        <x:v>0</x:v>
      </x:c>
      <x:c r="R152" s="18" t="n">
        <x:f>E152*H152</x:f>
        <x:v>0</x:v>
      </x:c>
      <x:c r="S152" s="2" t="n">
        <x:v>65</x:v>
      </x:c>
    </x:row>
    <x:row r="153" ht="21" customHeight="1">
      <x:c r="A153" s="36" t="n">
        <x:v>45658.677083333336</x:v>
      </x:c>
      <x:c r="B153" s="36" t="n">
        <x:v>45658.67828979167</x:v>
      </x:c>
      <x:c r="C153" s="36" t="n">
        <x:v>45658.677083333336</x:v>
      </x:c>
      <x:c r="D153" s="2" t="str">
        <x:v>d</x:v>
      </x:c>
      <x:c r="E153" s="18" t="n">
        <x:v>0.028955</x:v>
      </x:c>
      <x:c r="F153" s="18" t="n">
        <x:f>IF(D153="d",'两日价格与决策'!K72-'两日价格与决策'!N72,IF(D153="u",'两日价格与决策'!K72+'两日价格与决策'!M72,'两日价格与决策'!K72))</x:f>
        <x:v>0</x:v>
      </x:c>
      <x:c r="G153" s="18" t="n">
        <x:f>MAX(-F153,0)</x:f>
        <x:v>0</x:v>
      </x:c>
      <x:c r="H153" s="18" t="n">
        <x:f>MAX(F153,0)</x:f>
        <x:v>0</x:v>
      </x:c>
      <x:c r="I153" s="18" t="n">
        <x:f>J152</x:f>
        <x:v>10</x:v>
      </x:c>
      <x:c r="J153" s="18" t="n">
        <x:f>I153+E153*(G153*'原始输入与口径'!$D$5-H153/'原始输入与口径'!$D$5)</x:f>
        <x:v>10</x:v>
      </x:c>
      <x:c r="K153" s="18" t="n">
        <x:v>10</x:v>
      </x:c>
      <x:c r="L153" s="18" t="n">
        <x:v>10</x:v>
      </x:c>
      <x:c r="M153" s="18" t="n">
        <x:f>J153-L153</x:f>
        <x:v>0</x:v>
      </x:c>
      <x:c r="N153" s="18" t="n">
        <x:f>E153*(G153*'原始输入与口径'!$D$5+H153/'原始输入与口径'!$D$5)/'原始输入与口径'!$H$5</x:f>
        <x:v>0</x:v>
      </x:c>
      <x:c r="O153" s="18" t="n">
        <x:v>0</x:v>
      </x:c>
      <x:c r="P153" s="18" t="n">
        <x:f>N153-O153</x:f>
        <x:v>0</x:v>
      </x:c>
      <x:c r="Q153" s="18" t="n">
        <x:f>E153*G153</x:f>
        <x:v>0</x:v>
      </x:c>
      <x:c r="R153" s="18" t="n">
        <x:f>E153*H153</x:f>
        <x:v>0</x:v>
      </x:c>
      <x:c r="S153" s="2" t="n">
        <x:v>66</x:v>
      </x:c>
    </x:row>
    <x:row r="154" ht="21" customHeight="1">
      <x:c r="A154" s="36" t="n">
        <x:v>45658.67828979167</x:v>
      </x:c>
      <x:c r="B154" s="36" t="n">
        <x:v>45658.6875</x:v>
      </x:c>
      <x:c r="C154" s="36" t="n">
        <x:v>45658.677083333336</x:v>
      </x:c>
      <x:c r="D154" s="2" t="str">
        <x:v>0</x:v>
      </x:c>
      <x:c r="E154" s="18" t="n">
        <x:v>0.221045</x:v>
      </x:c>
      <x:c r="F154" s="18" t="n">
        <x:f>IF(D154="d",'两日价格与决策'!K72-'两日价格与决策'!N72,IF(D154="u",'两日价格与决策'!K72+'两日价格与决策'!M72,'两日价格与决策'!K72))</x:f>
        <x:v>0</x:v>
      </x:c>
      <x:c r="G154" s="18" t="n">
        <x:f>MAX(-F154,0)</x:f>
        <x:v>0</x:v>
      </x:c>
      <x:c r="H154" s="18" t="n">
        <x:f>MAX(F154,0)</x:f>
        <x:v>0</x:v>
      </x:c>
      <x:c r="I154" s="18" t="n">
        <x:f>J153</x:f>
        <x:v>10</x:v>
      </x:c>
      <x:c r="J154" s="18" t="n">
        <x:f>I154+E154*(G154*'原始输入与口径'!$D$5-H154/'原始输入与口径'!$D$5)</x:f>
        <x:v>10</x:v>
      </x:c>
      <x:c r="K154" s="18" t="n">
        <x:v>10</x:v>
      </x:c>
      <x:c r="L154" s="18" t="n">
        <x:v>10</x:v>
      </x:c>
      <x:c r="M154" s="18" t="n">
        <x:f>J154-L154</x:f>
        <x:v>0</x:v>
      </x:c>
      <x:c r="N154" s="18" t="n">
        <x:f>E154*(G154*'原始输入与口径'!$D$5+H154/'原始输入与口径'!$D$5)/'原始输入与口径'!$H$5</x:f>
        <x:v>0</x:v>
      </x:c>
      <x:c r="O154" s="18" t="n">
        <x:v>0</x:v>
      </x:c>
      <x:c r="P154" s="18" t="n">
        <x:f>N154-O154</x:f>
        <x:v>0</x:v>
      </x:c>
      <x:c r="Q154" s="18" t="n">
        <x:f>E154*G154</x:f>
        <x:v>0</x:v>
      </x:c>
      <x:c r="R154" s="18" t="n">
        <x:f>E154*H154</x:f>
        <x:v>0</x:v>
      </x:c>
      <x:c r="S154" s="2" t="n">
        <x:v>66</x:v>
      </x:c>
    </x:row>
    <x:row r="155" ht="21" customHeight="1">
      <x:c r="A155" s="36" t="n">
        <x:v>45658.6875</x:v>
      </x:c>
      <x:c r="B155" s="36" t="n">
        <x:v>45658.687724166666</x:v>
      </x:c>
      <x:c r="C155" s="36" t="n">
        <x:v>45658.6875</x:v>
      </x:c>
      <x:c r="D155" s="2" t="str">
        <x:v>d</x:v>
      </x:c>
      <x:c r="E155" s="18" t="n">
        <x:v>0.00538</x:v>
      </x:c>
      <x:c r="F155" s="18" t="n">
        <x:f>IF(D155="d",'两日价格与决策'!K73-'两日价格与决策'!N73,IF(D155="u",'两日价格与决策'!K73+'两日价格与决策'!M73,'两日价格与决策'!K73))</x:f>
        <x:v>0</x:v>
      </x:c>
      <x:c r="G155" s="18" t="n">
        <x:f>MAX(-F155,0)</x:f>
        <x:v>0</x:v>
      </x:c>
      <x:c r="H155" s="18" t="n">
        <x:f>MAX(F155,0)</x:f>
        <x:v>0</x:v>
      </x:c>
      <x:c r="I155" s="18" t="n">
        <x:f>J154</x:f>
        <x:v>10</x:v>
      </x:c>
      <x:c r="J155" s="18" t="n">
        <x:f>I155+E155*(G155*'原始输入与口径'!$D$5-H155/'原始输入与口径'!$D$5)</x:f>
        <x:v>10</x:v>
      </x:c>
      <x:c r="K155" s="18" t="n">
        <x:v>10</x:v>
      </x:c>
      <x:c r="L155" s="18" t="n">
        <x:v>10</x:v>
      </x:c>
      <x:c r="M155" s="18" t="n">
        <x:f>J155-L155</x:f>
        <x:v>0</x:v>
      </x:c>
      <x:c r="N155" s="18" t="n">
        <x:f>E155*(G155*'原始输入与口径'!$D$5+H155/'原始输入与口径'!$D$5)/'原始输入与口径'!$H$5</x:f>
        <x:v>0</x:v>
      </x:c>
      <x:c r="O155" s="18" t="n">
        <x:v>0</x:v>
      </x:c>
      <x:c r="P155" s="18" t="n">
        <x:f>N155-O155</x:f>
        <x:v>0</x:v>
      </x:c>
      <x:c r="Q155" s="18" t="n">
        <x:f>E155*G155</x:f>
        <x:v>0</x:v>
      </x:c>
      <x:c r="R155" s="18" t="n">
        <x:f>E155*H155</x:f>
        <x:v>0</x:v>
      </x:c>
      <x:c r="S155" s="2" t="n">
        <x:v>67</x:v>
      </x:c>
    </x:row>
    <x:row r="156" ht="21" customHeight="1">
      <x:c r="A156" s="36" t="n">
        <x:v>45658.687724166666</x:v>
      </x:c>
      <x:c r="B156" s="36" t="n">
        <x:v>45658.687724791664</x:v>
      </x:c>
      <x:c r="C156" s="36" t="n">
        <x:v>45658.6875</x:v>
      </x:c>
      <x:c r="D156" s="2" t="str">
        <x:v>u</x:v>
      </x:c>
      <x:c r="E156" s="18" t="n">
        <x:v>0.000015</x:v>
      </x:c>
      <x:c r="F156" s="18" t="n">
        <x:f>IF(D156="d",'两日价格与决策'!K73-'两日价格与决策'!N73,IF(D156="u",'两日价格与决策'!K73+'两日价格与决策'!M73,'两日价格与决策'!K73))</x:f>
        <x:v>0</x:v>
      </x:c>
      <x:c r="G156" s="18" t="n">
        <x:f>MAX(-F156,0)</x:f>
        <x:v>0</x:v>
      </x:c>
      <x:c r="H156" s="18" t="n">
        <x:f>MAX(F156,0)</x:f>
        <x:v>0</x:v>
      </x:c>
      <x:c r="I156" s="18" t="n">
        <x:f>J155</x:f>
        <x:v>10</x:v>
      </x:c>
      <x:c r="J156" s="18" t="n">
        <x:f>I156+E156*(G156*'原始输入与口径'!$D$5-H156/'原始输入与口径'!$D$5)</x:f>
        <x:v>10</x:v>
      </x:c>
      <x:c r="K156" s="18" t="n">
        <x:v>10</x:v>
      </x:c>
      <x:c r="L156" s="18" t="n">
        <x:v>10</x:v>
      </x:c>
      <x:c r="M156" s="18" t="n">
        <x:f>J156-L156</x:f>
        <x:v>0</x:v>
      </x:c>
      <x:c r="N156" s="18" t="n">
        <x:f>E156*(G156*'原始输入与口径'!$D$5+H156/'原始输入与口径'!$D$5)/'原始输入与口径'!$H$5</x:f>
        <x:v>0</x:v>
      </x:c>
      <x:c r="O156" s="18" t="n">
        <x:v>0</x:v>
      </x:c>
      <x:c r="P156" s="18" t="n">
        <x:f>N156-O156</x:f>
        <x:v>0</x:v>
      </x:c>
      <x:c r="Q156" s="18" t="n">
        <x:f>E156*G156</x:f>
        <x:v>0</x:v>
      </x:c>
      <x:c r="R156" s="18" t="n">
        <x:f>E156*H156</x:f>
        <x:v>0</x:v>
      </x:c>
      <x:c r="S156" s="2" t="n">
        <x:v>67</x:v>
      </x:c>
    </x:row>
    <x:row r="157" ht="21" customHeight="1">
      <x:c r="A157" s="36" t="n">
        <x:v>45658.687724791664</x:v>
      </x:c>
      <x:c r="B157" s="36" t="n">
        <x:v>45658.697916666664</x:v>
      </x:c>
      <x:c r="C157" s="36" t="n">
        <x:v>45658.6875</x:v>
      </x:c>
      <x:c r="D157" s="2" t="str">
        <x:v>0</x:v>
      </x:c>
      <x:c r="E157" s="18" t="n">
        <x:v>0.24460500000000002</x:v>
      </x:c>
      <x:c r="F157" s="18" t="n">
        <x:f>IF(D157="d",'两日价格与决策'!K73-'两日价格与决策'!N73,IF(D157="u",'两日价格与决策'!K73+'两日价格与决策'!M73,'两日价格与决策'!K73))</x:f>
        <x:v>0</x:v>
      </x:c>
      <x:c r="G157" s="18" t="n">
        <x:f>MAX(-F157,0)</x:f>
        <x:v>0</x:v>
      </x:c>
      <x:c r="H157" s="18" t="n">
        <x:f>MAX(F157,0)</x:f>
        <x:v>0</x:v>
      </x:c>
      <x:c r="I157" s="18" t="n">
        <x:f>J156</x:f>
        <x:v>10</x:v>
      </x:c>
      <x:c r="J157" s="18" t="n">
        <x:f>I157+E157*(G157*'原始输入与口径'!$D$5-H157/'原始输入与口径'!$D$5)</x:f>
        <x:v>10</x:v>
      </x:c>
      <x:c r="K157" s="18" t="n">
        <x:v>10</x:v>
      </x:c>
      <x:c r="L157" s="18" t="n">
        <x:v>10</x:v>
      </x:c>
      <x:c r="M157" s="18" t="n">
        <x:f>J157-L157</x:f>
        <x:v>0</x:v>
      </x:c>
      <x:c r="N157" s="18" t="n">
        <x:f>E157*(G157*'原始输入与口径'!$D$5+H157/'原始输入与口径'!$D$5)/'原始输入与口径'!$H$5</x:f>
        <x:v>0</x:v>
      </x:c>
      <x:c r="O157" s="18" t="n">
        <x:v>0</x:v>
      </x:c>
      <x:c r="P157" s="18" t="n">
        <x:f>N157-O157</x:f>
        <x:v>0</x:v>
      </x:c>
      <x:c r="Q157" s="18" t="n">
        <x:f>E157*G157</x:f>
        <x:v>0</x:v>
      </x:c>
      <x:c r="R157" s="18" t="n">
        <x:f>E157*H157</x:f>
        <x:v>0</x:v>
      </x:c>
      <x:c r="S157" s="2" t="n">
        <x:v>67</x:v>
      </x:c>
    </x:row>
    <x:row r="158" ht="21" customHeight="1">
      <x:c r="A158" s="36" t="n">
        <x:v>45658.697916666664</x:v>
      </x:c>
      <x:c r="B158" s="36" t="n">
        <x:v>45658.69792020833</x:v>
      </x:c>
      <x:c r="C158" s="36" t="n">
        <x:v>45658.697916666664</x:v>
      </x:c>
      <x:c r="D158" s="2" t="str">
        <x:v>d</x:v>
      </x:c>
      <x:c r="E158" s="18" t="n">
        <x:v>0.000085</x:v>
      </x:c>
      <x:c r="F158" s="18" t="n">
        <x:f>IF(D158="d",'两日价格与决策'!K74-'两日价格与决策'!N74,IF(D158="u",'两日价格与决策'!K74+'两日价格与决策'!M74,'两日价格与决策'!K74))</x:f>
        <x:v>0</x:v>
      </x:c>
      <x:c r="G158" s="18" t="n">
        <x:f>MAX(-F158,0)</x:f>
        <x:v>0</x:v>
      </x:c>
      <x:c r="H158" s="18" t="n">
        <x:f>MAX(F158,0)</x:f>
        <x:v>0</x:v>
      </x:c>
      <x:c r="I158" s="18" t="n">
        <x:f>J157</x:f>
        <x:v>10</x:v>
      </x:c>
      <x:c r="J158" s="18" t="n">
        <x:f>I158+E158*(G158*'原始输入与口径'!$D$5-H158/'原始输入与口径'!$D$5)</x:f>
        <x:v>10</x:v>
      </x:c>
      <x:c r="K158" s="18" t="n">
        <x:v>10</x:v>
      </x:c>
      <x:c r="L158" s="18" t="n">
        <x:v>10</x:v>
      </x:c>
      <x:c r="M158" s="18" t="n">
        <x:f>J158-L158</x:f>
        <x:v>0</x:v>
      </x:c>
      <x:c r="N158" s="18" t="n">
        <x:f>E158*(G158*'原始输入与口径'!$D$5+H158/'原始输入与口径'!$D$5)/'原始输入与口径'!$H$5</x:f>
        <x:v>0</x:v>
      </x:c>
      <x:c r="O158" s="18" t="n">
        <x:v>0</x:v>
      </x:c>
      <x:c r="P158" s="18" t="n">
        <x:f>N158-O158</x:f>
        <x:v>0</x:v>
      </x:c>
      <x:c r="Q158" s="18" t="n">
        <x:f>E158*G158</x:f>
        <x:v>0</x:v>
      </x:c>
      <x:c r="R158" s="18" t="n">
        <x:f>E158*H158</x:f>
        <x:v>0</x:v>
      </x:c>
      <x:c r="S158" s="2" t="n">
        <x:v>68</x:v>
      </x:c>
    </x:row>
    <x:row r="159" ht="21" customHeight="1">
      <x:c r="A159" s="36" t="n">
        <x:v>45658.69792020833</x:v>
      </x:c>
      <x:c r="B159" s="36" t="n">
        <x:v>45658.70049270833</x:v>
      </x:c>
      <x:c r="C159" s="36" t="n">
        <x:v>45658.697916666664</x:v>
      </x:c>
      <x:c r="D159" s="2" t="str">
        <x:v>u</x:v>
      </x:c>
      <x:c r="E159" s="18" t="n">
        <x:v>0.06174</x:v>
      </x:c>
      <x:c r="F159" s="18" t="n">
        <x:f>IF(D159="d",'两日价格与决策'!K74-'两日价格与决策'!N74,IF(D159="u",'两日价格与决策'!K74+'两日价格与决策'!M74,'两日价格与决策'!K74))</x:f>
        <x:v>0</x:v>
      </x:c>
      <x:c r="G159" s="18" t="n">
        <x:f>MAX(-F159,0)</x:f>
        <x:v>0</x:v>
      </x:c>
      <x:c r="H159" s="18" t="n">
        <x:f>MAX(F159,0)</x:f>
        <x:v>0</x:v>
      </x:c>
      <x:c r="I159" s="18" t="n">
        <x:f>J158</x:f>
        <x:v>10</x:v>
      </x:c>
      <x:c r="J159" s="18" t="n">
        <x:f>I159+E159*(G159*'原始输入与口径'!$D$5-H159/'原始输入与口径'!$D$5)</x:f>
        <x:v>10</x:v>
      </x:c>
      <x:c r="K159" s="18" t="n">
        <x:v>10</x:v>
      </x:c>
      <x:c r="L159" s="18" t="n">
        <x:v>10</x:v>
      </x:c>
      <x:c r="M159" s="18" t="n">
        <x:f>J159-L159</x:f>
        <x:v>0</x:v>
      </x:c>
      <x:c r="N159" s="18" t="n">
        <x:f>E159*(G159*'原始输入与口径'!$D$5+H159/'原始输入与口径'!$D$5)/'原始输入与口径'!$H$5</x:f>
        <x:v>0</x:v>
      </x:c>
      <x:c r="O159" s="18" t="n">
        <x:v>0</x:v>
      </x:c>
      <x:c r="P159" s="18" t="n">
        <x:f>N159-O159</x:f>
        <x:v>0</x:v>
      </x:c>
      <x:c r="Q159" s="18" t="n">
        <x:f>E159*G159</x:f>
        <x:v>0</x:v>
      </x:c>
      <x:c r="R159" s="18" t="n">
        <x:f>E159*H159</x:f>
        <x:v>0</x:v>
      </x:c>
      <x:c r="S159" s="2" t="n">
        <x:v>68</x:v>
      </x:c>
    </x:row>
    <x:row r="160" ht="21" customHeight="1">
      <x:c r="A160" s="36" t="n">
        <x:v>45658.70049270833</x:v>
      </x:c>
      <x:c r="B160" s="36" t="n">
        <x:v>45658.70833333333</x:v>
      </x:c>
      <x:c r="C160" s="36" t="n">
        <x:v>45658.697916666664</x:v>
      </x:c>
      <x:c r="D160" s="2" t="str">
        <x:v>0</x:v>
      </x:c>
      <x:c r="E160" s="18" t="n">
        <x:v>0.18817499999999998</x:v>
      </x:c>
      <x:c r="F160" s="18" t="n">
        <x:f>IF(D160="d",'两日价格与决策'!K74-'两日价格与决策'!N74,IF(D160="u",'两日价格与决策'!K74+'两日价格与决策'!M74,'两日价格与决策'!K74))</x:f>
        <x:v>0</x:v>
      </x:c>
      <x:c r="G160" s="18" t="n">
        <x:f>MAX(-F160,0)</x:f>
        <x:v>0</x:v>
      </x:c>
      <x:c r="H160" s="18" t="n">
        <x:f>MAX(F160,0)</x:f>
        <x:v>0</x:v>
      </x:c>
      <x:c r="I160" s="18" t="n">
        <x:f>J159</x:f>
        <x:v>10</x:v>
      </x:c>
      <x:c r="J160" s="18" t="n">
        <x:f>I160+E160*(G160*'原始输入与口径'!$D$5-H160/'原始输入与口径'!$D$5)</x:f>
        <x:v>10</x:v>
      </x:c>
      <x:c r="K160" s="18" t="n">
        <x:v>10</x:v>
      </x:c>
      <x:c r="L160" s="18" t="n">
        <x:v>10</x:v>
      </x:c>
      <x:c r="M160" s="18" t="n">
        <x:f>J160-L160</x:f>
        <x:v>0</x:v>
      </x:c>
      <x:c r="N160" s="18" t="n">
        <x:f>E160*(G160*'原始输入与口径'!$D$5+H160/'原始输入与口径'!$D$5)/'原始输入与口径'!$H$5</x:f>
        <x:v>0</x:v>
      </x:c>
      <x:c r="O160" s="18" t="n">
        <x:v>0</x:v>
      </x:c>
      <x:c r="P160" s="18" t="n">
        <x:f>N160-O160</x:f>
        <x:v>0</x:v>
      </x:c>
      <x:c r="Q160" s="18" t="n">
        <x:f>E160*G160</x:f>
        <x:v>0</x:v>
      </x:c>
      <x:c r="R160" s="18" t="n">
        <x:f>E160*H160</x:f>
        <x:v>0</x:v>
      </x:c>
      <x:c r="S160" s="2" t="n">
        <x:v>68</x:v>
      </x:c>
    </x:row>
    <x:row r="161" ht="21" customHeight="1">
      <x:c r="A161" s="36" t="n">
        <x:v>45658.708333333336</x:v>
      </x:c>
      <x:c r="B161" s="36" t="n">
        <x:v>45658.70840520834</x:v>
      </x:c>
      <x:c r="C161" s="36" t="n">
        <x:v>45658.708333333336</x:v>
      </x:c>
      <x:c r="D161" s="2" t="str">
        <x:v>d</x:v>
      </x:c>
      <x:c r="E161" s="18" t="n">
        <x:v>0.001725</x:v>
      </x:c>
      <x:c r="F161" s="18" t="n">
        <x:f>IF(D161="d",'两日价格与决策'!K75-'两日价格与决策'!N75,IF(D161="u",'两日价格与决策'!K75+'两日价格与决策'!M75,'两日价格与决策'!K75))</x:f>
        <x:v>0</x:v>
      </x:c>
      <x:c r="G161" s="18" t="n">
        <x:f>MAX(-F161,0)</x:f>
        <x:v>0</x:v>
      </x:c>
      <x:c r="H161" s="18" t="n">
        <x:f>MAX(F161,0)</x:f>
        <x:v>0</x:v>
      </x:c>
      <x:c r="I161" s="18" t="n">
        <x:f>J160</x:f>
        <x:v>10</x:v>
      </x:c>
      <x:c r="J161" s="18" t="n">
        <x:f>I161+E161*(G161*'原始输入与口径'!$D$5-H161/'原始输入与口径'!$D$5)</x:f>
        <x:v>10</x:v>
      </x:c>
      <x:c r="K161" s="18" t="n">
        <x:v>10</x:v>
      </x:c>
      <x:c r="L161" s="18" t="n">
        <x:v>10</x:v>
      </x:c>
      <x:c r="M161" s="18" t="n">
        <x:f>J161-L161</x:f>
        <x:v>0</x:v>
      </x:c>
      <x:c r="N161" s="18" t="n">
        <x:f>E161*(G161*'原始输入与口径'!$D$5+H161/'原始输入与口径'!$D$5)/'原始输入与口径'!$H$5</x:f>
        <x:v>0</x:v>
      </x:c>
      <x:c r="O161" s="18" t="n">
        <x:v>0</x:v>
      </x:c>
      <x:c r="P161" s="18" t="n">
        <x:f>N161-O161</x:f>
        <x:v>0</x:v>
      </x:c>
      <x:c r="Q161" s="18" t="n">
        <x:f>E161*G161</x:f>
        <x:v>0</x:v>
      </x:c>
      <x:c r="R161" s="18" t="n">
        <x:f>E161*H161</x:f>
        <x:v>0</x:v>
      </x:c>
      <x:c r="S161" s="2" t="n">
        <x:v>69</x:v>
      </x:c>
    </x:row>
    <x:row r="162" ht="21" customHeight="1">
      <x:c r="A162" s="36" t="n">
        <x:v>45658.70840520834</x:v>
      </x:c>
      <x:c r="B162" s="36" t="n">
        <x:v>45658.70877166667</x:v>
      </x:c>
      <x:c r="C162" s="36" t="n">
        <x:v>45658.708333333336</x:v>
      </x:c>
      <x:c r="D162" s="2" t="str">
        <x:v>u</x:v>
      </x:c>
      <x:c r="E162" s="18" t="n">
        <x:v>0.008794999999999999</x:v>
      </x:c>
      <x:c r="F162" s="18" t="n">
        <x:f>IF(D162="d",'两日价格与决策'!K75-'两日价格与决策'!N75,IF(D162="u",'两日价格与决策'!K75+'两日价格与决策'!M75,'两日价格与决策'!K75))</x:f>
        <x:v>0</x:v>
      </x:c>
      <x:c r="G162" s="18" t="n">
        <x:f>MAX(-F162,0)</x:f>
        <x:v>0</x:v>
      </x:c>
      <x:c r="H162" s="18" t="n">
        <x:f>MAX(F162,0)</x:f>
        <x:v>0</x:v>
      </x:c>
      <x:c r="I162" s="18" t="n">
        <x:f>J161</x:f>
        <x:v>10</x:v>
      </x:c>
      <x:c r="J162" s="18" t="n">
        <x:f>I162+E162*(G162*'原始输入与口径'!$D$5-H162/'原始输入与口径'!$D$5)</x:f>
        <x:v>10</x:v>
      </x:c>
      <x:c r="K162" s="18" t="n">
        <x:v>10</x:v>
      </x:c>
      <x:c r="L162" s="18" t="n">
        <x:v>10</x:v>
      </x:c>
      <x:c r="M162" s="18" t="n">
        <x:f>J162-L162</x:f>
        <x:v>0</x:v>
      </x:c>
      <x:c r="N162" s="18" t="n">
        <x:f>E162*(G162*'原始输入与口径'!$D$5+H162/'原始输入与口径'!$D$5)/'原始输入与口径'!$H$5</x:f>
        <x:v>0</x:v>
      </x:c>
      <x:c r="O162" s="18" t="n">
        <x:v>0</x:v>
      </x:c>
      <x:c r="P162" s="18" t="n">
        <x:f>N162-O162</x:f>
        <x:v>0</x:v>
      </x:c>
      <x:c r="Q162" s="18" t="n">
        <x:f>E162*G162</x:f>
        <x:v>0</x:v>
      </x:c>
      <x:c r="R162" s="18" t="n">
        <x:f>E162*H162</x:f>
        <x:v>0</x:v>
      </x:c>
      <x:c r="S162" s="2" t="n">
        <x:v>69</x:v>
      </x:c>
    </x:row>
    <x:row r="163" ht="21" customHeight="1">
      <x:c r="A163" s="36" t="n">
        <x:v>45658.70877166667</x:v>
      </x:c>
      <x:c r="B163" s="36" t="n">
        <x:v>45658.71875</x:v>
      </x:c>
      <x:c r="C163" s="36" t="n">
        <x:v>45658.708333333336</x:v>
      </x:c>
      <x:c r="D163" s="2" t="str">
        <x:v>0</x:v>
      </x:c>
      <x:c r="E163" s="18" t="n">
        <x:v>0.23948</x:v>
      </x:c>
      <x:c r="F163" s="18" t="n">
        <x:f>IF(D163="d",'两日价格与决策'!K75-'两日价格与决策'!N75,IF(D163="u",'两日价格与决策'!K75+'两日价格与决策'!M75,'两日价格与决策'!K75))</x:f>
        <x:v>0</x:v>
      </x:c>
      <x:c r="G163" s="18" t="n">
        <x:f>MAX(-F163,0)</x:f>
        <x:v>0</x:v>
      </x:c>
      <x:c r="H163" s="18" t="n">
        <x:f>MAX(F163,0)</x:f>
        <x:v>0</x:v>
      </x:c>
      <x:c r="I163" s="18" t="n">
        <x:f>J162</x:f>
        <x:v>10</x:v>
      </x:c>
      <x:c r="J163" s="18" t="n">
        <x:f>I163+E163*(G163*'原始输入与口径'!$D$5-H163/'原始输入与口径'!$D$5)</x:f>
        <x:v>10</x:v>
      </x:c>
      <x:c r="K163" s="18" t="n">
        <x:v>10</x:v>
      </x:c>
      <x:c r="L163" s="18" t="n">
        <x:v>10</x:v>
      </x:c>
      <x:c r="M163" s="18" t="n">
        <x:f>J163-L163</x:f>
        <x:v>0</x:v>
      </x:c>
      <x:c r="N163" s="18" t="n">
        <x:f>E163*(G163*'原始输入与口径'!$D$5+H163/'原始输入与口径'!$D$5)/'原始输入与口径'!$H$5</x:f>
        <x:v>0</x:v>
      </x:c>
      <x:c r="O163" s="18" t="n">
        <x:v>0</x:v>
      </x:c>
      <x:c r="P163" s="18" t="n">
        <x:f>N163-O163</x:f>
        <x:v>0</x:v>
      </x:c>
      <x:c r="Q163" s="18" t="n">
        <x:f>E163*G163</x:f>
        <x:v>0</x:v>
      </x:c>
      <x:c r="R163" s="18" t="n">
        <x:f>E163*H163</x:f>
        <x:v>0</x:v>
      </x:c>
      <x:c r="S163" s="2" t="n">
        <x:v>69</x:v>
      </x:c>
    </x:row>
    <x:row r="164" ht="21" customHeight="1">
      <x:c r="A164" s="36" t="n">
        <x:v>45658.71875</x:v>
      </x:c>
      <x:c r="B164" s="36" t="n">
        <x:v>45658.71875083333</x:v>
      </x:c>
      <x:c r="C164" s="36" t="n">
        <x:v>45658.71875</x:v>
      </x:c>
      <x:c r="D164" s="2" t="str">
        <x:v>d</x:v>
      </x:c>
      <x:c r="E164" s="18" t="n">
        <x:v>0.00002</x:v>
      </x:c>
      <x:c r="F164" s="18" t="n">
        <x:f>IF(D164="d",'两日价格与决策'!K76-'两日价格与决策'!N76,IF(D164="u",'两日价格与决策'!K76+'两日价格与决策'!M76,'两日价格与决策'!K76))</x:f>
        <x:v>0</x:v>
      </x:c>
      <x:c r="G164" s="18" t="n">
        <x:f>MAX(-F164,0)</x:f>
        <x:v>0</x:v>
      </x:c>
      <x:c r="H164" s="18" t="n">
        <x:f>MAX(F164,0)</x:f>
        <x:v>0</x:v>
      </x:c>
      <x:c r="I164" s="18" t="n">
        <x:f>J163</x:f>
        <x:v>10</x:v>
      </x:c>
      <x:c r="J164" s="18" t="n">
        <x:f>I164+E164*(G164*'原始输入与口径'!$D$5-H164/'原始输入与口径'!$D$5)</x:f>
        <x:v>10</x:v>
      </x:c>
      <x:c r="K164" s="18" t="n">
        <x:v>10</x:v>
      </x:c>
      <x:c r="L164" s="18" t="n">
        <x:v>10</x:v>
      </x:c>
      <x:c r="M164" s="18" t="n">
        <x:f>J164-L164</x:f>
        <x:v>0</x:v>
      </x:c>
      <x:c r="N164" s="18" t="n">
        <x:f>E164*(G164*'原始输入与口径'!$D$5+H164/'原始输入与口径'!$D$5)/'原始输入与口径'!$H$5</x:f>
        <x:v>0</x:v>
      </x:c>
      <x:c r="O164" s="18" t="n">
        <x:v>0</x:v>
      </x:c>
      <x:c r="P164" s="18" t="n">
        <x:f>N164-O164</x:f>
        <x:v>0</x:v>
      </x:c>
      <x:c r="Q164" s="18" t="n">
        <x:f>E164*G164</x:f>
        <x:v>0</x:v>
      </x:c>
      <x:c r="R164" s="18" t="n">
        <x:f>E164*H164</x:f>
        <x:v>0</x:v>
      </x:c>
      <x:c r="S164" s="2" t="n">
        <x:v>70</x:v>
      </x:c>
    </x:row>
    <x:row r="165" ht="21" customHeight="1">
      <x:c r="A165" s="36" t="n">
        <x:v>45658.71875083333</x:v>
      </x:c>
      <x:c r="B165" s="36" t="n">
        <x:v>45658.72004104167</x:v>
      </x:c>
      <x:c r="C165" s="36" t="n">
        <x:v>45658.71875</x:v>
      </x:c>
      <x:c r="D165" s="2" t="str">
        <x:v>u</x:v>
      </x:c>
      <x:c r="E165" s="18" t="n">
        <x:v>0.030965</x:v>
      </x:c>
      <x:c r="F165" s="18" t="n">
        <x:f>IF(D165="d",'两日价格与决策'!K76-'两日价格与决策'!N76,IF(D165="u",'两日价格与决策'!K76+'两日价格与决策'!M76,'两日价格与决策'!K76))</x:f>
        <x:v>0</x:v>
      </x:c>
      <x:c r="G165" s="18" t="n">
        <x:f>MAX(-F165,0)</x:f>
        <x:v>0</x:v>
      </x:c>
      <x:c r="H165" s="18" t="n">
        <x:f>MAX(F165,0)</x:f>
        <x:v>0</x:v>
      </x:c>
      <x:c r="I165" s="18" t="n">
        <x:f>J164</x:f>
        <x:v>10</x:v>
      </x:c>
      <x:c r="J165" s="18" t="n">
        <x:f>I165+E165*(G165*'原始输入与口径'!$D$5-H165/'原始输入与口径'!$D$5)</x:f>
        <x:v>10</x:v>
      </x:c>
      <x:c r="K165" s="18" t="n">
        <x:v>10</x:v>
      </x:c>
      <x:c r="L165" s="18" t="n">
        <x:v>10</x:v>
      </x:c>
      <x:c r="M165" s="18" t="n">
        <x:f>J165-L165</x:f>
        <x:v>0</x:v>
      </x:c>
      <x:c r="N165" s="18" t="n">
        <x:f>E165*(G165*'原始输入与口径'!$D$5+H165/'原始输入与口径'!$D$5)/'原始输入与口径'!$H$5</x:f>
        <x:v>0</x:v>
      </x:c>
      <x:c r="O165" s="18" t="n">
        <x:v>0</x:v>
      </x:c>
      <x:c r="P165" s="18" t="n">
        <x:f>N165-O165</x:f>
        <x:v>0</x:v>
      </x:c>
      <x:c r="Q165" s="18" t="n">
        <x:f>E165*G165</x:f>
        <x:v>0</x:v>
      </x:c>
      <x:c r="R165" s="18" t="n">
        <x:f>E165*H165</x:f>
        <x:v>0</x:v>
      </x:c>
      <x:c r="S165" s="2" t="n">
        <x:v>70</x:v>
      </x:c>
    </x:row>
    <x:row r="166" ht="21" customHeight="1">
      <x:c r="A166" s="36" t="n">
        <x:v>45658.72004104167</x:v>
      </x:c>
      <x:c r="B166" s="36" t="n">
        <x:v>45658.729166666664</x:v>
      </x:c>
      <x:c r="C166" s="36" t="n">
        <x:v>45658.71875</x:v>
      </x:c>
      <x:c r="D166" s="2" t="str">
        <x:v>0</x:v>
      </x:c>
      <x:c r="E166" s="18" t="n">
        <x:v>0.21901500000000002</x:v>
      </x:c>
      <x:c r="F166" s="18" t="n">
        <x:f>IF(D166="d",'两日价格与决策'!K76-'两日价格与决策'!N76,IF(D166="u",'两日价格与决策'!K76+'两日价格与决策'!M76,'两日价格与决策'!K76))</x:f>
        <x:v>0</x:v>
      </x:c>
      <x:c r="G166" s="18" t="n">
        <x:f>MAX(-F166,0)</x:f>
        <x:v>0</x:v>
      </x:c>
      <x:c r="H166" s="18" t="n">
        <x:f>MAX(F166,0)</x:f>
        <x:v>0</x:v>
      </x:c>
      <x:c r="I166" s="18" t="n">
        <x:f>J165</x:f>
        <x:v>10</x:v>
      </x:c>
      <x:c r="J166" s="18" t="n">
        <x:f>I166+E166*(G166*'原始输入与口径'!$D$5-H166/'原始输入与口径'!$D$5)</x:f>
        <x:v>10</x:v>
      </x:c>
      <x:c r="K166" s="18" t="n">
        <x:v>10</x:v>
      </x:c>
      <x:c r="L166" s="18" t="n">
        <x:v>10</x:v>
      </x:c>
      <x:c r="M166" s="18" t="n">
        <x:f>J166-L166</x:f>
        <x:v>0</x:v>
      </x:c>
      <x:c r="N166" s="18" t="n">
        <x:f>E166*(G166*'原始输入与口径'!$D$5+H166/'原始输入与口径'!$D$5)/'原始输入与口径'!$H$5</x:f>
        <x:v>0</x:v>
      </x:c>
      <x:c r="O166" s="18" t="n">
        <x:v>0</x:v>
      </x:c>
      <x:c r="P166" s="18" t="n">
        <x:f>N166-O166</x:f>
        <x:v>0</x:v>
      </x:c>
      <x:c r="Q166" s="18" t="n">
        <x:f>E166*G166</x:f>
        <x:v>0</x:v>
      </x:c>
      <x:c r="R166" s="18" t="n">
        <x:f>E166*H166</x:f>
        <x:v>0</x:v>
      </x:c>
      <x:c r="S166" s="2" t="n">
        <x:v>70</x:v>
      </x:c>
    </x:row>
    <x:row r="167" ht="21" customHeight="1">
      <x:c r="A167" s="36" t="n">
        <x:v>45658.729166666664</x:v>
      </x:c>
      <x:c r="B167" s="36" t="n">
        <x:v>45658.729682708334</x:v>
      </x:c>
      <x:c r="C167" s="36" t="n">
        <x:v>45658.729166666664</x:v>
      </x:c>
      <x:c r="D167" s="2" t="str">
        <x:v>u</x:v>
      </x:c>
      <x:c r="E167" s="18" t="n">
        <x:v>0.012385</x:v>
      </x:c>
      <x:c r="F167" s="18" t="n">
        <x:f>IF(D167="d",'两日价格与决策'!K77-'两日价格与决策'!N77,IF(D167="u",'两日价格与决策'!K77+'两日价格与决策'!M77,'两日价格与决策'!K77))</x:f>
        <x:v>0</x:v>
      </x:c>
      <x:c r="G167" s="18" t="n">
        <x:f>MAX(-F167,0)</x:f>
        <x:v>0</x:v>
      </x:c>
      <x:c r="H167" s="18" t="n">
        <x:f>MAX(F167,0)</x:f>
        <x:v>0</x:v>
      </x:c>
      <x:c r="I167" s="18" t="n">
        <x:f>J166</x:f>
        <x:v>10</x:v>
      </x:c>
      <x:c r="J167" s="18" t="n">
        <x:f>I167+E167*(G167*'原始输入与口径'!$D$5-H167/'原始输入与口径'!$D$5)</x:f>
        <x:v>10</x:v>
      </x:c>
      <x:c r="K167" s="18" t="n">
        <x:v>10</x:v>
      </x:c>
      <x:c r="L167" s="18" t="n">
        <x:v>10</x:v>
      </x:c>
      <x:c r="M167" s="18" t="n">
        <x:f>J167-L167</x:f>
        <x:v>0</x:v>
      </x:c>
      <x:c r="N167" s="18" t="n">
        <x:f>E167*(G167*'原始输入与口径'!$D$5+H167/'原始输入与口径'!$D$5)/'原始输入与口径'!$H$5</x:f>
        <x:v>0</x:v>
      </x:c>
      <x:c r="O167" s="18" t="n">
        <x:v>0</x:v>
      </x:c>
      <x:c r="P167" s="18" t="n">
        <x:f>N167-O167</x:f>
        <x:v>0</x:v>
      </x:c>
      <x:c r="Q167" s="18" t="n">
        <x:f>E167*G167</x:f>
        <x:v>0</x:v>
      </x:c>
      <x:c r="R167" s="18" t="n">
        <x:f>E167*H167</x:f>
        <x:v>0</x:v>
      </x:c>
      <x:c r="S167" s="2" t="n">
        <x:v>71</x:v>
      </x:c>
    </x:row>
    <x:row r="168" ht="21" customHeight="1">
      <x:c r="A168" s="36" t="n">
        <x:v>45658.729682708334</x:v>
      </x:c>
      <x:c r="B168" s="36" t="n">
        <x:v>45658.73958333333</x:v>
      </x:c>
      <x:c r="C168" s="36" t="n">
        <x:v>45658.729166666664</x:v>
      </x:c>
      <x:c r="D168" s="2" t="str">
        <x:v>0</x:v>
      </x:c>
      <x:c r="E168" s="18" t="n">
        <x:v>0.237615</x:v>
      </x:c>
      <x:c r="F168" s="18" t="n">
        <x:f>IF(D168="d",'两日价格与决策'!K77-'两日价格与决策'!N77,IF(D168="u",'两日价格与决策'!K77+'两日价格与决策'!M77,'两日价格与决策'!K77))</x:f>
        <x:v>0</x:v>
      </x:c>
      <x:c r="G168" s="18" t="n">
        <x:f>MAX(-F168,0)</x:f>
        <x:v>0</x:v>
      </x:c>
      <x:c r="H168" s="18" t="n">
        <x:f>MAX(F168,0)</x:f>
        <x:v>0</x:v>
      </x:c>
      <x:c r="I168" s="18" t="n">
        <x:f>J167</x:f>
        <x:v>10</x:v>
      </x:c>
      <x:c r="J168" s="18" t="n">
        <x:f>I168+E168*(G168*'原始输入与口径'!$D$5-H168/'原始输入与口径'!$D$5)</x:f>
        <x:v>10</x:v>
      </x:c>
      <x:c r="K168" s="18" t="n">
        <x:v>10</x:v>
      </x:c>
      <x:c r="L168" s="18" t="n">
        <x:v>10</x:v>
      </x:c>
      <x:c r="M168" s="18" t="n">
        <x:f>J168-L168</x:f>
        <x:v>0</x:v>
      </x:c>
      <x:c r="N168" s="18" t="n">
        <x:f>E168*(G168*'原始输入与口径'!$D$5+H168/'原始输入与口径'!$D$5)/'原始输入与口径'!$H$5</x:f>
        <x:v>0</x:v>
      </x:c>
      <x:c r="O168" s="18" t="n">
        <x:v>0</x:v>
      </x:c>
      <x:c r="P168" s="18" t="n">
        <x:f>N168-O168</x:f>
        <x:v>0</x:v>
      </x:c>
      <x:c r="Q168" s="18" t="n">
        <x:f>E168*G168</x:f>
        <x:v>0</x:v>
      </x:c>
      <x:c r="R168" s="18" t="n">
        <x:f>E168*H168</x:f>
        <x:v>0</x:v>
      </x:c>
      <x:c r="S168" s="2" t="n">
        <x:v>71</x:v>
      </x:c>
    </x:row>
    <x:row r="169" ht="21" customHeight="1">
      <x:c r="A169" s="36" t="n">
        <x:v>45658.739583333336</x:v>
      </x:c>
      <x:c r="B169" s="36" t="n">
        <x:v>45658.73960583333</x:v>
      </x:c>
      <x:c r="C169" s="36" t="n">
        <x:v>45658.739583333336</x:v>
      </x:c>
      <x:c r="D169" s="2" t="str">
        <x:v>d</x:v>
      </x:c>
      <x:c r="E169" s="18" t="n">
        <x:v>0.00054</x:v>
      </x:c>
      <x:c r="F169" s="18" t="n">
        <x:f>IF(D169="d",'两日价格与决策'!K78-'两日价格与决策'!N78,IF(D169="u",'两日价格与决策'!K78+'两日价格与决策'!M78,'两日价格与决策'!K78))</x:f>
        <x:v>0</x:v>
      </x:c>
      <x:c r="G169" s="18" t="n">
        <x:f>MAX(-F169,0)</x:f>
        <x:v>0</x:v>
      </x:c>
      <x:c r="H169" s="18" t="n">
        <x:f>MAX(F169,0)</x:f>
        <x:v>0</x:v>
      </x:c>
      <x:c r="I169" s="18" t="n">
        <x:f>J168</x:f>
        <x:v>10</x:v>
      </x:c>
      <x:c r="J169" s="18" t="n">
        <x:f>I169+E169*(G169*'原始输入与口径'!$D$5-H169/'原始输入与口径'!$D$5)</x:f>
        <x:v>10</x:v>
      </x:c>
      <x:c r="K169" s="18" t="n">
        <x:v>10</x:v>
      </x:c>
      <x:c r="L169" s="18" t="n">
        <x:v>10</x:v>
      </x:c>
      <x:c r="M169" s="18" t="n">
        <x:f>J169-L169</x:f>
        <x:v>0</x:v>
      </x:c>
      <x:c r="N169" s="18" t="n">
        <x:f>E169*(G169*'原始输入与口径'!$D$5+H169/'原始输入与口径'!$D$5)/'原始输入与口径'!$H$5</x:f>
        <x:v>0</x:v>
      </x:c>
      <x:c r="O169" s="18" t="n">
        <x:v>0</x:v>
      </x:c>
      <x:c r="P169" s="18" t="n">
        <x:f>N169-O169</x:f>
        <x:v>0</x:v>
      </x:c>
      <x:c r="Q169" s="18" t="n">
        <x:f>E169*G169</x:f>
        <x:v>0</x:v>
      </x:c>
      <x:c r="R169" s="18" t="n">
        <x:f>E169*H169</x:f>
        <x:v>0</x:v>
      </x:c>
      <x:c r="S169" s="2" t="n">
        <x:v>72</x:v>
      </x:c>
    </x:row>
    <x:row r="170" ht="21" customHeight="1">
      <x:c r="A170" s="36" t="n">
        <x:v>45658.73960583333</x:v>
      </x:c>
      <x:c r="B170" s="36" t="n">
        <x:v>45658.73964</x:v>
      </x:c>
      <x:c r="C170" s="36" t="n">
        <x:v>45658.739583333336</x:v>
      </x:c>
      <x:c r="D170" s="2" t="str">
        <x:v>u</x:v>
      </x:c>
      <x:c r="E170" s="18" t="n">
        <x:v>0.00082</x:v>
      </x:c>
      <x:c r="F170" s="18" t="n">
        <x:f>IF(D170="d",'两日价格与决策'!K78-'两日价格与决策'!N78,IF(D170="u",'两日价格与决策'!K78+'两日价格与决策'!M78,'两日价格与决策'!K78))</x:f>
        <x:v>0</x:v>
      </x:c>
      <x:c r="G170" s="18" t="n">
        <x:f>MAX(-F170,0)</x:f>
        <x:v>0</x:v>
      </x:c>
      <x:c r="H170" s="18" t="n">
        <x:f>MAX(F170,0)</x:f>
        <x:v>0</x:v>
      </x:c>
      <x:c r="I170" s="18" t="n">
        <x:f>J169</x:f>
        <x:v>10</x:v>
      </x:c>
      <x:c r="J170" s="18" t="n">
        <x:f>I170+E170*(G170*'原始输入与口径'!$D$5-H170/'原始输入与口径'!$D$5)</x:f>
        <x:v>10</x:v>
      </x:c>
      <x:c r="K170" s="18" t="n">
        <x:v>10</x:v>
      </x:c>
      <x:c r="L170" s="18" t="n">
        <x:v>10</x:v>
      </x:c>
      <x:c r="M170" s="18" t="n">
        <x:f>J170-L170</x:f>
        <x:v>0</x:v>
      </x:c>
      <x:c r="N170" s="18" t="n">
        <x:f>E170*(G170*'原始输入与口径'!$D$5+H170/'原始输入与口径'!$D$5)/'原始输入与口径'!$H$5</x:f>
        <x:v>0</x:v>
      </x:c>
      <x:c r="O170" s="18" t="n">
        <x:v>0</x:v>
      </x:c>
      <x:c r="P170" s="18" t="n">
        <x:f>N170-O170</x:f>
        <x:v>0</x:v>
      </x:c>
      <x:c r="Q170" s="18" t="n">
        <x:f>E170*G170</x:f>
        <x:v>0</x:v>
      </x:c>
      <x:c r="R170" s="18" t="n">
        <x:f>E170*H170</x:f>
        <x:v>0</x:v>
      </x:c>
      <x:c r="S170" s="2" t="n">
        <x:v>72</x:v>
      </x:c>
    </x:row>
    <x:row r="171" ht="21" customHeight="1">
      <x:c r="A171" s="36" t="n">
        <x:v>45658.73964</x:v>
      </x:c>
      <x:c r="B171" s="36" t="n">
        <x:v>45658.75</x:v>
      </x:c>
      <x:c r="C171" s="36" t="n">
        <x:v>45658.739583333336</x:v>
      </x:c>
      <x:c r="D171" s="2" t="str">
        <x:v>0</x:v>
      </x:c>
      <x:c r="E171" s="18" t="n">
        <x:v>0.24864</x:v>
      </x:c>
      <x:c r="F171" s="18" t="n">
        <x:f>IF(D171="d",'两日价格与决策'!K78-'两日价格与决策'!N78,IF(D171="u",'两日价格与决策'!K78+'两日价格与决策'!M78,'两日价格与决策'!K78))</x:f>
        <x:v>0</x:v>
      </x:c>
      <x:c r="G171" s="18" t="n">
        <x:f>MAX(-F171,0)</x:f>
        <x:v>0</x:v>
      </x:c>
      <x:c r="H171" s="18" t="n">
        <x:f>MAX(F171,0)</x:f>
        <x:v>0</x:v>
      </x:c>
      <x:c r="I171" s="18" t="n">
        <x:f>J170</x:f>
        <x:v>10</x:v>
      </x:c>
      <x:c r="J171" s="18" t="n">
        <x:f>I171+E171*(G171*'原始输入与口径'!$D$5-H171/'原始输入与口径'!$D$5)</x:f>
        <x:v>10</x:v>
      </x:c>
      <x:c r="K171" s="18" t="n">
        <x:v>10</x:v>
      </x:c>
      <x:c r="L171" s="18" t="n">
        <x:v>10</x:v>
      </x:c>
      <x:c r="M171" s="18" t="n">
        <x:f>J171-L171</x:f>
        <x:v>0</x:v>
      </x:c>
      <x:c r="N171" s="18" t="n">
        <x:f>E171*(G171*'原始输入与口径'!$D$5+H171/'原始输入与口径'!$D$5)/'原始输入与口径'!$H$5</x:f>
        <x:v>0</x:v>
      </x:c>
      <x:c r="O171" s="18" t="n">
        <x:v>0</x:v>
      </x:c>
      <x:c r="P171" s="18" t="n">
        <x:f>N171-O171</x:f>
        <x:v>0</x:v>
      </x:c>
      <x:c r="Q171" s="18" t="n">
        <x:f>E171*G171</x:f>
        <x:v>0</x:v>
      </x:c>
      <x:c r="R171" s="18" t="n">
        <x:f>E171*H171</x:f>
        <x:v>0</x:v>
      </x:c>
      <x:c r="S171" s="2" t="n">
        <x:v>72</x:v>
      </x:c>
    </x:row>
    <x:row r="172" ht="21" customHeight="1">
      <x:c r="A172" s="36" t="n">
        <x:v>45658.75</x:v>
      </x:c>
      <x:c r="B172" s="36" t="n">
        <x:v>45658.751624791665</x:v>
      </x:c>
      <x:c r="C172" s="36" t="n">
        <x:v>45658.75</x:v>
      </x:c>
      <x:c r="D172" s="2" t="str">
        <x:v>d</x:v>
      </x:c>
      <x:c r="E172" s="18" t="n">
        <x:v>0.038995</x:v>
      </x:c>
      <x:c r="F172" s="18" t="n">
        <x:f>IF(D172="d",'两日价格与决策'!K79-'两日价格与决策'!N79,IF(D172="u",'两日价格与决策'!K79+'两日价格与决策'!M79,'两日价格与决策'!K79))</x:f>
        <x:v>0</x:v>
      </x:c>
      <x:c r="G172" s="18" t="n">
        <x:f>MAX(-F172,0)</x:f>
        <x:v>0</x:v>
      </x:c>
      <x:c r="H172" s="18" t="n">
        <x:f>MAX(F172,0)</x:f>
        <x:v>0</x:v>
      </x:c>
      <x:c r="I172" s="18" t="n">
        <x:f>J171</x:f>
        <x:v>10</x:v>
      </x:c>
      <x:c r="J172" s="18" t="n">
        <x:f>I172+E172*(G172*'原始输入与口径'!$D$5-H172/'原始输入与口径'!$D$5)</x:f>
        <x:v>10</x:v>
      </x:c>
      <x:c r="K172" s="18" t="n">
        <x:v>10</x:v>
      </x:c>
      <x:c r="L172" s="18" t="n">
        <x:v>10</x:v>
      </x:c>
      <x:c r="M172" s="18" t="n">
        <x:f>J172-L172</x:f>
        <x:v>0</x:v>
      </x:c>
      <x:c r="N172" s="18" t="n">
        <x:f>E172*(G172*'原始输入与口径'!$D$5+H172/'原始输入与口径'!$D$5)/'原始输入与口径'!$H$5</x:f>
        <x:v>0</x:v>
      </x:c>
      <x:c r="O172" s="18" t="n">
        <x:v>0</x:v>
      </x:c>
      <x:c r="P172" s="18" t="n">
        <x:f>N172-O172</x:f>
        <x:v>0</x:v>
      </x:c>
      <x:c r="Q172" s="18" t="n">
        <x:f>E172*G172</x:f>
        <x:v>0</x:v>
      </x:c>
      <x:c r="R172" s="18" t="n">
        <x:f>E172*H172</x:f>
        <x:v>0</x:v>
      </x:c>
      <x:c r="S172" s="2" t="n">
        <x:v>73</x:v>
      </x:c>
    </x:row>
    <x:row r="173" ht="21" customHeight="1">
      <x:c r="A173" s="36" t="n">
        <x:v>45658.751624791665</x:v>
      </x:c>
      <x:c r="B173" s="36" t="n">
        <x:v>45658.751641041665</x:v>
      </x:c>
      <x:c r="C173" s="36" t="n">
        <x:v>45658.75</x:v>
      </x:c>
      <x:c r="D173" s="2" t="str">
        <x:v>u</x:v>
      </x:c>
      <x:c r="E173" s="18" t="n">
        <x:v>0.00039</x:v>
      </x:c>
      <x:c r="F173" s="18" t="n">
        <x:f>IF(D173="d",'两日价格与决策'!K79-'两日价格与决策'!N79,IF(D173="u",'两日价格与决策'!K79+'两日价格与决策'!M79,'两日价格与决策'!K79))</x:f>
        <x:v>0</x:v>
      </x:c>
      <x:c r="G173" s="18" t="n">
        <x:f>MAX(-F173,0)</x:f>
        <x:v>0</x:v>
      </x:c>
      <x:c r="H173" s="18" t="n">
        <x:f>MAX(F173,0)</x:f>
        <x:v>0</x:v>
      </x:c>
      <x:c r="I173" s="18" t="n">
        <x:f>J172</x:f>
        <x:v>10</x:v>
      </x:c>
      <x:c r="J173" s="18" t="n">
        <x:f>I173+E173*(G173*'原始输入与口径'!$D$5-H173/'原始输入与口径'!$D$5)</x:f>
        <x:v>10</x:v>
      </x:c>
      <x:c r="K173" s="18" t="n">
        <x:v>10</x:v>
      </x:c>
      <x:c r="L173" s="18" t="n">
        <x:v>10</x:v>
      </x:c>
      <x:c r="M173" s="18" t="n">
        <x:f>J173-L173</x:f>
        <x:v>0</x:v>
      </x:c>
      <x:c r="N173" s="18" t="n">
        <x:f>E173*(G173*'原始输入与口径'!$D$5+H173/'原始输入与口径'!$D$5)/'原始输入与口径'!$H$5</x:f>
        <x:v>0</x:v>
      </x:c>
      <x:c r="O173" s="18" t="n">
        <x:v>0</x:v>
      </x:c>
      <x:c r="P173" s="18" t="n">
        <x:f>N173-O173</x:f>
        <x:v>0</x:v>
      </x:c>
      <x:c r="Q173" s="18" t="n">
        <x:f>E173*G173</x:f>
        <x:v>0</x:v>
      </x:c>
      <x:c r="R173" s="18" t="n">
        <x:f>E173*H173</x:f>
        <x:v>0</x:v>
      </x:c>
      <x:c r="S173" s="2" t="n">
        <x:v>73</x:v>
      </x:c>
    </x:row>
    <x:row r="174" ht="21" customHeight="1">
      <x:c r="A174" s="36" t="n">
        <x:v>45658.751641041665</x:v>
      </x:c>
      <x:c r="B174" s="36" t="n">
        <x:v>45658.760416666664</x:v>
      </x:c>
      <x:c r="C174" s="36" t="n">
        <x:v>45658.75</x:v>
      </x:c>
      <x:c r="D174" s="2" t="str">
        <x:v>0</x:v>
      </x:c>
      <x:c r="E174" s="18" t="n">
        <x:v>0.210615</x:v>
      </x:c>
      <x:c r="F174" s="18" t="n">
        <x:f>IF(D174="d",'两日价格与决策'!K79-'两日价格与决策'!N79,IF(D174="u",'两日价格与决策'!K79+'两日价格与决策'!M79,'两日价格与决策'!K79))</x:f>
        <x:v>0</x:v>
      </x:c>
      <x:c r="G174" s="18" t="n">
        <x:f>MAX(-F174,0)</x:f>
        <x:v>0</x:v>
      </x:c>
      <x:c r="H174" s="18" t="n">
        <x:f>MAX(F174,0)</x:f>
        <x:v>0</x:v>
      </x:c>
      <x:c r="I174" s="18" t="n">
        <x:f>J173</x:f>
        <x:v>10</x:v>
      </x:c>
      <x:c r="J174" s="18" t="n">
        <x:f>I174+E174*(G174*'原始输入与口径'!$D$5-H174/'原始输入与口径'!$D$5)</x:f>
        <x:v>10</x:v>
      </x:c>
      <x:c r="K174" s="18" t="n">
        <x:v>10</x:v>
      </x:c>
      <x:c r="L174" s="18" t="n">
        <x:v>10</x:v>
      </x:c>
      <x:c r="M174" s="18" t="n">
        <x:f>J174-L174</x:f>
        <x:v>0</x:v>
      </x:c>
      <x:c r="N174" s="18" t="n">
        <x:f>E174*(G174*'原始输入与口径'!$D$5+H174/'原始输入与口径'!$D$5)/'原始输入与口径'!$H$5</x:f>
        <x:v>0</x:v>
      </x:c>
      <x:c r="O174" s="18" t="n">
        <x:v>0</x:v>
      </x:c>
      <x:c r="P174" s="18" t="n">
        <x:f>N174-O174</x:f>
        <x:v>0</x:v>
      </x:c>
      <x:c r="Q174" s="18" t="n">
        <x:f>E174*G174</x:f>
        <x:v>0</x:v>
      </x:c>
      <x:c r="R174" s="18" t="n">
        <x:f>E174*H174</x:f>
        <x:v>0</x:v>
      </x:c>
      <x:c r="S174" s="2" t="n">
        <x:v>73</x:v>
      </x:c>
    </x:row>
    <x:row r="175" ht="21" customHeight="1">
      <x:c r="A175" s="36" t="n">
        <x:v>45658.760416666664</x:v>
      </x:c>
      <x:c r="B175" s="36" t="n">
        <x:v>45658.76062666666</x:v>
      </x:c>
      <x:c r="C175" s="36" t="n">
        <x:v>45658.760416666664</x:v>
      </x:c>
      <x:c r="D175" s="2" t="str">
        <x:v>d</x:v>
      </x:c>
      <x:c r="E175" s="18" t="n">
        <x:v>0.00504</x:v>
      </x:c>
      <x:c r="F175" s="18" t="n">
        <x:f>IF(D175="d",'两日价格与决策'!K80-'两日价格与决策'!N80,IF(D175="u",'两日价格与决策'!K80+'两日价格与决策'!M80,'两日价格与决策'!K80))</x:f>
        <x:v>0</x:v>
      </x:c>
      <x:c r="G175" s="18" t="n">
        <x:f>MAX(-F175,0)</x:f>
        <x:v>0</x:v>
      </x:c>
      <x:c r="H175" s="18" t="n">
        <x:f>MAX(F175,0)</x:f>
        <x:v>0</x:v>
      </x:c>
      <x:c r="I175" s="18" t="n">
        <x:f>J174</x:f>
        <x:v>10</x:v>
      </x:c>
      <x:c r="J175" s="18" t="n">
        <x:f>I175+E175*(G175*'原始输入与口径'!$D$5-H175/'原始输入与口径'!$D$5)</x:f>
        <x:v>10</x:v>
      </x:c>
      <x:c r="K175" s="18" t="n">
        <x:v>10</x:v>
      </x:c>
      <x:c r="L175" s="18" t="n">
        <x:v>10</x:v>
      </x:c>
      <x:c r="M175" s="18" t="n">
        <x:f>J175-L175</x:f>
        <x:v>0</x:v>
      </x:c>
      <x:c r="N175" s="18" t="n">
        <x:f>E175*(G175*'原始输入与口径'!$D$5+H175/'原始输入与口径'!$D$5)/'原始输入与口径'!$H$5</x:f>
        <x:v>0</x:v>
      </x:c>
      <x:c r="O175" s="18" t="n">
        <x:v>0</x:v>
      </x:c>
      <x:c r="P175" s="18" t="n">
        <x:f>N175-O175</x:f>
        <x:v>0</x:v>
      </x:c>
      <x:c r="Q175" s="18" t="n">
        <x:f>E175*G175</x:f>
        <x:v>0</x:v>
      </x:c>
      <x:c r="R175" s="18" t="n">
        <x:f>E175*H175</x:f>
        <x:v>0</x:v>
      </x:c>
      <x:c r="S175" s="2" t="n">
        <x:v>74</x:v>
      </x:c>
    </x:row>
    <x:row r="176" ht="21" customHeight="1">
      <x:c r="A176" s="36" t="n">
        <x:v>45658.76062666666</x:v>
      </x:c>
      <x:c r="B176" s="36" t="n">
        <x:v>45658.76085833333</x:v>
      </x:c>
      <x:c r="C176" s="36" t="n">
        <x:v>45658.760416666664</x:v>
      </x:c>
      <x:c r="D176" s="2" t="str">
        <x:v>u</x:v>
      </x:c>
      <x:c r="E176" s="18" t="n">
        <x:v>0.005560000000000001</x:v>
      </x:c>
      <x:c r="F176" s="18" t="n">
        <x:f>IF(D176="d",'两日价格与决策'!K80-'两日价格与决策'!N80,IF(D176="u",'两日价格与决策'!K80+'两日价格与决策'!M80,'两日价格与决策'!K80))</x:f>
        <x:v>0</x:v>
      </x:c>
      <x:c r="G176" s="18" t="n">
        <x:f>MAX(-F176,0)</x:f>
        <x:v>0</x:v>
      </x:c>
      <x:c r="H176" s="18" t="n">
        <x:f>MAX(F176,0)</x:f>
        <x:v>0</x:v>
      </x:c>
      <x:c r="I176" s="18" t="n">
        <x:f>J175</x:f>
        <x:v>10</x:v>
      </x:c>
      <x:c r="J176" s="18" t="n">
        <x:f>I176+E176*(G176*'原始输入与口径'!$D$5-H176/'原始输入与口径'!$D$5)</x:f>
        <x:v>10</x:v>
      </x:c>
      <x:c r="K176" s="18" t="n">
        <x:v>10</x:v>
      </x:c>
      <x:c r="L176" s="18" t="n">
        <x:v>10</x:v>
      </x:c>
      <x:c r="M176" s="18" t="n">
        <x:f>J176-L176</x:f>
        <x:v>0</x:v>
      </x:c>
      <x:c r="N176" s="18" t="n">
        <x:f>E176*(G176*'原始输入与口径'!$D$5+H176/'原始输入与口径'!$D$5)/'原始输入与口径'!$H$5</x:f>
        <x:v>0</x:v>
      </x:c>
      <x:c r="O176" s="18" t="n">
        <x:v>0</x:v>
      </x:c>
      <x:c r="P176" s="18" t="n">
        <x:f>N176-O176</x:f>
        <x:v>0</x:v>
      </x:c>
      <x:c r="Q176" s="18" t="n">
        <x:f>E176*G176</x:f>
        <x:v>0</x:v>
      </x:c>
      <x:c r="R176" s="18" t="n">
        <x:f>E176*H176</x:f>
        <x:v>0</x:v>
      </x:c>
      <x:c r="S176" s="2" t="n">
        <x:v>74</x:v>
      </x:c>
    </x:row>
    <x:row r="177" ht="21" customHeight="1">
      <x:c r="A177" s="36" t="n">
        <x:v>45658.76085833333</x:v>
      </x:c>
      <x:c r="B177" s="36" t="n">
        <x:v>45658.77083333333</x:v>
      </x:c>
      <x:c r="C177" s="36" t="n">
        <x:v>45658.760416666664</x:v>
      </x:c>
      <x:c r="D177" s="2" t="str">
        <x:v>0</x:v>
      </x:c>
      <x:c r="E177" s="18" t="n">
        <x:v>0.2394</x:v>
      </x:c>
      <x:c r="F177" s="18" t="n">
        <x:f>IF(D177="d",'两日价格与决策'!K80-'两日价格与决策'!N80,IF(D177="u",'两日价格与决策'!K80+'两日价格与决策'!M80,'两日价格与决策'!K80))</x:f>
        <x:v>0</x:v>
      </x:c>
      <x:c r="G177" s="18" t="n">
        <x:f>MAX(-F177,0)</x:f>
        <x:v>0</x:v>
      </x:c>
      <x:c r="H177" s="18" t="n">
        <x:f>MAX(F177,0)</x:f>
        <x:v>0</x:v>
      </x:c>
      <x:c r="I177" s="18" t="n">
        <x:f>J176</x:f>
        <x:v>10</x:v>
      </x:c>
      <x:c r="J177" s="18" t="n">
        <x:f>I177+E177*(G177*'原始输入与口径'!$D$5-H177/'原始输入与口径'!$D$5)</x:f>
        <x:v>10</x:v>
      </x:c>
      <x:c r="K177" s="18" t="n">
        <x:v>10</x:v>
      </x:c>
      <x:c r="L177" s="18" t="n">
        <x:v>10</x:v>
      </x:c>
      <x:c r="M177" s="18" t="n">
        <x:f>J177-L177</x:f>
        <x:v>0</x:v>
      </x:c>
      <x:c r="N177" s="18" t="n">
        <x:f>E177*(G177*'原始输入与口径'!$D$5+H177/'原始输入与口径'!$D$5)/'原始输入与口径'!$H$5</x:f>
        <x:v>0</x:v>
      </x:c>
      <x:c r="O177" s="18" t="n">
        <x:v>0</x:v>
      </x:c>
      <x:c r="P177" s="18" t="n">
        <x:f>N177-O177</x:f>
        <x:v>0</x:v>
      </x:c>
      <x:c r="Q177" s="18" t="n">
        <x:f>E177*G177</x:f>
        <x:v>0</x:v>
      </x:c>
      <x:c r="R177" s="18" t="n">
        <x:f>E177*H177</x:f>
        <x:v>0</x:v>
      </x:c>
      <x:c r="S177" s="2" t="n">
        <x:v>74</x:v>
      </x:c>
    </x:row>
    <x:row r="178" ht="21" customHeight="1">
      <x:c r="A178" s="36" t="n">
        <x:v>45658.770833333336</x:v>
      </x:c>
      <x:c r="B178" s="36" t="n">
        <x:v>45658.77273916667</x:v>
      </x:c>
      <x:c r="C178" s="36" t="n">
        <x:v>45658.770833333336</x:v>
      </x:c>
      <x:c r="D178" s="2" t="str">
        <x:v>u</x:v>
      </x:c>
      <x:c r="E178" s="18" t="n">
        <x:v>0.045739999999999996</x:v>
      </x:c>
      <x:c r="F178" s="18" t="n">
        <x:f>IF(D178="d",'两日价格与决策'!K81-'两日价格与决策'!N81,IF(D178="u",'两日价格与决策'!K81+'两日价格与决策'!M81,'两日价格与决策'!K81))</x:f>
        <x:v>0</x:v>
      </x:c>
      <x:c r="G178" s="18" t="n">
        <x:f>MAX(-F178,0)</x:f>
        <x:v>0</x:v>
      </x:c>
      <x:c r="H178" s="18" t="n">
        <x:f>MAX(F178,0)</x:f>
        <x:v>0</x:v>
      </x:c>
      <x:c r="I178" s="18" t="n">
        <x:f>J177</x:f>
        <x:v>10</x:v>
      </x:c>
      <x:c r="J178" s="18" t="n">
        <x:f>I178+E178*(G178*'原始输入与口径'!$D$5-H178/'原始输入与口径'!$D$5)</x:f>
        <x:v>10</x:v>
      </x:c>
      <x:c r="K178" s="18" t="n">
        <x:v>10</x:v>
      </x:c>
      <x:c r="L178" s="18" t="n">
        <x:v>10</x:v>
      </x:c>
      <x:c r="M178" s="18" t="n">
        <x:f>J178-L178</x:f>
        <x:v>0</x:v>
      </x:c>
      <x:c r="N178" s="18" t="n">
        <x:f>E178*(G178*'原始输入与口径'!$D$5+H178/'原始输入与口径'!$D$5)/'原始输入与口径'!$H$5</x:f>
        <x:v>0</x:v>
      </x:c>
      <x:c r="O178" s="18" t="n">
        <x:v>0</x:v>
      </x:c>
      <x:c r="P178" s="18" t="n">
        <x:f>N178-O178</x:f>
        <x:v>0</x:v>
      </x:c>
      <x:c r="Q178" s="18" t="n">
        <x:f>E178*G178</x:f>
        <x:v>0</x:v>
      </x:c>
      <x:c r="R178" s="18" t="n">
        <x:f>E178*H178</x:f>
        <x:v>0</x:v>
      </x:c>
      <x:c r="S178" s="2" t="n">
        <x:v>75</x:v>
      </x:c>
    </x:row>
    <x:row r="179" ht="21" customHeight="1">
      <x:c r="A179" s="36" t="n">
        <x:v>45658.77273916667</x:v>
      </x:c>
      <x:c r="B179" s="36" t="n">
        <x:v>45658.78125</x:v>
      </x:c>
      <x:c r="C179" s="36" t="n">
        <x:v>45658.770833333336</x:v>
      </x:c>
      <x:c r="D179" s="2" t="str">
        <x:v>0</x:v>
      </x:c>
      <x:c r="E179" s="18" t="n">
        <x:v>0.20426</x:v>
      </x:c>
      <x:c r="F179" s="18" t="n">
        <x:f>IF(D179="d",'两日价格与决策'!K81-'两日价格与决策'!N81,IF(D179="u",'两日价格与决策'!K81+'两日价格与决策'!M81,'两日价格与决策'!K81))</x:f>
        <x:v>0</x:v>
      </x:c>
      <x:c r="G179" s="18" t="n">
        <x:f>MAX(-F179,0)</x:f>
        <x:v>0</x:v>
      </x:c>
      <x:c r="H179" s="18" t="n">
        <x:f>MAX(F179,0)</x:f>
        <x:v>0</x:v>
      </x:c>
      <x:c r="I179" s="18" t="n">
        <x:f>J178</x:f>
        <x:v>10</x:v>
      </x:c>
      <x:c r="J179" s="18" t="n">
        <x:f>I179+E179*(G179*'原始输入与口径'!$D$5-H179/'原始输入与口径'!$D$5)</x:f>
        <x:v>10</x:v>
      </x:c>
      <x:c r="K179" s="18" t="n">
        <x:v>10</x:v>
      </x:c>
      <x:c r="L179" s="18" t="n">
        <x:v>10</x:v>
      </x:c>
      <x:c r="M179" s="18" t="n">
        <x:f>J179-L179</x:f>
        <x:v>0</x:v>
      </x:c>
      <x:c r="N179" s="18" t="n">
        <x:f>E179*(G179*'原始输入与口径'!$D$5+H179/'原始输入与口径'!$D$5)/'原始输入与口径'!$H$5</x:f>
        <x:v>0</x:v>
      </x:c>
      <x:c r="O179" s="18" t="n">
        <x:v>0</x:v>
      </x:c>
      <x:c r="P179" s="18" t="n">
        <x:f>N179-O179</x:f>
        <x:v>0</x:v>
      </x:c>
      <x:c r="Q179" s="18" t="n">
        <x:f>E179*G179</x:f>
        <x:v>0</x:v>
      </x:c>
      <x:c r="R179" s="18" t="n">
        <x:f>E179*H179</x:f>
        <x:v>0</x:v>
      </x:c>
      <x:c r="S179" s="2" t="n">
        <x:v>75</x:v>
      </x:c>
    </x:row>
    <x:row r="180" ht="21" customHeight="1">
      <x:c r="A180" s="36" t="n">
        <x:v>45658.78125</x:v>
      </x:c>
      <x:c r="B180" s="36" t="n">
        <x:v>45658.78125375</x:v>
      </x:c>
      <x:c r="C180" s="36" t="n">
        <x:v>45658.78125</x:v>
      </x:c>
      <x:c r="D180" s="2" t="str">
        <x:v>d</x:v>
      </x:c>
      <x:c r="E180" s="18" t="n">
        <x:v>0.00008999999999999999</x:v>
      </x:c>
      <x:c r="F180" s="18" t="n">
        <x:f>IF(D180="d",'两日价格与决策'!K82-'两日价格与决策'!N82,IF(D180="u",'两日价格与决策'!K82+'两日价格与决策'!M82,'两日价格与决策'!K82))</x:f>
        <x:v>0</x:v>
      </x:c>
      <x:c r="G180" s="18" t="n">
        <x:f>MAX(-F180,0)</x:f>
        <x:v>0</x:v>
      </x:c>
      <x:c r="H180" s="18" t="n">
        <x:f>MAX(F180,0)</x:f>
        <x:v>0</x:v>
      </x:c>
      <x:c r="I180" s="18" t="n">
        <x:f>J179</x:f>
        <x:v>10</x:v>
      </x:c>
      <x:c r="J180" s="18" t="n">
        <x:f>I180+E180*(G180*'原始输入与口径'!$D$5-H180/'原始输入与口径'!$D$5)</x:f>
        <x:v>10</x:v>
      </x:c>
      <x:c r="K180" s="18" t="n">
        <x:v>10</x:v>
      </x:c>
      <x:c r="L180" s="18" t="n">
        <x:v>10</x:v>
      </x:c>
      <x:c r="M180" s="18" t="n">
        <x:f>J180-L180</x:f>
        <x:v>0</x:v>
      </x:c>
      <x:c r="N180" s="18" t="n">
        <x:f>E180*(G180*'原始输入与口径'!$D$5+H180/'原始输入与口径'!$D$5)/'原始输入与口径'!$H$5</x:f>
        <x:v>0</x:v>
      </x:c>
      <x:c r="O180" s="18" t="n">
        <x:v>0</x:v>
      </x:c>
      <x:c r="P180" s="18" t="n">
        <x:f>N180-O180</x:f>
        <x:v>0</x:v>
      </x:c>
      <x:c r="Q180" s="18" t="n">
        <x:f>E180*G180</x:f>
        <x:v>0</x:v>
      </x:c>
      <x:c r="R180" s="18" t="n">
        <x:f>E180*H180</x:f>
        <x:v>0</x:v>
      </x:c>
      <x:c r="S180" s="2" t="n">
        <x:v>76</x:v>
      </x:c>
    </x:row>
    <x:row r="181" ht="21" customHeight="1">
      <x:c r="A181" s="36" t="n">
        <x:v>45658.78125375</x:v>
      </x:c>
      <x:c r="B181" s="36" t="n">
        <x:v>45658.781801666664</x:v>
      </x:c>
      <x:c r="C181" s="36" t="n">
        <x:v>45658.78125</x:v>
      </x:c>
      <x:c r="D181" s="2" t="str">
        <x:v>u</x:v>
      </x:c>
      <x:c r="E181" s="18" t="n">
        <x:v>0.01315</x:v>
      </x:c>
      <x:c r="F181" s="18" t="n">
        <x:f>IF(D181="d",'两日价格与决策'!K82-'两日价格与决策'!N82,IF(D181="u",'两日价格与决策'!K82+'两日价格与决策'!M82,'两日价格与决策'!K82))</x:f>
        <x:v>0</x:v>
      </x:c>
      <x:c r="G181" s="18" t="n">
        <x:f>MAX(-F181,0)</x:f>
        <x:v>0</x:v>
      </x:c>
      <x:c r="H181" s="18" t="n">
        <x:f>MAX(F181,0)</x:f>
        <x:v>0</x:v>
      </x:c>
      <x:c r="I181" s="18" t="n">
        <x:f>J180</x:f>
        <x:v>10</x:v>
      </x:c>
      <x:c r="J181" s="18" t="n">
        <x:f>I181+E181*(G181*'原始输入与口径'!$D$5-H181/'原始输入与口径'!$D$5)</x:f>
        <x:v>10</x:v>
      </x:c>
      <x:c r="K181" s="18" t="n">
        <x:v>10</x:v>
      </x:c>
      <x:c r="L181" s="18" t="n">
        <x:v>10</x:v>
      </x:c>
      <x:c r="M181" s="18" t="n">
        <x:f>J181-L181</x:f>
        <x:v>0</x:v>
      </x:c>
      <x:c r="N181" s="18" t="n">
        <x:f>E181*(G181*'原始输入与口径'!$D$5+H181/'原始输入与口径'!$D$5)/'原始输入与口径'!$H$5</x:f>
        <x:v>0</x:v>
      </x:c>
      <x:c r="O181" s="18" t="n">
        <x:v>0</x:v>
      </x:c>
      <x:c r="P181" s="18" t="n">
        <x:f>N181-O181</x:f>
        <x:v>0</x:v>
      </x:c>
      <x:c r="Q181" s="18" t="n">
        <x:f>E181*G181</x:f>
        <x:v>0</x:v>
      </x:c>
      <x:c r="R181" s="18" t="n">
        <x:f>E181*H181</x:f>
        <x:v>0</x:v>
      </x:c>
      <x:c r="S181" s="2" t="n">
        <x:v>76</x:v>
      </x:c>
    </x:row>
    <x:row r="182" ht="21" customHeight="1">
      <x:c r="A182" s="36" t="n">
        <x:v>45658.781801666664</x:v>
      </x:c>
      <x:c r="B182" s="36" t="n">
        <x:v>45658.791666666664</x:v>
      </x:c>
      <x:c r="C182" s="36" t="n">
        <x:v>45658.78125</x:v>
      </x:c>
      <x:c r="D182" s="2" t="str">
        <x:v>0</x:v>
      </x:c>
      <x:c r="E182" s="18" t="n">
        <x:v>0.23676</x:v>
      </x:c>
      <x:c r="F182" s="18" t="n">
        <x:f>IF(D182="d",'两日价格与决策'!K82-'两日价格与决策'!N82,IF(D182="u",'两日价格与决策'!K82+'两日价格与决策'!M82,'两日价格与决策'!K82))</x:f>
        <x:v>0</x:v>
      </x:c>
      <x:c r="G182" s="18" t="n">
        <x:f>MAX(-F182,0)</x:f>
        <x:v>0</x:v>
      </x:c>
      <x:c r="H182" s="18" t="n">
        <x:f>MAX(F182,0)</x:f>
        <x:v>0</x:v>
      </x:c>
      <x:c r="I182" s="18" t="n">
        <x:f>J181</x:f>
        <x:v>10</x:v>
      </x:c>
      <x:c r="J182" s="18" t="n">
        <x:f>I182+E182*(G182*'原始输入与口径'!$D$5-H182/'原始输入与口径'!$D$5)</x:f>
        <x:v>10</x:v>
      </x:c>
      <x:c r="K182" s="18" t="n">
        <x:v>10</x:v>
      </x:c>
      <x:c r="L182" s="18" t="n">
        <x:v>10</x:v>
      </x:c>
      <x:c r="M182" s="18" t="n">
        <x:f>J182-L182</x:f>
        <x:v>0</x:v>
      </x:c>
      <x:c r="N182" s="18" t="n">
        <x:f>E182*(G182*'原始输入与口径'!$D$5+H182/'原始输入与口径'!$D$5)/'原始输入与口径'!$H$5</x:f>
        <x:v>0</x:v>
      </x:c>
      <x:c r="O182" s="18" t="n">
        <x:v>0</x:v>
      </x:c>
      <x:c r="P182" s="18" t="n">
        <x:f>N182-O182</x:f>
        <x:v>0</x:v>
      </x:c>
      <x:c r="Q182" s="18" t="n">
        <x:f>E182*G182</x:f>
        <x:v>0</x:v>
      </x:c>
      <x:c r="R182" s="18" t="n">
        <x:f>E182*H182</x:f>
        <x:v>0</x:v>
      </x:c>
      <x:c r="S182" s="2" t="n">
        <x:v>76</x:v>
      </x:c>
    </x:row>
    <x:row r="183" ht="21" customHeight="1">
      <x:c r="A183" s="36" t="n">
        <x:v>45658.791666666664</x:v>
      </x:c>
      <x:c r="B183" s="36" t="n">
        <x:v>45658.79290104166</x:v>
      </x:c>
      <x:c r="C183" s="36" t="n">
        <x:v>45658.791666666664</x:v>
      </x:c>
      <x:c r="D183" s="2" t="str">
        <x:v>d</x:v>
      </x:c>
      <x:c r="E183" s="18" t="n">
        <x:v>0.029625</x:v>
      </x:c>
      <x:c r="F183" s="18" t="n">
        <x:f>IF(D183="d",'两日价格与决策'!K83-'两日价格与决策'!N83,IF(D183="u",'两日价格与决策'!K83+'两日价格与决策'!M83,'两日价格与决策'!K83))</x:f>
        <x:v>0</x:v>
      </x:c>
      <x:c r="G183" s="18" t="n">
        <x:f>MAX(-F183,0)</x:f>
        <x:v>0</x:v>
      </x:c>
      <x:c r="H183" s="18" t="n">
        <x:f>MAX(F183,0)</x:f>
        <x:v>0</x:v>
      </x:c>
      <x:c r="I183" s="18" t="n">
        <x:f>J182</x:f>
        <x:v>10</x:v>
      </x:c>
      <x:c r="J183" s="18" t="n">
        <x:f>I183+E183*(G183*'原始输入与口径'!$D$5-H183/'原始输入与口径'!$D$5)</x:f>
        <x:v>10</x:v>
      </x:c>
      <x:c r="K183" s="18" t="n">
        <x:v>10</x:v>
      </x:c>
      <x:c r="L183" s="18" t="n">
        <x:v>10</x:v>
      </x:c>
      <x:c r="M183" s="18" t="n">
        <x:f>J183-L183</x:f>
        <x:v>0</x:v>
      </x:c>
      <x:c r="N183" s="18" t="n">
        <x:f>E183*(G183*'原始输入与口径'!$D$5+H183/'原始输入与口径'!$D$5)/'原始输入与口径'!$H$5</x:f>
        <x:v>0</x:v>
      </x:c>
      <x:c r="O183" s="18" t="n">
        <x:v>0</x:v>
      </x:c>
      <x:c r="P183" s="18" t="n">
        <x:f>N183-O183</x:f>
        <x:v>0</x:v>
      </x:c>
      <x:c r="Q183" s="18" t="n">
        <x:f>E183*G183</x:f>
        <x:v>0</x:v>
      </x:c>
      <x:c r="R183" s="18" t="n">
        <x:f>E183*H183</x:f>
        <x:v>0</x:v>
      </x:c>
      <x:c r="S183" s="2" t="n">
        <x:v>77</x:v>
      </x:c>
    </x:row>
    <x:row r="184" ht="21" customHeight="1">
      <x:c r="A184" s="36" t="n">
        <x:v>45658.79290104166</x:v>
      </x:c>
      <x:c r="B184" s="36" t="n">
        <x:v>45658.792902291665</x:v>
      </x:c>
      <x:c r="C184" s="36" t="n">
        <x:v>45658.791666666664</x:v>
      </x:c>
      <x:c r="D184" s="2" t="str">
        <x:v>u</x:v>
      </x:c>
      <x:c r="E184" s="18" t="n">
        <x:v>0.00003</x:v>
      </x:c>
      <x:c r="F184" s="18" t="n">
        <x:f>IF(D184="d",'两日价格与决策'!K83-'两日价格与决策'!N83,IF(D184="u",'两日价格与决策'!K83+'两日价格与决策'!M83,'两日价格与决策'!K83))</x:f>
        <x:v>0</x:v>
      </x:c>
      <x:c r="G184" s="18" t="n">
        <x:f>MAX(-F184,0)</x:f>
        <x:v>0</x:v>
      </x:c>
      <x:c r="H184" s="18" t="n">
        <x:f>MAX(F184,0)</x:f>
        <x:v>0</x:v>
      </x:c>
      <x:c r="I184" s="18" t="n">
        <x:f>J183</x:f>
        <x:v>10</x:v>
      </x:c>
      <x:c r="J184" s="18" t="n">
        <x:f>I184+E184*(G184*'原始输入与口径'!$D$5-H184/'原始输入与口径'!$D$5)</x:f>
        <x:v>10</x:v>
      </x:c>
      <x:c r="K184" s="18" t="n">
        <x:v>10</x:v>
      </x:c>
      <x:c r="L184" s="18" t="n">
        <x:v>10</x:v>
      </x:c>
      <x:c r="M184" s="18" t="n">
        <x:f>J184-L184</x:f>
        <x:v>0</x:v>
      </x:c>
      <x:c r="N184" s="18" t="n">
        <x:f>E184*(G184*'原始输入与口径'!$D$5+H184/'原始输入与口径'!$D$5)/'原始输入与口径'!$H$5</x:f>
        <x:v>0</x:v>
      </x:c>
      <x:c r="O184" s="18" t="n">
        <x:v>0</x:v>
      </x:c>
      <x:c r="P184" s="18" t="n">
        <x:f>N184-O184</x:f>
        <x:v>0</x:v>
      </x:c>
      <x:c r="Q184" s="18" t="n">
        <x:f>E184*G184</x:f>
        <x:v>0</x:v>
      </x:c>
      <x:c r="R184" s="18" t="n">
        <x:f>E184*H184</x:f>
        <x:v>0</x:v>
      </x:c>
      <x:c r="S184" s="2" t="n">
        <x:v>77</x:v>
      </x:c>
    </x:row>
    <x:row r="185" ht="21" customHeight="1">
      <x:c r="A185" s="36" t="n">
        <x:v>45658.792902291665</x:v>
      </x:c>
      <x:c r="B185" s="36" t="n">
        <x:v>45658.80208333333</x:v>
      </x:c>
      <x:c r="C185" s="36" t="n">
        <x:v>45658.791666666664</x:v>
      </x:c>
      <x:c r="D185" s="2" t="str">
        <x:v>0</x:v>
      </x:c>
      <x:c r="E185" s="18" t="n">
        <x:v>0.220345</x:v>
      </x:c>
      <x:c r="F185" s="18" t="n">
        <x:f>IF(D185="d",'两日价格与决策'!K83-'两日价格与决策'!N83,IF(D185="u",'两日价格与决策'!K83+'两日价格与决策'!M83,'两日价格与决策'!K83))</x:f>
        <x:v>0</x:v>
      </x:c>
      <x:c r="G185" s="18" t="n">
        <x:f>MAX(-F185,0)</x:f>
        <x:v>0</x:v>
      </x:c>
      <x:c r="H185" s="18" t="n">
        <x:f>MAX(F185,0)</x:f>
        <x:v>0</x:v>
      </x:c>
      <x:c r="I185" s="18" t="n">
        <x:f>J184</x:f>
        <x:v>10</x:v>
      </x:c>
      <x:c r="J185" s="18" t="n">
        <x:f>I185+E185*(G185*'原始输入与口径'!$D$5-H185/'原始输入与口径'!$D$5)</x:f>
        <x:v>10</x:v>
      </x:c>
      <x:c r="K185" s="18" t="n">
        <x:v>10</x:v>
      </x:c>
      <x:c r="L185" s="18" t="n">
        <x:v>10</x:v>
      </x:c>
      <x:c r="M185" s="18" t="n">
        <x:f>J185-L185</x:f>
        <x:v>0</x:v>
      </x:c>
      <x:c r="N185" s="18" t="n">
        <x:f>E185*(G185*'原始输入与口径'!$D$5+H185/'原始输入与口径'!$D$5)/'原始输入与口径'!$H$5</x:f>
        <x:v>0</x:v>
      </x:c>
      <x:c r="O185" s="18" t="n">
        <x:v>0</x:v>
      </x:c>
      <x:c r="P185" s="18" t="n">
        <x:f>N185-O185</x:f>
        <x:v>0</x:v>
      </x:c>
      <x:c r="Q185" s="18" t="n">
        <x:f>E185*G185</x:f>
        <x:v>0</x:v>
      </x:c>
      <x:c r="R185" s="18" t="n">
        <x:f>E185*H185</x:f>
        <x:v>0</x:v>
      </x:c>
      <x:c r="S185" s="2" t="n">
        <x:v>77</x:v>
      </x:c>
    </x:row>
    <x:row r="186" ht="21" customHeight="1">
      <x:c r="A186" s="36" t="n">
        <x:v>45658.802083333336</x:v>
      </x:c>
      <x:c r="B186" s="36" t="n">
        <x:v>45658.802439375</x:v>
      </x:c>
      <x:c r="C186" s="36" t="n">
        <x:v>45658.802083333336</x:v>
      </x:c>
      <x:c r="D186" s="2" t="str">
        <x:v>d</x:v>
      </x:c>
      <x:c r="E186" s="18" t="n">
        <x:v>0.008545</x:v>
      </x:c>
      <x:c r="F186" s="18" t="n">
        <x:f>IF(D186="d",'两日价格与决策'!K84-'两日价格与决策'!N84,IF(D186="u",'两日价格与决策'!K84+'两日价格与决策'!M84,'两日价格与决策'!K84))</x:f>
        <x:v>0</x:v>
      </x:c>
      <x:c r="G186" s="18" t="n">
        <x:f>MAX(-F186,0)</x:f>
        <x:v>0</x:v>
      </x:c>
      <x:c r="H186" s="18" t="n">
        <x:f>MAX(F186,0)</x:f>
        <x:v>0</x:v>
      </x:c>
      <x:c r="I186" s="18" t="n">
        <x:f>J185</x:f>
        <x:v>10</x:v>
      </x:c>
      <x:c r="J186" s="18" t="n">
        <x:f>I186+E186*(G186*'原始输入与口径'!$D$5-H186/'原始输入与口径'!$D$5)</x:f>
        <x:v>10</x:v>
      </x:c>
      <x:c r="K186" s="18" t="n">
        <x:v>10</x:v>
      </x:c>
      <x:c r="L186" s="18" t="n">
        <x:v>10</x:v>
      </x:c>
      <x:c r="M186" s="18" t="n">
        <x:f>J186-L186</x:f>
        <x:v>0</x:v>
      </x:c>
      <x:c r="N186" s="18" t="n">
        <x:f>E186*(G186*'原始输入与口径'!$D$5+H186/'原始输入与口径'!$D$5)/'原始输入与口径'!$H$5</x:f>
        <x:v>0</x:v>
      </x:c>
      <x:c r="O186" s="18" t="n">
        <x:v>0</x:v>
      </x:c>
      <x:c r="P186" s="18" t="n">
        <x:f>N186-O186</x:f>
        <x:v>0</x:v>
      </x:c>
      <x:c r="Q186" s="18" t="n">
        <x:f>E186*G186</x:f>
        <x:v>0</x:v>
      </x:c>
      <x:c r="R186" s="18" t="n">
        <x:f>E186*H186</x:f>
        <x:v>0</x:v>
      </x:c>
      <x:c r="S186" s="2" t="n">
        <x:v>78</x:v>
      </x:c>
    </x:row>
    <x:row r="187" ht="21" customHeight="1">
      <x:c r="A187" s="36" t="n">
        <x:v>45658.802439375</x:v>
      </x:c>
      <x:c r="B187" s="36" t="n">
        <x:v>45658.802459375</x:v>
      </x:c>
      <x:c r="C187" s="36" t="n">
        <x:v>45658.802083333336</x:v>
      </x:c>
      <x:c r="D187" s="2" t="str">
        <x:v>u</x:v>
      </x:c>
      <x:c r="E187" s="18" t="n">
        <x:v>0.00048</x:v>
      </x:c>
      <x:c r="F187" s="18" t="n">
        <x:f>IF(D187="d",'两日价格与决策'!K84-'两日价格与决策'!N84,IF(D187="u",'两日价格与决策'!K84+'两日价格与决策'!M84,'两日价格与决策'!K84))</x:f>
        <x:v>0</x:v>
      </x:c>
      <x:c r="G187" s="18" t="n">
        <x:f>MAX(-F187,0)</x:f>
        <x:v>0</x:v>
      </x:c>
      <x:c r="H187" s="18" t="n">
        <x:f>MAX(F187,0)</x:f>
        <x:v>0</x:v>
      </x:c>
      <x:c r="I187" s="18" t="n">
        <x:f>J186</x:f>
        <x:v>10</x:v>
      </x:c>
      <x:c r="J187" s="18" t="n">
        <x:f>I187+E187*(G187*'原始输入与口径'!$D$5-H187/'原始输入与口径'!$D$5)</x:f>
        <x:v>10</x:v>
      </x:c>
      <x:c r="K187" s="18" t="n">
        <x:v>10</x:v>
      </x:c>
      <x:c r="L187" s="18" t="n">
        <x:v>10</x:v>
      </x:c>
      <x:c r="M187" s="18" t="n">
        <x:f>J187-L187</x:f>
        <x:v>0</x:v>
      </x:c>
      <x:c r="N187" s="18" t="n">
        <x:f>E187*(G187*'原始输入与口径'!$D$5+H187/'原始输入与口径'!$D$5)/'原始输入与口径'!$H$5</x:f>
        <x:v>0</x:v>
      </x:c>
      <x:c r="O187" s="18" t="n">
        <x:v>0</x:v>
      </x:c>
      <x:c r="P187" s="18" t="n">
        <x:f>N187-O187</x:f>
        <x:v>0</x:v>
      </x:c>
      <x:c r="Q187" s="18" t="n">
        <x:f>E187*G187</x:f>
        <x:v>0</x:v>
      </x:c>
      <x:c r="R187" s="18" t="n">
        <x:f>E187*H187</x:f>
        <x:v>0</x:v>
      </x:c>
      <x:c r="S187" s="2" t="n">
        <x:v>78</x:v>
      </x:c>
    </x:row>
    <x:row r="188" ht="21" customHeight="1">
      <x:c r="A188" s="36" t="n">
        <x:v>45658.802459375</x:v>
      </x:c>
      <x:c r="B188" s="36" t="n">
        <x:v>45658.8125</x:v>
      </x:c>
      <x:c r="C188" s="36" t="n">
        <x:v>45658.802083333336</x:v>
      </x:c>
      <x:c r="D188" s="2" t="str">
        <x:v>0</x:v>
      </x:c>
      <x:c r="E188" s="18" t="n">
        <x:v>0.240975</x:v>
      </x:c>
      <x:c r="F188" s="18" t="n">
        <x:f>IF(D188="d",'两日价格与决策'!K84-'两日价格与决策'!N84,IF(D188="u",'两日价格与决策'!K84+'两日价格与决策'!M84,'两日价格与决策'!K84))</x:f>
        <x:v>0</x:v>
      </x:c>
      <x:c r="G188" s="18" t="n">
        <x:f>MAX(-F188,0)</x:f>
        <x:v>0</x:v>
      </x:c>
      <x:c r="H188" s="18" t="n">
        <x:f>MAX(F188,0)</x:f>
        <x:v>0</x:v>
      </x:c>
      <x:c r="I188" s="18" t="n">
        <x:f>J187</x:f>
        <x:v>10</x:v>
      </x:c>
      <x:c r="J188" s="18" t="n">
        <x:f>I188+E188*(G188*'原始输入与口径'!$D$5-H188/'原始输入与口径'!$D$5)</x:f>
        <x:v>10</x:v>
      </x:c>
      <x:c r="K188" s="18" t="n">
        <x:v>10</x:v>
      </x:c>
      <x:c r="L188" s="18" t="n">
        <x:v>10</x:v>
      </x:c>
      <x:c r="M188" s="18" t="n">
        <x:f>J188-L188</x:f>
        <x:v>0</x:v>
      </x:c>
      <x:c r="N188" s="18" t="n">
        <x:f>E188*(G188*'原始输入与口径'!$D$5+H188/'原始输入与口径'!$D$5)/'原始输入与口径'!$H$5</x:f>
        <x:v>0</x:v>
      </x:c>
      <x:c r="O188" s="18" t="n">
        <x:v>0</x:v>
      </x:c>
      <x:c r="P188" s="18" t="n">
        <x:f>N188-O188</x:f>
        <x:v>0</x:v>
      </x:c>
      <x:c r="Q188" s="18" t="n">
        <x:f>E188*G188</x:f>
        <x:v>0</x:v>
      </x:c>
      <x:c r="R188" s="18" t="n">
        <x:f>E188*H188</x:f>
        <x:v>0</x:v>
      </x:c>
      <x:c r="S188" s="2" t="n">
        <x:v>78</x:v>
      </x:c>
    </x:row>
    <x:row r="189" ht="21" customHeight="1">
      <x:c r="A189" s="36" t="n">
        <x:v>45658.8125</x:v>
      </x:c>
      <x:c r="B189" s="36" t="n">
        <x:v>45658.81252208333</x:v>
      </x:c>
      <x:c r="C189" s="36" t="n">
        <x:v>45658.8125</x:v>
      </x:c>
      <x:c r="D189" s="2" t="str">
        <x:v>d</x:v>
      </x:c>
      <x:c r="E189" s="18" t="n">
        <x:v>0.00053</x:v>
      </x:c>
      <x:c r="F189" s="18" t="n">
        <x:f>IF(D189="d",'两日价格与决策'!K85-'两日价格与决策'!N85,IF(D189="u",'两日价格与决策'!K85+'两日价格与决策'!M85,'两日价格与决策'!K85))</x:f>
        <x:v>0</x:v>
      </x:c>
      <x:c r="G189" s="18" t="n">
        <x:f>MAX(-F189,0)</x:f>
        <x:v>0</x:v>
      </x:c>
      <x:c r="H189" s="18" t="n">
        <x:f>MAX(F189,0)</x:f>
        <x:v>0</x:v>
      </x:c>
      <x:c r="I189" s="18" t="n">
        <x:f>J188</x:f>
        <x:v>10</x:v>
      </x:c>
      <x:c r="J189" s="18" t="n">
        <x:f>I189+E189*(G189*'原始输入与口径'!$D$5-H189/'原始输入与口径'!$D$5)</x:f>
        <x:v>10</x:v>
      </x:c>
      <x:c r="K189" s="18" t="n">
        <x:v>10</x:v>
      </x:c>
      <x:c r="L189" s="18" t="n">
        <x:v>10</x:v>
      </x:c>
      <x:c r="M189" s="18" t="n">
        <x:f>J189-L189</x:f>
        <x:v>0</x:v>
      </x:c>
      <x:c r="N189" s="18" t="n">
        <x:f>E189*(G189*'原始输入与口径'!$D$5+H189/'原始输入与口径'!$D$5)/'原始输入与口径'!$H$5</x:f>
        <x:v>0</x:v>
      </x:c>
      <x:c r="O189" s="18" t="n">
        <x:v>0</x:v>
      </x:c>
      <x:c r="P189" s="18" t="n">
        <x:f>N189-O189</x:f>
        <x:v>0</x:v>
      </x:c>
      <x:c r="Q189" s="18" t="n">
        <x:f>E189*G189</x:f>
        <x:v>0</x:v>
      </x:c>
      <x:c r="R189" s="18" t="n">
        <x:f>E189*H189</x:f>
        <x:v>0</x:v>
      </x:c>
      <x:c r="S189" s="2" t="n">
        <x:v>79</x:v>
      </x:c>
    </x:row>
    <x:row r="190" ht="21" customHeight="1">
      <x:c r="A190" s="36" t="n">
        <x:v>45658.81252208333</x:v>
      </x:c>
      <x:c r="B190" s="36" t="n">
        <x:v>45658.812558125</x:v>
      </x:c>
      <x:c r="C190" s="36" t="n">
        <x:v>45658.8125</x:v>
      </x:c>
      <x:c r="D190" s="2" t="str">
        <x:v>u</x:v>
      </x:c>
      <x:c r="E190" s="18" t="n">
        <x:v>0.0008649999999999999</x:v>
      </x:c>
      <x:c r="F190" s="18" t="n">
        <x:f>IF(D190="d",'两日价格与决策'!K85-'两日价格与决策'!N85,IF(D190="u",'两日价格与决策'!K85+'两日价格与决策'!M85,'两日价格与决策'!K85))</x:f>
        <x:v>0</x:v>
      </x:c>
      <x:c r="G190" s="18" t="n">
        <x:f>MAX(-F190,0)</x:f>
        <x:v>0</x:v>
      </x:c>
      <x:c r="H190" s="18" t="n">
        <x:f>MAX(F190,0)</x:f>
        <x:v>0</x:v>
      </x:c>
      <x:c r="I190" s="18" t="n">
        <x:f>J189</x:f>
        <x:v>10</x:v>
      </x:c>
      <x:c r="J190" s="18" t="n">
        <x:f>I190+E190*(G190*'原始输入与口径'!$D$5-H190/'原始输入与口径'!$D$5)</x:f>
        <x:v>10</x:v>
      </x:c>
      <x:c r="K190" s="18" t="n">
        <x:v>10</x:v>
      </x:c>
      <x:c r="L190" s="18" t="n">
        <x:v>10</x:v>
      </x:c>
      <x:c r="M190" s="18" t="n">
        <x:f>J190-L190</x:f>
        <x:v>0</x:v>
      </x:c>
      <x:c r="N190" s="18" t="n">
        <x:f>E190*(G190*'原始输入与口径'!$D$5+H190/'原始输入与口径'!$D$5)/'原始输入与口径'!$H$5</x:f>
        <x:v>0</x:v>
      </x:c>
      <x:c r="O190" s="18" t="n">
        <x:v>0</x:v>
      </x:c>
      <x:c r="P190" s="18" t="n">
        <x:f>N190-O190</x:f>
        <x:v>0</x:v>
      </x:c>
      <x:c r="Q190" s="18" t="n">
        <x:f>E190*G190</x:f>
        <x:v>0</x:v>
      </x:c>
      <x:c r="R190" s="18" t="n">
        <x:f>E190*H190</x:f>
        <x:v>0</x:v>
      </x:c>
      <x:c r="S190" s="2" t="n">
        <x:v>79</x:v>
      </x:c>
    </x:row>
    <x:row r="191" ht="21" customHeight="1">
      <x:c r="A191" s="36" t="n">
        <x:v>45658.812558125</x:v>
      </x:c>
      <x:c r="B191" s="36" t="n">
        <x:v>45658.822916666664</x:v>
      </x:c>
      <x:c r="C191" s="36" t="n">
        <x:v>45658.8125</x:v>
      </x:c>
      <x:c r="D191" s="2" t="str">
        <x:v>0</x:v>
      </x:c>
      <x:c r="E191" s="18" t="n">
        <x:v>0.248605</x:v>
      </x:c>
      <x:c r="F191" s="18" t="n">
        <x:f>IF(D191="d",'两日价格与决策'!K85-'两日价格与决策'!N85,IF(D191="u",'两日价格与决策'!K85+'两日价格与决策'!M85,'两日价格与决策'!K85))</x:f>
        <x:v>0</x:v>
      </x:c>
      <x:c r="G191" s="18" t="n">
        <x:f>MAX(-F191,0)</x:f>
        <x:v>0</x:v>
      </x:c>
      <x:c r="H191" s="18" t="n">
        <x:f>MAX(F191,0)</x:f>
        <x:v>0</x:v>
      </x:c>
      <x:c r="I191" s="18" t="n">
        <x:f>J190</x:f>
        <x:v>10</x:v>
      </x:c>
      <x:c r="J191" s="18" t="n">
        <x:f>I191+E191*(G191*'原始输入与口径'!$D$5-H191/'原始输入与口径'!$D$5)</x:f>
        <x:v>10</x:v>
      </x:c>
      <x:c r="K191" s="18" t="n">
        <x:v>10</x:v>
      </x:c>
      <x:c r="L191" s="18" t="n">
        <x:v>10</x:v>
      </x:c>
      <x:c r="M191" s="18" t="n">
        <x:f>J191-L191</x:f>
        <x:v>0</x:v>
      </x:c>
      <x:c r="N191" s="18" t="n">
        <x:f>E191*(G191*'原始输入与口径'!$D$5+H191/'原始输入与口径'!$D$5)/'原始输入与口径'!$H$5</x:f>
        <x:v>0</x:v>
      </x:c>
      <x:c r="O191" s="18" t="n">
        <x:v>0</x:v>
      </x:c>
      <x:c r="P191" s="18" t="n">
        <x:f>N191-O191</x:f>
        <x:v>0</x:v>
      </x:c>
      <x:c r="Q191" s="18" t="n">
        <x:f>E191*G191</x:f>
        <x:v>0</x:v>
      </x:c>
      <x:c r="R191" s="18" t="n">
        <x:f>E191*H191</x:f>
        <x:v>0</x:v>
      </x:c>
      <x:c r="S191" s="2" t="n">
        <x:v>79</x:v>
      </x:c>
    </x:row>
    <x:row r="192" ht="21" customHeight="1">
      <x:c r="A192" s="36" t="n">
        <x:v>45658.822916666664</x:v>
      </x:c>
      <x:c r="B192" s="36" t="n">
        <x:v>45658.824730416665</x:v>
      </x:c>
      <x:c r="C192" s="36" t="n">
        <x:v>45658.822916666664</x:v>
      </x:c>
      <x:c r="D192" s="2" t="str">
        <x:v>u</x:v>
      </x:c>
      <x:c r="E192" s="18" t="n">
        <x:v>0.04353</x:v>
      </x:c>
      <x:c r="F192" s="18" t="n">
        <x:f>IF(D192="d",'两日价格与决策'!K86-'两日价格与决策'!N86,IF(D192="u",'两日价格与决策'!K86+'两日价格与决策'!M86,'两日价格与决策'!K86))</x:f>
        <x:v>0</x:v>
      </x:c>
      <x:c r="G192" s="18" t="n">
        <x:f>MAX(-F192,0)</x:f>
        <x:v>0</x:v>
      </x:c>
      <x:c r="H192" s="18" t="n">
        <x:f>MAX(F192,0)</x:f>
        <x:v>0</x:v>
      </x:c>
      <x:c r="I192" s="18" t="n">
        <x:f>J191</x:f>
        <x:v>10</x:v>
      </x:c>
      <x:c r="J192" s="18" t="n">
        <x:f>I192+E192*(G192*'原始输入与口径'!$D$5-H192/'原始输入与口径'!$D$5)</x:f>
        <x:v>10</x:v>
      </x:c>
      <x:c r="K192" s="18" t="n">
        <x:v>10</x:v>
      </x:c>
      <x:c r="L192" s="18" t="n">
        <x:v>10</x:v>
      </x:c>
      <x:c r="M192" s="18" t="n">
        <x:f>J192-L192</x:f>
        <x:v>0</x:v>
      </x:c>
      <x:c r="N192" s="18" t="n">
        <x:f>E192*(G192*'原始输入与口径'!$D$5+H192/'原始输入与口径'!$D$5)/'原始输入与口径'!$H$5</x:f>
        <x:v>0</x:v>
      </x:c>
      <x:c r="O192" s="18" t="n">
        <x:v>0</x:v>
      </x:c>
      <x:c r="P192" s="18" t="n">
        <x:f>N192-O192</x:f>
        <x:v>0</x:v>
      </x:c>
      <x:c r="Q192" s="18" t="n">
        <x:f>E192*G192</x:f>
        <x:v>0</x:v>
      </x:c>
      <x:c r="R192" s="18" t="n">
        <x:f>E192*H192</x:f>
        <x:v>0</x:v>
      </x:c>
      <x:c r="S192" s="2" t="n">
        <x:v>80</x:v>
      </x:c>
    </x:row>
    <x:row r="193" ht="21" customHeight="1">
      <x:c r="A193" s="36" t="n">
        <x:v>45658.824730416665</x:v>
      </x:c>
      <x:c r="B193" s="36" t="n">
        <x:v>45658.83333333333</x:v>
      </x:c>
      <x:c r="C193" s="36" t="n">
        <x:v>45658.822916666664</x:v>
      </x:c>
      <x:c r="D193" s="2" t="str">
        <x:v>0</x:v>
      </x:c>
      <x:c r="E193" s="18" t="n">
        <x:v>0.20647</x:v>
      </x:c>
      <x:c r="F193" s="18" t="n">
        <x:f>IF(D193="d",'两日价格与决策'!K86-'两日价格与决策'!N86,IF(D193="u",'两日价格与决策'!K86+'两日价格与决策'!M86,'两日价格与决策'!K86))</x:f>
        <x:v>0</x:v>
      </x:c>
      <x:c r="G193" s="18" t="n">
        <x:f>MAX(-F193,0)</x:f>
        <x:v>0</x:v>
      </x:c>
      <x:c r="H193" s="18" t="n">
        <x:f>MAX(F193,0)</x:f>
        <x:v>0</x:v>
      </x:c>
      <x:c r="I193" s="18" t="n">
        <x:f>J192</x:f>
        <x:v>10</x:v>
      </x:c>
      <x:c r="J193" s="18" t="n">
        <x:f>I193+E193*(G193*'原始输入与口径'!$D$5-H193/'原始输入与口径'!$D$5)</x:f>
        <x:v>10</x:v>
      </x:c>
      <x:c r="K193" s="18" t="n">
        <x:v>10</x:v>
      </x:c>
      <x:c r="L193" s="18" t="n">
        <x:v>10</x:v>
      </x:c>
      <x:c r="M193" s="18" t="n">
        <x:f>J193-L193</x:f>
        <x:v>0</x:v>
      </x:c>
      <x:c r="N193" s="18" t="n">
        <x:f>E193*(G193*'原始输入与口径'!$D$5+H193/'原始输入与口径'!$D$5)/'原始输入与口径'!$H$5</x:f>
        <x:v>0</x:v>
      </x:c>
      <x:c r="O193" s="18" t="n">
        <x:v>0</x:v>
      </x:c>
      <x:c r="P193" s="18" t="n">
        <x:f>N193-O193</x:f>
        <x:v>0</x:v>
      </x:c>
      <x:c r="Q193" s="18" t="n">
        <x:f>E193*G193</x:f>
        <x:v>0</x:v>
      </x:c>
      <x:c r="R193" s="18" t="n">
        <x:f>E193*H193</x:f>
        <x:v>0</x:v>
      </x:c>
      <x:c r="S193" s="2" t="n">
        <x:v>80</x:v>
      </x:c>
    </x:row>
    <x:row r="194" ht="21" customHeight="1">
      <x:c r="A194" s="36" t="n">
        <x:v>45658.833333333336</x:v>
      </x:c>
      <x:c r="B194" s="36" t="n">
        <x:v>45658.835210000005</x:v>
      </x:c>
      <x:c r="C194" s="36" t="n">
        <x:v>45658.833333333336</x:v>
      </x:c>
      <x:c r="D194" s="2" t="str">
        <x:v>u</x:v>
      </x:c>
      <x:c r="E194" s="18" t="n">
        <x:v>0.04504</x:v>
      </x:c>
      <x:c r="F194" s="18" t="n">
        <x:f>IF(D194="d",'两日价格与决策'!K87-'两日价格与决策'!N87,IF(D194="u",'两日价格与决策'!K87+'两日价格与决策'!M87,'两日价格与决策'!K87))</x:f>
        <x:v>0</x:v>
      </x:c>
      <x:c r="G194" s="18" t="n">
        <x:f>MAX(-F194,0)</x:f>
        <x:v>0</x:v>
      </x:c>
      <x:c r="H194" s="18" t="n">
        <x:f>MAX(F194,0)</x:f>
        <x:v>0</x:v>
      </x:c>
      <x:c r="I194" s="18" t="n">
        <x:f>J193</x:f>
        <x:v>10</x:v>
      </x:c>
      <x:c r="J194" s="18" t="n">
        <x:f>I194+E194*(G194*'原始输入与口径'!$D$5-H194/'原始输入与口径'!$D$5)</x:f>
        <x:v>10</x:v>
      </x:c>
      <x:c r="K194" s="18" t="n">
        <x:v>10</x:v>
      </x:c>
      <x:c r="L194" s="18" t="n">
        <x:v>10</x:v>
      </x:c>
      <x:c r="M194" s="18" t="n">
        <x:f>J194-L194</x:f>
        <x:v>0</x:v>
      </x:c>
      <x:c r="N194" s="18" t="n">
        <x:f>E194*(G194*'原始输入与口径'!$D$5+H194/'原始输入与口径'!$D$5)/'原始输入与口径'!$H$5</x:f>
        <x:v>0</x:v>
      </x:c>
      <x:c r="O194" s="18" t="n">
        <x:v>0</x:v>
      </x:c>
      <x:c r="P194" s="18" t="n">
        <x:f>N194-O194</x:f>
        <x:v>0</x:v>
      </x:c>
      <x:c r="Q194" s="18" t="n">
        <x:f>E194*G194</x:f>
        <x:v>0</x:v>
      </x:c>
      <x:c r="R194" s="18" t="n">
        <x:f>E194*H194</x:f>
        <x:v>0</x:v>
      </x:c>
      <x:c r="S194" s="2" t="n">
        <x:v>81</x:v>
      </x:c>
    </x:row>
    <x:row r="195" ht="21" customHeight="1">
      <x:c r="A195" s="36" t="n">
        <x:v>45658.835210000005</x:v>
      </x:c>
      <x:c r="B195" s="36" t="n">
        <x:v>45658.84375</x:v>
      </x:c>
      <x:c r="C195" s="36" t="n">
        <x:v>45658.833333333336</x:v>
      </x:c>
      <x:c r="D195" s="2" t="str">
        <x:v>0</x:v>
      </x:c>
      <x:c r="E195" s="18" t="n">
        <x:v>0.20496</x:v>
      </x:c>
      <x:c r="F195" s="18" t="n">
        <x:f>IF(D195="d",'两日价格与决策'!K87-'两日价格与决策'!N87,IF(D195="u",'两日价格与决策'!K87+'两日价格与决策'!M87,'两日价格与决策'!K87))</x:f>
        <x:v>0</x:v>
      </x:c>
      <x:c r="G195" s="18" t="n">
        <x:f>MAX(-F195,0)</x:f>
        <x:v>0</x:v>
      </x:c>
      <x:c r="H195" s="18" t="n">
        <x:f>MAX(F195,0)</x:f>
        <x:v>0</x:v>
      </x:c>
      <x:c r="I195" s="18" t="n">
        <x:f>J194</x:f>
        <x:v>10</x:v>
      </x:c>
      <x:c r="J195" s="18" t="n">
        <x:f>I195+E195*(G195*'原始输入与口径'!$D$5-H195/'原始输入与口径'!$D$5)</x:f>
        <x:v>10</x:v>
      </x:c>
      <x:c r="K195" s="18" t="n">
        <x:v>10</x:v>
      </x:c>
      <x:c r="L195" s="18" t="n">
        <x:v>10</x:v>
      </x:c>
      <x:c r="M195" s="18" t="n">
        <x:f>J195-L195</x:f>
        <x:v>0</x:v>
      </x:c>
      <x:c r="N195" s="18" t="n">
        <x:f>E195*(G195*'原始输入与口径'!$D$5+H195/'原始输入与口径'!$D$5)/'原始输入与口径'!$H$5</x:f>
        <x:v>0</x:v>
      </x:c>
      <x:c r="O195" s="18" t="n">
        <x:v>0</x:v>
      </x:c>
      <x:c r="P195" s="18" t="n">
        <x:f>N195-O195</x:f>
        <x:v>0</x:v>
      </x:c>
      <x:c r="Q195" s="18" t="n">
        <x:f>E195*G195</x:f>
        <x:v>0</x:v>
      </x:c>
      <x:c r="R195" s="18" t="n">
        <x:f>E195*H195</x:f>
        <x:v>0</x:v>
      </x:c>
      <x:c r="S195" s="2" t="n">
        <x:v>81</x:v>
      </x:c>
    </x:row>
    <x:row r="196" ht="21" customHeight="1">
      <x:c r="A196" s="36" t="n">
        <x:v>45658.84375</x:v>
      </x:c>
      <x:c r="B196" s="36" t="n">
        <x:v>45658.84624583333</x:v>
      </x:c>
      <x:c r="C196" s="36" t="n">
        <x:v>45658.84375</x:v>
      </x:c>
      <x:c r="D196" s="2" t="str">
        <x:v>u</x:v>
      </x:c>
      <x:c r="E196" s="18" t="n">
        <x:v>0.0599</x:v>
      </x:c>
      <x:c r="F196" s="18" t="n">
        <x:f>IF(D196="d",'两日价格与决策'!K88-'两日价格与决策'!N88,IF(D196="u",'两日价格与决策'!K88+'两日价格与决策'!M88,'两日价格与决策'!K88))</x:f>
        <x:v>0</x:v>
      </x:c>
      <x:c r="G196" s="18" t="n">
        <x:f>MAX(-F196,0)</x:f>
        <x:v>0</x:v>
      </x:c>
      <x:c r="H196" s="18" t="n">
        <x:f>MAX(F196,0)</x:f>
        <x:v>0</x:v>
      </x:c>
      <x:c r="I196" s="18" t="n">
        <x:f>J195</x:f>
        <x:v>10</x:v>
      </x:c>
      <x:c r="J196" s="18" t="n">
        <x:f>I196+E196*(G196*'原始输入与口径'!$D$5-H196/'原始输入与口径'!$D$5)</x:f>
        <x:v>10</x:v>
      </x:c>
      <x:c r="K196" s="18" t="n">
        <x:v>10</x:v>
      </x:c>
      <x:c r="L196" s="18" t="n">
        <x:v>10</x:v>
      </x:c>
      <x:c r="M196" s="18" t="n">
        <x:f>J196-L196</x:f>
        <x:v>0</x:v>
      </x:c>
      <x:c r="N196" s="18" t="n">
        <x:f>E196*(G196*'原始输入与口径'!$D$5+H196/'原始输入与口径'!$D$5)/'原始输入与口径'!$H$5</x:f>
        <x:v>0</x:v>
      </x:c>
      <x:c r="O196" s="18" t="n">
        <x:v>0</x:v>
      </x:c>
      <x:c r="P196" s="18" t="n">
        <x:f>N196-O196</x:f>
        <x:v>0</x:v>
      </x:c>
      <x:c r="Q196" s="18" t="n">
        <x:f>E196*G196</x:f>
        <x:v>0</x:v>
      </x:c>
      <x:c r="R196" s="18" t="n">
        <x:f>E196*H196</x:f>
        <x:v>0</x:v>
      </x:c>
      <x:c r="S196" s="2" t="n">
        <x:v>82</x:v>
      </x:c>
    </x:row>
    <x:row r="197" ht="21" customHeight="1">
      <x:c r="A197" s="36" t="n">
        <x:v>45658.84624583333</x:v>
      </x:c>
      <x:c r="B197" s="36" t="n">
        <x:v>45658.854166666664</x:v>
      </x:c>
      <x:c r="C197" s="36" t="n">
        <x:v>45658.84375</x:v>
      </x:c>
      <x:c r="D197" s="2" t="str">
        <x:v>0</x:v>
      </x:c>
      <x:c r="E197" s="18" t="n">
        <x:v>0.1901</x:v>
      </x:c>
      <x:c r="F197" s="18" t="n">
        <x:f>IF(D197="d",'两日价格与决策'!K88-'两日价格与决策'!N88,IF(D197="u",'两日价格与决策'!K88+'两日价格与决策'!M88,'两日价格与决策'!K88))</x:f>
        <x:v>0</x:v>
      </x:c>
      <x:c r="G197" s="18" t="n">
        <x:f>MAX(-F197,0)</x:f>
        <x:v>0</x:v>
      </x:c>
      <x:c r="H197" s="18" t="n">
        <x:f>MAX(F197,0)</x:f>
        <x:v>0</x:v>
      </x:c>
      <x:c r="I197" s="18" t="n">
        <x:f>J196</x:f>
        <x:v>10</x:v>
      </x:c>
      <x:c r="J197" s="18" t="n">
        <x:f>I197+E197*(G197*'原始输入与口径'!$D$5-H197/'原始输入与口径'!$D$5)</x:f>
        <x:v>10</x:v>
      </x:c>
      <x:c r="K197" s="18" t="n">
        <x:v>10</x:v>
      </x:c>
      <x:c r="L197" s="18" t="n">
        <x:v>10</x:v>
      </x:c>
      <x:c r="M197" s="18" t="n">
        <x:f>J197-L197</x:f>
        <x:v>0</x:v>
      </x:c>
      <x:c r="N197" s="18" t="n">
        <x:f>E197*(G197*'原始输入与口径'!$D$5+H197/'原始输入与口径'!$D$5)/'原始输入与口径'!$H$5</x:f>
        <x:v>0</x:v>
      </x:c>
      <x:c r="O197" s="18" t="n">
        <x:v>0</x:v>
      </x:c>
      <x:c r="P197" s="18" t="n">
        <x:f>N197-O197</x:f>
        <x:v>0</x:v>
      </x:c>
      <x:c r="Q197" s="18" t="n">
        <x:f>E197*G197</x:f>
        <x:v>0</x:v>
      </x:c>
      <x:c r="R197" s="18" t="n">
        <x:f>E197*H197</x:f>
        <x:v>0</x:v>
      </x:c>
      <x:c r="S197" s="2" t="n">
        <x:v>82</x:v>
      </x:c>
    </x:row>
    <x:row r="198" ht="21" customHeight="1">
      <x:c r="A198" s="36" t="n">
        <x:v>45658.854166666664</x:v>
      </x:c>
      <x:c r="B198" s="36" t="n">
        <x:v>45658.854266874994</x:v>
      </x:c>
      <x:c r="C198" s="36" t="n">
        <x:v>45658.854166666664</x:v>
      </x:c>
      <x:c r="D198" s="2" t="str">
        <x:v>d</x:v>
      </x:c>
      <x:c r="E198" s="18" t="n">
        <x:v>0.002405</x:v>
      </x:c>
      <x:c r="F198" s="18" t="n">
        <x:f>IF(D198="d",'两日价格与决策'!K89-'两日价格与决策'!N89,IF(D198="u",'两日价格与决策'!K89+'两日价格与决策'!M89,'两日价格与决策'!K89))</x:f>
        <x:v>0</x:v>
      </x:c>
      <x:c r="G198" s="18" t="n">
        <x:f>MAX(-F198,0)</x:f>
        <x:v>0</x:v>
      </x:c>
      <x:c r="H198" s="18" t="n">
        <x:f>MAX(F198,0)</x:f>
        <x:v>0</x:v>
      </x:c>
      <x:c r="I198" s="18" t="n">
        <x:f>J197</x:f>
        <x:v>10</x:v>
      </x:c>
      <x:c r="J198" s="18" t="n">
        <x:f>I198+E198*(G198*'原始输入与口径'!$D$5-H198/'原始输入与口径'!$D$5)</x:f>
        <x:v>10</x:v>
      </x:c>
      <x:c r="K198" s="18" t="n">
        <x:v>10</x:v>
      </x:c>
      <x:c r="L198" s="18" t="n">
        <x:v>10</x:v>
      </x:c>
      <x:c r="M198" s="18" t="n">
        <x:f>J198-L198</x:f>
        <x:v>0</x:v>
      </x:c>
      <x:c r="N198" s="18" t="n">
        <x:f>E198*(G198*'原始输入与口径'!$D$5+H198/'原始输入与口径'!$D$5)/'原始输入与口径'!$H$5</x:f>
        <x:v>0</x:v>
      </x:c>
      <x:c r="O198" s="18" t="n">
        <x:v>0</x:v>
      </x:c>
      <x:c r="P198" s="18" t="n">
        <x:f>N198-O198</x:f>
        <x:v>0</x:v>
      </x:c>
      <x:c r="Q198" s="18" t="n">
        <x:f>E198*G198</x:f>
        <x:v>0</x:v>
      </x:c>
      <x:c r="R198" s="18" t="n">
        <x:f>E198*H198</x:f>
        <x:v>0</x:v>
      </x:c>
      <x:c r="S198" s="2" t="n">
        <x:v>83</x:v>
      </x:c>
    </x:row>
    <x:row r="199" ht="21" customHeight="1">
      <x:c r="A199" s="36" t="n">
        <x:v>45658.854266874994</x:v>
      </x:c>
      <x:c r="B199" s="36" t="n">
        <x:v>45658.854685</x:v>
      </x:c>
      <x:c r="C199" s="36" t="n">
        <x:v>45658.854166666664</x:v>
      </x:c>
      <x:c r="D199" s="2" t="str">
        <x:v>u</x:v>
      </x:c>
      <x:c r="E199" s="18" t="n">
        <x:v>0.010035</x:v>
      </x:c>
      <x:c r="F199" s="18" t="n">
        <x:f>IF(D199="d",'两日价格与决策'!K89-'两日价格与决策'!N89,IF(D199="u",'两日价格与决策'!K89+'两日价格与决策'!M89,'两日价格与决策'!K89))</x:f>
        <x:v>0</x:v>
      </x:c>
      <x:c r="G199" s="18" t="n">
        <x:f>MAX(-F199,0)</x:f>
        <x:v>0</x:v>
      </x:c>
      <x:c r="H199" s="18" t="n">
        <x:f>MAX(F199,0)</x:f>
        <x:v>0</x:v>
      </x:c>
      <x:c r="I199" s="18" t="n">
        <x:f>J198</x:f>
        <x:v>10</x:v>
      </x:c>
      <x:c r="J199" s="18" t="n">
        <x:f>I199+E199*(G199*'原始输入与口径'!$D$5-H199/'原始输入与口径'!$D$5)</x:f>
        <x:v>10</x:v>
      </x:c>
      <x:c r="K199" s="18" t="n">
        <x:v>10</x:v>
      </x:c>
      <x:c r="L199" s="18" t="n">
        <x:v>10</x:v>
      </x:c>
      <x:c r="M199" s="18" t="n">
        <x:f>J199-L199</x:f>
        <x:v>0</x:v>
      </x:c>
      <x:c r="N199" s="18" t="n">
        <x:f>E199*(G199*'原始输入与口径'!$D$5+H199/'原始输入与口径'!$D$5)/'原始输入与口径'!$H$5</x:f>
        <x:v>0</x:v>
      </x:c>
      <x:c r="O199" s="18" t="n">
        <x:v>0</x:v>
      </x:c>
      <x:c r="P199" s="18" t="n">
        <x:f>N199-O199</x:f>
        <x:v>0</x:v>
      </x:c>
      <x:c r="Q199" s="18" t="n">
        <x:f>E199*G199</x:f>
        <x:v>0</x:v>
      </x:c>
      <x:c r="R199" s="18" t="n">
        <x:f>E199*H199</x:f>
        <x:v>0</x:v>
      </x:c>
      <x:c r="S199" s="2" t="n">
        <x:v>83</x:v>
      </x:c>
    </x:row>
    <x:row r="200" ht="21" customHeight="1">
      <x:c r="A200" s="36" t="n">
        <x:v>45658.854685</x:v>
      </x:c>
      <x:c r="B200" s="36" t="n">
        <x:v>45658.86458333333</x:v>
      </x:c>
      <x:c r="C200" s="36" t="n">
        <x:v>45658.854166666664</x:v>
      </x:c>
      <x:c r="D200" s="2" t="str">
        <x:v>0</x:v>
      </x:c>
      <x:c r="E200" s="18" t="n">
        <x:v>0.23756000000000002</x:v>
      </x:c>
      <x:c r="F200" s="18" t="n">
        <x:f>IF(D200="d",'两日价格与决策'!K89-'两日价格与决策'!N89,IF(D200="u",'两日价格与决策'!K89+'两日价格与决策'!M89,'两日价格与决策'!K89))</x:f>
        <x:v>0</x:v>
      </x:c>
      <x:c r="G200" s="18" t="n">
        <x:f>MAX(-F200,0)</x:f>
        <x:v>0</x:v>
      </x:c>
      <x:c r="H200" s="18" t="n">
        <x:f>MAX(F200,0)</x:f>
        <x:v>0</x:v>
      </x:c>
      <x:c r="I200" s="18" t="n">
        <x:f>J199</x:f>
        <x:v>10</x:v>
      </x:c>
      <x:c r="J200" s="18" t="n">
        <x:f>I200+E200*(G200*'原始输入与口径'!$D$5-H200/'原始输入与口径'!$D$5)</x:f>
        <x:v>10</x:v>
      </x:c>
      <x:c r="K200" s="18" t="n">
        <x:v>10</x:v>
      </x:c>
      <x:c r="L200" s="18" t="n">
        <x:v>10</x:v>
      </x:c>
      <x:c r="M200" s="18" t="n">
        <x:f>J200-L200</x:f>
        <x:v>0</x:v>
      </x:c>
      <x:c r="N200" s="18" t="n">
        <x:f>E200*(G200*'原始输入与口径'!$D$5+H200/'原始输入与口径'!$D$5)/'原始输入与口径'!$H$5</x:f>
        <x:v>0</x:v>
      </x:c>
      <x:c r="O200" s="18" t="n">
        <x:v>0</x:v>
      </x:c>
      <x:c r="P200" s="18" t="n">
        <x:f>N200-O200</x:f>
        <x:v>0</x:v>
      </x:c>
      <x:c r="Q200" s="18" t="n">
        <x:f>E200*G200</x:f>
        <x:v>0</x:v>
      </x:c>
      <x:c r="R200" s="18" t="n">
        <x:f>E200*H200</x:f>
        <x:v>0</x:v>
      </x:c>
      <x:c r="S200" s="2" t="n">
        <x:v>83</x:v>
      </x:c>
    </x:row>
    <x:row r="201" ht="21" customHeight="1">
      <x:c r="A201" s="36" t="n">
        <x:v>45658.864583333336</x:v>
      </x:c>
      <x:c r="B201" s="36" t="n">
        <x:v>45658.8661175</x:v>
      </x:c>
      <x:c r="C201" s="36" t="n">
        <x:v>45658.864583333336</x:v>
      </x:c>
      <x:c r="D201" s="2" t="str">
        <x:v>d</x:v>
      </x:c>
      <x:c r="E201" s="18" t="n">
        <x:v>0.03682</x:v>
      </x:c>
      <x:c r="F201" s="18" t="n">
        <x:f>IF(D201="d",'两日价格与决策'!K90-'两日价格与决策'!N90,IF(D201="u",'两日价格与决策'!K90+'两日价格与决策'!M90,'两日价格与决策'!K90))</x:f>
        <x:v>0</x:v>
      </x:c>
      <x:c r="G201" s="18" t="n">
        <x:f>MAX(-F201,0)</x:f>
        <x:v>0</x:v>
      </x:c>
      <x:c r="H201" s="18" t="n">
        <x:f>MAX(F201,0)</x:f>
        <x:v>0</x:v>
      </x:c>
      <x:c r="I201" s="18" t="n">
        <x:f>J200</x:f>
        <x:v>10</x:v>
      </x:c>
      <x:c r="J201" s="18" t="n">
        <x:f>I201+E201*(G201*'原始输入与口径'!$D$5-H201/'原始输入与口径'!$D$5)</x:f>
        <x:v>10</x:v>
      </x:c>
      <x:c r="K201" s="18" t="n">
        <x:v>10</x:v>
      </x:c>
      <x:c r="L201" s="18" t="n">
        <x:v>10</x:v>
      </x:c>
      <x:c r="M201" s="18" t="n">
        <x:f>J201-L201</x:f>
        <x:v>0</x:v>
      </x:c>
      <x:c r="N201" s="18" t="n">
        <x:f>E201*(G201*'原始输入与口径'!$D$5+H201/'原始输入与口径'!$D$5)/'原始输入与口径'!$H$5</x:f>
        <x:v>0</x:v>
      </x:c>
      <x:c r="O201" s="18" t="n">
        <x:v>0</x:v>
      </x:c>
      <x:c r="P201" s="18" t="n">
        <x:f>N201-O201</x:f>
        <x:v>0</x:v>
      </x:c>
      <x:c r="Q201" s="18" t="n">
        <x:f>E201*G201</x:f>
        <x:v>0</x:v>
      </x:c>
      <x:c r="R201" s="18" t="n">
        <x:f>E201*H201</x:f>
        <x:v>0</x:v>
      </x:c>
      <x:c r="S201" s="2" t="n">
        <x:v>84</x:v>
      </x:c>
    </x:row>
    <x:row r="202" ht="21" customHeight="1">
      <x:c r="A202" s="36" t="n">
        <x:v>45658.8661175</x:v>
      </x:c>
      <x:c r="B202" s="36" t="n">
        <x:v>45658.875</x:v>
      </x:c>
      <x:c r="C202" s="36" t="n">
        <x:v>45658.864583333336</x:v>
      </x:c>
      <x:c r="D202" s="2" t="str">
        <x:v>0</x:v>
      </x:c>
      <x:c r="E202" s="18" t="n">
        <x:v>0.21318</x:v>
      </x:c>
      <x:c r="F202" s="18" t="n">
        <x:f>IF(D202="d",'两日价格与决策'!K90-'两日价格与决策'!N90,IF(D202="u",'两日价格与决策'!K90+'两日价格与决策'!M90,'两日价格与决策'!K90))</x:f>
        <x:v>0</x:v>
      </x:c>
      <x:c r="G202" s="18" t="n">
        <x:f>MAX(-F202,0)</x:f>
        <x:v>0</x:v>
      </x:c>
      <x:c r="H202" s="18" t="n">
        <x:f>MAX(F202,0)</x:f>
        <x:v>0</x:v>
      </x:c>
      <x:c r="I202" s="18" t="n">
        <x:f>J201</x:f>
        <x:v>10</x:v>
      </x:c>
      <x:c r="J202" s="18" t="n">
        <x:f>I202+E202*(G202*'原始输入与口径'!$D$5-H202/'原始输入与口径'!$D$5)</x:f>
        <x:v>10</x:v>
      </x:c>
      <x:c r="K202" s="18" t="n">
        <x:v>10</x:v>
      </x:c>
      <x:c r="L202" s="18" t="n">
        <x:v>10</x:v>
      </x:c>
      <x:c r="M202" s="18" t="n">
        <x:f>J202-L202</x:f>
        <x:v>0</x:v>
      </x:c>
      <x:c r="N202" s="18" t="n">
        <x:f>E202*(G202*'原始输入与口径'!$D$5+H202/'原始输入与口径'!$D$5)/'原始输入与口径'!$H$5</x:f>
        <x:v>0</x:v>
      </x:c>
      <x:c r="O202" s="18" t="n">
        <x:v>0</x:v>
      </x:c>
      <x:c r="P202" s="18" t="n">
        <x:f>N202-O202</x:f>
        <x:v>0</x:v>
      </x:c>
      <x:c r="Q202" s="18" t="n">
        <x:f>E202*G202</x:f>
        <x:v>0</x:v>
      </x:c>
      <x:c r="R202" s="18" t="n">
        <x:f>E202*H202</x:f>
        <x:v>0</x:v>
      </x:c>
      <x:c r="S202" s="2" t="n">
        <x:v>84</x:v>
      </x:c>
    </x:row>
    <x:row r="203" ht="21" customHeight="1">
      <x:c r="A203" s="36" t="n">
        <x:v>45658.875</x:v>
      </x:c>
      <x:c r="B203" s="36" t="n">
        <x:v>45658.87532583333</x:v>
      </x:c>
      <x:c r="C203" s="36" t="n">
        <x:v>45658.875</x:v>
      </x:c>
      <x:c r="D203" s="2" t="str">
        <x:v>d</x:v>
      </x:c>
      <x:c r="E203" s="18" t="n">
        <x:v>0.00782</x:v>
      </x:c>
      <x:c r="F203" s="18" t="n">
        <x:f>IF(D203="d",'两日价格与决策'!K91-'两日价格与决策'!N91,IF(D203="u",'两日价格与决策'!K91+'两日价格与决策'!M91,'两日价格与决策'!K91))</x:f>
        <x:v>0</x:v>
      </x:c>
      <x:c r="G203" s="18" t="n">
        <x:f>MAX(-F203,0)</x:f>
        <x:v>0</x:v>
      </x:c>
      <x:c r="H203" s="18" t="n">
        <x:f>MAX(F203,0)</x:f>
        <x:v>0</x:v>
      </x:c>
      <x:c r="I203" s="18" t="n">
        <x:f>J202</x:f>
        <x:v>10</x:v>
      </x:c>
      <x:c r="J203" s="18" t="n">
        <x:f>I203+E203*(G203*'原始输入与口径'!$D$5-H203/'原始输入与口径'!$D$5)</x:f>
        <x:v>10</x:v>
      </x:c>
      <x:c r="K203" s="18" t="n">
        <x:v>10</x:v>
      </x:c>
      <x:c r="L203" s="18" t="n">
        <x:v>10</x:v>
      </x:c>
      <x:c r="M203" s="18" t="n">
        <x:f>J203-L203</x:f>
        <x:v>0</x:v>
      </x:c>
      <x:c r="N203" s="18" t="n">
        <x:f>E203*(G203*'原始输入与口径'!$D$5+H203/'原始输入与口径'!$D$5)/'原始输入与口径'!$H$5</x:f>
        <x:v>0</x:v>
      </x:c>
      <x:c r="O203" s="18" t="n">
        <x:v>0</x:v>
      </x:c>
      <x:c r="P203" s="18" t="n">
        <x:f>N203-O203</x:f>
        <x:v>0</x:v>
      </x:c>
      <x:c r="Q203" s="18" t="n">
        <x:f>E203*G203</x:f>
        <x:v>0</x:v>
      </x:c>
      <x:c r="R203" s="18" t="n">
        <x:f>E203*H203</x:f>
        <x:v>0</x:v>
      </x:c>
      <x:c r="S203" s="2" t="n">
        <x:v>85</x:v>
      </x:c>
    </x:row>
    <x:row r="204" ht="21" customHeight="1">
      <x:c r="A204" s="36" t="n">
        <x:v>45658.87532583333</x:v>
      </x:c>
      <x:c r="B204" s="36" t="n">
        <x:v>45658.885416666664</x:v>
      </x:c>
      <x:c r="C204" s="36" t="n">
        <x:v>45658.875</x:v>
      </x:c>
      <x:c r="D204" s="2" t="str">
        <x:v>0</x:v>
      </x:c>
      <x:c r="E204" s="18" t="n">
        <x:v>0.24218</x:v>
      </x:c>
      <x:c r="F204" s="18" t="n">
        <x:f>IF(D204="d",'两日价格与决策'!K91-'两日价格与决策'!N91,IF(D204="u",'两日价格与决策'!K91+'两日价格与决策'!M91,'两日价格与决策'!K91))</x:f>
        <x:v>0</x:v>
      </x:c>
      <x:c r="G204" s="18" t="n">
        <x:f>MAX(-F204,0)</x:f>
        <x:v>0</x:v>
      </x:c>
      <x:c r="H204" s="18" t="n">
        <x:f>MAX(F204,0)</x:f>
        <x:v>0</x:v>
      </x:c>
      <x:c r="I204" s="18" t="n">
        <x:f>J203</x:f>
        <x:v>10</x:v>
      </x:c>
      <x:c r="J204" s="18" t="n">
        <x:f>I204+E204*(G204*'原始输入与口径'!$D$5-H204/'原始输入与口径'!$D$5)</x:f>
        <x:v>10</x:v>
      </x:c>
      <x:c r="K204" s="18" t="n">
        <x:v>10</x:v>
      </x:c>
      <x:c r="L204" s="18" t="n">
        <x:v>10</x:v>
      </x:c>
      <x:c r="M204" s="18" t="n">
        <x:f>J204-L204</x:f>
        <x:v>0</x:v>
      </x:c>
      <x:c r="N204" s="18" t="n">
        <x:f>E204*(G204*'原始输入与口径'!$D$5+H204/'原始输入与口径'!$D$5)/'原始输入与口径'!$H$5</x:f>
        <x:v>0</x:v>
      </x:c>
      <x:c r="O204" s="18" t="n">
        <x:v>0</x:v>
      </x:c>
      <x:c r="P204" s="18" t="n">
        <x:f>N204-O204</x:f>
        <x:v>0</x:v>
      </x:c>
      <x:c r="Q204" s="18" t="n">
        <x:f>E204*G204</x:f>
        <x:v>0</x:v>
      </x:c>
      <x:c r="R204" s="18" t="n">
        <x:f>E204*H204</x:f>
        <x:v>0</x:v>
      </x:c>
      <x:c r="S204" s="2" t="n">
        <x:v>85</x:v>
      </x:c>
    </x:row>
    <x:row r="205" ht="21" customHeight="1">
      <x:c r="A205" s="36" t="n">
        <x:v>45658.885416666664</x:v>
      </x:c>
      <x:c r="B205" s="36" t="n">
        <x:v>45658.885713958334</x:v>
      </x:c>
      <x:c r="C205" s="36" t="n">
        <x:v>45658.885416666664</x:v>
      </x:c>
      <x:c r="D205" s="2" t="str">
        <x:v>d</x:v>
      </x:c>
      <x:c r="E205" s="18" t="n">
        <x:v>0.007135</x:v>
      </x:c>
      <x:c r="F205" s="18" t="n">
        <x:f>IF(D205="d",'两日价格与决策'!K92-'两日价格与决策'!N92,IF(D205="u",'两日价格与决策'!K92+'两日价格与决策'!M92,'两日价格与决策'!K92))</x:f>
        <x:v>0</x:v>
      </x:c>
      <x:c r="G205" s="18" t="n">
        <x:f>MAX(-F205,0)</x:f>
        <x:v>0</x:v>
      </x:c>
      <x:c r="H205" s="18" t="n">
        <x:f>MAX(F205,0)</x:f>
        <x:v>0</x:v>
      </x:c>
      <x:c r="I205" s="18" t="n">
        <x:f>J204</x:f>
        <x:v>10</x:v>
      </x:c>
      <x:c r="J205" s="18" t="n">
        <x:f>I205+E205*(G205*'原始输入与口径'!$D$5-H205/'原始输入与口径'!$D$5)</x:f>
        <x:v>10</x:v>
      </x:c>
      <x:c r="K205" s="18" t="n">
        <x:v>10</x:v>
      </x:c>
      <x:c r="L205" s="18" t="n">
        <x:v>10</x:v>
      </x:c>
      <x:c r="M205" s="18" t="n">
        <x:f>J205-L205</x:f>
        <x:v>0</x:v>
      </x:c>
      <x:c r="N205" s="18" t="n">
        <x:f>E205*(G205*'原始输入与口径'!$D$5+H205/'原始输入与口径'!$D$5)/'原始输入与口径'!$H$5</x:f>
        <x:v>0</x:v>
      </x:c>
      <x:c r="O205" s="18" t="n">
        <x:v>0</x:v>
      </x:c>
      <x:c r="P205" s="18" t="n">
        <x:f>N205-O205</x:f>
        <x:v>0</x:v>
      </x:c>
      <x:c r="Q205" s="18" t="n">
        <x:f>E205*G205</x:f>
        <x:v>0</x:v>
      </x:c>
      <x:c r="R205" s="18" t="n">
        <x:f>E205*H205</x:f>
        <x:v>0</x:v>
      </x:c>
      <x:c r="S205" s="2" t="n">
        <x:v>86</x:v>
      </x:c>
    </x:row>
    <x:row r="206" ht="21" customHeight="1">
      <x:c r="A206" s="36" t="n">
        <x:v>45658.885713958334</x:v>
      </x:c>
      <x:c r="B206" s="36" t="n">
        <x:v>45658.89583333333</x:v>
      </x:c>
      <x:c r="C206" s="36" t="n">
        <x:v>45658.885416666664</x:v>
      </x:c>
      <x:c r="D206" s="2" t="str">
        <x:v>0</x:v>
      </x:c>
      <x:c r="E206" s="18" t="n">
        <x:v>0.242865</x:v>
      </x:c>
      <x:c r="F206" s="18" t="n">
        <x:f>IF(D206="d",'两日价格与决策'!K92-'两日价格与决策'!N92,IF(D206="u",'两日价格与决策'!K92+'两日价格与决策'!M92,'两日价格与决策'!K92))</x:f>
        <x:v>0</x:v>
      </x:c>
      <x:c r="G206" s="18" t="n">
        <x:f>MAX(-F206,0)</x:f>
        <x:v>0</x:v>
      </x:c>
      <x:c r="H206" s="18" t="n">
        <x:f>MAX(F206,0)</x:f>
        <x:v>0</x:v>
      </x:c>
      <x:c r="I206" s="18" t="n">
        <x:f>J205</x:f>
        <x:v>10</x:v>
      </x:c>
      <x:c r="J206" s="18" t="n">
        <x:f>I206+E206*(G206*'原始输入与口径'!$D$5-H206/'原始输入与口径'!$D$5)</x:f>
        <x:v>10</x:v>
      </x:c>
      <x:c r="K206" s="18" t="n">
        <x:v>10</x:v>
      </x:c>
      <x:c r="L206" s="18" t="n">
        <x:v>10</x:v>
      </x:c>
      <x:c r="M206" s="18" t="n">
        <x:f>J206-L206</x:f>
        <x:v>0</x:v>
      </x:c>
      <x:c r="N206" s="18" t="n">
        <x:f>E206*(G206*'原始输入与口径'!$D$5+H206/'原始输入与口径'!$D$5)/'原始输入与口径'!$H$5</x:f>
        <x:v>0</x:v>
      </x:c>
      <x:c r="O206" s="18" t="n">
        <x:v>0</x:v>
      </x:c>
      <x:c r="P206" s="18" t="n">
        <x:f>N206-O206</x:f>
        <x:v>0</x:v>
      </x:c>
      <x:c r="Q206" s="18" t="n">
        <x:f>E206*G206</x:f>
        <x:v>0</x:v>
      </x:c>
      <x:c r="R206" s="18" t="n">
        <x:f>E206*H206</x:f>
        <x:v>0</x:v>
      </x:c>
      <x:c r="S206" s="2" t="n">
        <x:v>86</x:v>
      </x:c>
    </x:row>
    <x:row r="207" ht="21" customHeight="1">
      <x:c r="A207" s="36" t="n">
        <x:v>45658.895833333336</x:v>
      </x:c>
      <x:c r="B207" s="36" t="n">
        <x:v>45658.89586520834</x:v>
      </x:c>
      <x:c r="C207" s="36" t="n">
        <x:v>45658.895833333336</x:v>
      </x:c>
      <x:c r="D207" s="2" t="str">
        <x:v>d</x:v>
      </x:c>
      <x:c r="E207" s="18" t="n">
        <x:v>0.000765</x:v>
      </x:c>
      <x:c r="F207" s="18" t="n">
        <x:f>IF(D207="d",'两日价格与决策'!K93-'两日价格与决策'!N93,IF(D207="u",'两日价格与决策'!K93+'两日价格与决策'!M93,'两日价格与决策'!K93))</x:f>
        <x:v>0</x:v>
      </x:c>
      <x:c r="G207" s="18" t="n">
        <x:f>MAX(-F207,0)</x:f>
        <x:v>0</x:v>
      </x:c>
      <x:c r="H207" s="18" t="n">
        <x:f>MAX(F207,0)</x:f>
        <x:v>0</x:v>
      </x:c>
      <x:c r="I207" s="18" t="n">
        <x:f>J206</x:f>
        <x:v>10</x:v>
      </x:c>
      <x:c r="J207" s="18" t="n">
        <x:f>I207+E207*(G207*'原始输入与口径'!$D$5-H207/'原始输入与口径'!$D$5)</x:f>
        <x:v>10</x:v>
      </x:c>
      <x:c r="K207" s="18" t="n">
        <x:v>10</x:v>
      </x:c>
      <x:c r="L207" s="18" t="n">
        <x:v>10</x:v>
      </x:c>
      <x:c r="M207" s="18" t="n">
        <x:f>J207-L207</x:f>
        <x:v>0</x:v>
      </x:c>
      <x:c r="N207" s="18" t="n">
        <x:f>E207*(G207*'原始输入与口径'!$D$5+H207/'原始输入与口径'!$D$5)/'原始输入与口径'!$H$5</x:f>
        <x:v>0</x:v>
      </x:c>
      <x:c r="O207" s="18" t="n">
        <x:v>0</x:v>
      </x:c>
      <x:c r="P207" s="18" t="n">
        <x:f>N207-O207</x:f>
        <x:v>0</x:v>
      </x:c>
      <x:c r="Q207" s="18" t="n">
        <x:f>E207*G207</x:f>
        <x:v>0</x:v>
      </x:c>
      <x:c r="R207" s="18" t="n">
        <x:f>E207*H207</x:f>
        <x:v>0</x:v>
      </x:c>
      <x:c r="S207" s="2" t="n">
        <x:v>87</x:v>
      </x:c>
    </x:row>
    <x:row r="208" ht="21" customHeight="1">
      <x:c r="A208" s="36" t="n">
        <x:v>45658.89586520834</x:v>
      </x:c>
      <x:c r="B208" s="36" t="n">
        <x:v>45658.89588520834</x:v>
      </x:c>
      <x:c r="C208" s="36" t="n">
        <x:v>45658.895833333336</x:v>
      </x:c>
      <x:c r="D208" s="2" t="str">
        <x:v>u</x:v>
      </x:c>
      <x:c r="E208" s="18" t="n">
        <x:v>0.00048</x:v>
      </x:c>
      <x:c r="F208" s="18" t="n">
        <x:f>IF(D208="d",'两日价格与决策'!K93-'两日价格与决策'!N93,IF(D208="u",'两日价格与决策'!K93+'两日价格与决策'!M93,'两日价格与决策'!K93))</x:f>
        <x:v>0</x:v>
      </x:c>
      <x:c r="G208" s="18" t="n">
        <x:f>MAX(-F208,0)</x:f>
        <x:v>0</x:v>
      </x:c>
      <x:c r="H208" s="18" t="n">
        <x:f>MAX(F208,0)</x:f>
        <x:v>0</x:v>
      </x:c>
      <x:c r="I208" s="18" t="n">
        <x:f>J207</x:f>
        <x:v>10</x:v>
      </x:c>
      <x:c r="J208" s="18" t="n">
        <x:f>I208+E208*(G208*'原始输入与口径'!$D$5-H208/'原始输入与口径'!$D$5)</x:f>
        <x:v>10</x:v>
      </x:c>
      <x:c r="K208" s="18" t="n">
        <x:v>10</x:v>
      </x:c>
      <x:c r="L208" s="18" t="n">
        <x:v>10</x:v>
      </x:c>
      <x:c r="M208" s="18" t="n">
        <x:f>J208-L208</x:f>
        <x:v>0</x:v>
      </x:c>
      <x:c r="N208" s="18" t="n">
        <x:f>E208*(G208*'原始输入与口径'!$D$5+H208/'原始输入与口径'!$D$5)/'原始输入与口径'!$H$5</x:f>
        <x:v>0</x:v>
      </x:c>
      <x:c r="O208" s="18" t="n">
        <x:v>0</x:v>
      </x:c>
      <x:c r="P208" s="18" t="n">
        <x:f>N208-O208</x:f>
        <x:v>0</x:v>
      </x:c>
      <x:c r="Q208" s="18" t="n">
        <x:f>E208*G208</x:f>
        <x:v>0</x:v>
      </x:c>
      <x:c r="R208" s="18" t="n">
        <x:f>E208*H208</x:f>
        <x:v>0</x:v>
      </x:c>
      <x:c r="S208" s="2" t="n">
        <x:v>87</x:v>
      </x:c>
    </x:row>
    <x:row r="209" ht="21" customHeight="1">
      <x:c r="A209" s="36" t="n">
        <x:v>45658.89588520834</x:v>
      </x:c>
      <x:c r="B209" s="36" t="n">
        <x:v>45658.90625</x:v>
      </x:c>
      <x:c r="C209" s="36" t="n">
        <x:v>45658.895833333336</x:v>
      </x:c>
      <x:c r="D209" s="2" t="str">
        <x:v>0</x:v>
      </x:c>
      <x:c r="E209" s="18" t="n">
        <x:v>0.248755</x:v>
      </x:c>
      <x:c r="F209" s="18" t="n">
        <x:f>IF(D209="d",'两日价格与决策'!K93-'两日价格与决策'!N93,IF(D209="u",'两日价格与决策'!K93+'两日价格与决策'!M93,'两日价格与决策'!K93))</x:f>
        <x:v>0</x:v>
      </x:c>
      <x:c r="G209" s="18" t="n">
        <x:f>MAX(-F209,0)</x:f>
        <x:v>0</x:v>
      </x:c>
      <x:c r="H209" s="18" t="n">
        <x:f>MAX(F209,0)</x:f>
        <x:v>0</x:v>
      </x:c>
      <x:c r="I209" s="18" t="n">
        <x:f>J208</x:f>
        <x:v>10</x:v>
      </x:c>
      <x:c r="J209" s="18" t="n">
        <x:f>I209+E209*(G209*'原始输入与口径'!$D$5-H209/'原始输入与口径'!$D$5)</x:f>
        <x:v>10</x:v>
      </x:c>
      <x:c r="K209" s="18" t="n">
        <x:v>10</x:v>
      </x:c>
      <x:c r="L209" s="18" t="n">
        <x:v>10</x:v>
      </x:c>
      <x:c r="M209" s="18" t="n">
        <x:f>J209-L209</x:f>
        <x:v>0</x:v>
      </x:c>
      <x:c r="N209" s="18" t="n">
        <x:f>E209*(G209*'原始输入与口径'!$D$5+H209/'原始输入与口径'!$D$5)/'原始输入与口径'!$H$5</x:f>
        <x:v>0</x:v>
      </x:c>
      <x:c r="O209" s="18" t="n">
        <x:v>0</x:v>
      </x:c>
      <x:c r="P209" s="18" t="n">
        <x:f>N209-O209</x:f>
        <x:v>0</x:v>
      </x:c>
      <x:c r="Q209" s="18" t="n">
        <x:f>E209*G209</x:f>
        <x:v>0</x:v>
      </x:c>
      <x:c r="R209" s="18" t="n">
        <x:f>E209*H209</x:f>
        <x:v>0</x:v>
      </x:c>
      <x:c r="S209" s="2" t="n">
        <x:v>87</x:v>
      </x:c>
    </x:row>
    <x:row r="210" ht="21" customHeight="1">
      <x:c r="A210" s="36" t="n">
        <x:v>45658.90625</x:v>
      </x:c>
      <x:c r="B210" s="36" t="n">
        <x:v>45658.906250416665</x:v>
      </x:c>
      <x:c r="C210" s="36" t="n">
        <x:v>45658.90625</x:v>
      </x:c>
      <x:c r="D210" s="2" t="str">
        <x:v>d</x:v>
      </x:c>
      <x:c r="E210" s="18" t="n">
        <x:v>0.00001</x:v>
      </x:c>
      <x:c r="F210" s="18" t="n">
        <x:f>IF(D210="d",'两日价格与决策'!K94-'两日价格与决策'!N94,IF(D210="u",'两日价格与决策'!K94+'两日价格与决策'!M94,'两日价格与决策'!K94))</x:f>
        <x:v>0</x:v>
      </x:c>
      <x:c r="G210" s="18" t="n">
        <x:f>MAX(-F210,0)</x:f>
        <x:v>0</x:v>
      </x:c>
      <x:c r="H210" s="18" t="n">
        <x:f>MAX(F210,0)</x:f>
        <x:v>0</x:v>
      </x:c>
      <x:c r="I210" s="18" t="n">
        <x:f>J209</x:f>
        <x:v>10</x:v>
      </x:c>
      <x:c r="J210" s="18" t="n">
        <x:f>I210+E210*(G210*'原始输入与口径'!$D$5-H210/'原始输入与口径'!$D$5)</x:f>
        <x:v>10</x:v>
      </x:c>
      <x:c r="K210" s="18" t="n">
        <x:v>10</x:v>
      </x:c>
      <x:c r="L210" s="18" t="n">
        <x:v>10</x:v>
      </x:c>
      <x:c r="M210" s="18" t="n">
        <x:f>J210-L210</x:f>
        <x:v>0</x:v>
      </x:c>
      <x:c r="N210" s="18" t="n">
        <x:f>E210*(G210*'原始输入与口径'!$D$5+H210/'原始输入与口径'!$D$5)/'原始输入与口径'!$H$5</x:f>
        <x:v>0</x:v>
      </x:c>
      <x:c r="O210" s="18" t="n">
        <x:v>0</x:v>
      </x:c>
      <x:c r="P210" s="18" t="n">
        <x:f>N210-O210</x:f>
        <x:v>0</x:v>
      </x:c>
      <x:c r="Q210" s="18" t="n">
        <x:f>E210*G210</x:f>
        <x:v>0</x:v>
      </x:c>
      <x:c r="R210" s="18" t="n">
        <x:f>E210*H210</x:f>
        <x:v>0</x:v>
      </x:c>
      <x:c r="S210" s="2" t="n">
        <x:v>88</x:v>
      </x:c>
    </x:row>
    <x:row r="211" ht="21" customHeight="1">
      <x:c r="A211" s="36" t="n">
        <x:v>45658.906250416665</x:v>
      </x:c>
      <x:c r="B211" s="36" t="n">
        <x:v>45658.906391041666</x:v>
      </x:c>
      <x:c r="C211" s="36" t="n">
        <x:v>45658.90625</x:v>
      </x:c>
      <x:c r="D211" s="2" t="str">
        <x:v>u</x:v>
      </x:c>
      <x:c r="E211" s="18" t="n">
        <x:v>0.0033750000000000004</x:v>
      </x:c>
      <x:c r="F211" s="18" t="n">
        <x:f>IF(D211="d",'两日价格与决策'!K94-'两日价格与决策'!N94,IF(D211="u",'两日价格与决策'!K94+'两日价格与决策'!M94,'两日价格与决策'!K94))</x:f>
        <x:v>0</x:v>
      </x:c>
      <x:c r="G211" s="18" t="n">
        <x:f>MAX(-F211,0)</x:f>
        <x:v>0</x:v>
      </x:c>
      <x:c r="H211" s="18" t="n">
        <x:f>MAX(F211,0)</x:f>
        <x:v>0</x:v>
      </x:c>
      <x:c r="I211" s="18" t="n">
        <x:f>J210</x:f>
        <x:v>10</x:v>
      </x:c>
      <x:c r="J211" s="18" t="n">
        <x:f>I211+E211*(G211*'原始输入与口径'!$D$5-H211/'原始输入与口径'!$D$5)</x:f>
        <x:v>10</x:v>
      </x:c>
      <x:c r="K211" s="18" t="n">
        <x:v>10</x:v>
      </x:c>
      <x:c r="L211" s="18" t="n">
        <x:v>10</x:v>
      </x:c>
      <x:c r="M211" s="18" t="n">
        <x:f>J211-L211</x:f>
        <x:v>0</x:v>
      </x:c>
      <x:c r="N211" s="18" t="n">
        <x:f>E211*(G211*'原始输入与口径'!$D$5+H211/'原始输入与口径'!$D$5)/'原始输入与口径'!$H$5</x:f>
        <x:v>0</x:v>
      </x:c>
      <x:c r="O211" s="18" t="n">
        <x:v>0</x:v>
      </x:c>
      <x:c r="P211" s="18" t="n">
        <x:f>N211-O211</x:f>
        <x:v>0</x:v>
      </x:c>
      <x:c r="Q211" s="18" t="n">
        <x:f>E211*G211</x:f>
        <x:v>0</x:v>
      </x:c>
      <x:c r="R211" s="18" t="n">
        <x:f>E211*H211</x:f>
        <x:v>0</x:v>
      </x:c>
      <x:c r="S211" s="2" t="n">
        <x:v>88</x:v>
      </x:c>
    </x:row>
    <x:row r="212" ht="21" customHeight="1">
      <x:c r="A212" s="36" t="n">
        <x:v>45658.906391041666</x:v>
      </x:c>
      <x:c r="B212" s="36" t="n">
        <x:v>45658.916666666664</x:v>
      </x:c>
      <x:c r="C212" s="36" t="n">
        <x:v>45658.90625</x:v>
      </x:c>
      <x:c r="D212" s="2" t="str">
        <x:v>0</x:v>
      </x:c>
      <x:c r="E212" s="18" t="n">
        <x:v>0.246615</x:v>
      </x:c>
      <x:c r="F212" s="18" t="n">
        <x:f>IF(D212="d",'两日价格与决策'!K94-'两日价格与决策'!N94,IF(D212="u",'两日价格与决策'!K94+'两日价格与决策'!M94,'两日价格与决策'!K94))</x:f>
        <x:v>0</x:v>
      </x:c>
      <x:c r="G212" s="18" t="n">
        <x:f>MAX(-F212,0)</x:f>
        <x:v>0</x:v>
      </x:c>
      <x:c r="H212" s="18" t="n">
        <x:f>MAX(F212,0)</x:f>
        <x:v>0</x:v>
      </x:c>
      <x:c r="I212" s="18" t="n">
        <x:f>J211</x:f>
        <x:v>10</x:v>
      </x:c>
      <x:c r="J212" s="18" t="n">
        <x:f>I212+E212*(G212*'原始输入与口径'!$D$5-H212/'原始输入与口径'!$D$5)</x:f>
        <x:v>10</x:v>
      </x:c>
      <x:c r="K212" s="18" t="n">
        <x:v>10</x:v>
      </x:c>
      <x:c r="L212" s="18" t="n">
        <x:v>10</x:v>
      </x:c>
      <x:c r="M212" s="18" t="n">
        <x:f>J212-L212</x:f>
        <x:v>0</x:v>
      </x:c>
      <x:c r="N212" s="18" t="n">
        <x:f>E212*(G212*'原始输入与口径'!$D$5+H212/'原始输入与口径'!$D$5)/'原始输入与口径'!$H$5</x:f>
        <x:v>0</x:v>
      </x:c>
      <x:c r="O212" s="18" t="n">
        <x:v>0</x:v>
      </x:c>
      <x:c r="P212" s="18" t="n">
        <x:f>N212-O212</x:f>
        <x:v>0</x:v>
      </x:c>
      <x:c r="Q212" s="18" t="n">
        <x:f>E212*G212</x:f>
        <x:v>0</x:v>
      </x:c>
      <x:c r="R212" s="18" t="n">
        <x:f>E212*H212</x:f>
        <x:v>0</x:v>
      </x:c>
      <x:c r="S212" s="2" t="n">
        <x:v>88</x:v>
      </x:c>
    </x:row>
    <x:row r="213" ht="21" customHeight="1">
      <x:c r="A213" s="36" t="n">
        <x:v>45658.916666666664</x:v>
      </x:c>
      <x:c r="B213" s="36" t="n">
        <x:v>45658.919975624995</x:v>
      </x:c>
      <x:c r="C213" s="36" t="n">
        <x:v>45658.916666666664</x:v>
      </x:c>
      <x:c r="D213" s="2" t="str">
        <x:v>u</x:v>
      </x:c>
      <x:c r="E213" s="18" t="n">
        <x:v>0.079415</x:v>
      </x:c>
      <x:c r="F213" s="18" t="n">
        <x:f>IF(D213="d",'两日价格与决策'!K95-'两日价格与决策'!N95,IF(D213="u",'两日价格与决策'!K95+'两日价格与决策'!M95,'两日价格与决策'!K95))</x:f>
        <x:v>0</x:v>
      </x:c>
      <x:c r="G213" s="18" t="n">
        <x:f>MAX(-F213,0)</x:f>
        <x:v>0</x:v>
      </x:c>
      <x:c r="H213" s="18" t="n">
        <x:f>MAX(F213,0)</x:f>
        <x:v>0</x:v>
      </x:c>
      <x:c r="I213" s="18" t="n">
        <x:f>J212</x:f>
        <x:v>10</x:v>
      </x:c>
      <x:c r="J213" s="18" t="n">
        <x:f>I213+E213*(G213*'原始输入与口径'!$D$5-H213/'原始输入与口径'!$D$5)</x:f>
        <x:v>10</x:v>
      </x:c>
      <x:c r="K213" s="18" t="n">
        <x:v>10</x:v>
      </x:c>
      <x:c r="L213" s="18" t="n">
        <x:v>10</x:v>
      </x:c>
      <x:c r="M213" s="18" t="n">
        <x:f>J213-L213</x:f>
        <x:v>0</x:v>
      </x:c>
      <x:c r="N213" s="18" t="n">
        <x:f>E213*(G213*'原始输入与口径'!$D$5+H213/'原始输入与口径'!$D$5)/'原始输入与口径'!$H$5</x:f>
        <x:v>0</x:v>
      </x:c>
      <x:c r="O213" s="18" t="n">
        <x:v>0</x:v>
      </x:c>
      <x:c r="P213" s="18" t="n">
        <x:f>N213-O213</x:f>
        <x:v>0</x:v>
      </x:c>
      <x:c r="Q213" s="18" t="n">
        <x:f>E213*G213</x:f>
        <x:v>0</x:v>
      </x:c>
      <x:c r="R213" s="18" t="n">
        <x:f>E213*H213</x:f>
        <x:v>0</x:v>
      </x:c>
      <x:c r="S213" s="2" t="n">
        <x:v>89</x:v>
      </x:c>
    </x:row>
    <x:row r="214" ht="21" customHeight="1">
      <x:c r="A214" s="36" t="n">
        <x:v>45658.919975624995</x:v>
      </x:c>
      <x:c r="B214" s="36" t="n">
        <x:v>45658.92708333333</x:v>
      </x:c>
      <x:c r="C214" s="36" t="n">
        <x:v>45658.916666666664</x:v>
      </x:c>
      <x:c r="D214" s="2" t="str">
        <x:v>0</x:v>
      </x:c>
      <x:c r="E214" s="18" t="n">
        <x:v>0.170585</x:v>
      </x:c>
      <x:c r="F214" s="18" t="n">
        <x:f>IF(D214="d",'两日价格与决策'!K95-'两日价格与决策'!N95,IF(D214="u",'两日价格与决策'!K95+'两日价格与决策'!M95,'两日价格与决策'!K95))</x:f>
        <x:v>0</x:v>
      </x:c>
      <x:c r="G214" s="18" t="n">
        <x:f>MAX(-F214,0)</x:f>
        <x:v>0</x:v>
      </x:c>
      <x:c r="H214" s="18" t="n">
        <x:f>MAX(F214,0)</x:f>
        <x:v>0</x:v>
      </x:c>
      <x:c r="I214" s="18" t="n">
        <x:f>J213</x:f>
        <x:v>10</x:v>
      </x:c>
      <x:c r="J214" s="18" t="n">
        <x:f>I214+E214*(G214*'原始输入与口径'!$D$5-H214/'原始输入与口径'!$D$5)</x:f>
        <x:v>10</x:v>
      </x:c>
      <x:c r="K214" s="18" t="n">
        <x:v>10</x:v>
      </x:c>
      <x:c r="L214" s="18" t="n">
        <x:v>10</x:v>
      </x:c>
      <x:c r="M214" s="18" t="n">
        <x:f>J214-L214</x:f>
        <x:v>0</x:v>
      </x:c>
      <x:c r="N214" s="18" t="n">
        <x:f>E214*(G214*'原始输入与口径'!$D$5+H214/'原始输入与口径'!$D$5)/'原始输入与口径'!$H$5</x:f>
        <x:v>0</x:v>
      </x:c>
      <x:c r="O214" s="18" t="n">
        <x:v>0</x:v>
      </x:c>
      <x:c r="P214" s="18" t="n">
        <x:f>N214-O214</x:f>
        <x:v>0</x:v>
      </x:c>
      <x:c r="Q214" s="18" t="n">
        <x:f>E214*G214</x:f>
        <x:v>0</x:v>
      </x:c>
      <x:c r="R214" s="18" t="n">
        <x:f>E214*H214</x:f>
        <x:v>0</x:v>
      </x:c>
      <x:c r="S214" s="2" t="n">
        <x:v>89</x:v>
      </x:c>
    </x:row>
    <x:row r="215" ht="21" customHeight="1">
      <x:c r="A215" s="36" t="n">
        <x:v>45658.927083333336</x:v>
      </x:c>
      <x:c r="B215" s="36" t="n">
        <x:v>45658.92918041667</x:v>
      </x:c>
      <x:c r="C215" s="36" t="n">
        <x:v>45658.927083333336</x:v>
      </x:c>
      <x:c r="D215" s="2" t="str">
        <x:v>u</x:v>
      </x:c>
      <x:c r="E215" s="18" t="n">
        <x:v>0.05033000000000001</x:v>
      </x:c>
      <x:c r="F215" s="18" t="n">
        <x:f>IF(D215="d",'两日价格与决策'!K96-'两日价格与决策'!N96,IF(D215="u",'两日价格与决策'!K96+'两日价格与决策'!M96,'两日价格与决策'!K96))</x:f>
        <x:v>0</x:v>
      </x:c>
      <x:c r="G215" s="18" t="n">
        <x:f>MAX(-F215,0)</x:f>
        <x:v>0</x:v>
      </x:c>
      <x:c r="H215" s="18" t="n">
        <x:f>MAX(F215,0)</x:f>
        <x:v>0</x:v>
      </x:c>
      <x:c r="I215" s="18" t="n">
        <x:f>J214</x:f>
        <x:v>10</x:v>
      </x:c>
      <x:c r="J215" s="18" t="n">
        <x:f>I215+E215*(G215*'原始输入与口径'!$D$5-H215/'原始输入与口径'!$D$5)</x:f>
        <x:v>10</x:v>
      </x:c>
      <x:c r="K215" s="18" t="n">
        <x:v>10</x:v>
      </x:c>
      <x:c r="L215" s="18" t="n">
        <x:v>10</x:v>
      </x:c>
      <x:c r="M215" s="18" t="n">
        <x:f>J215-L215</x:f>
        <x:v>0</x:v>
      </x:c>
      <x:c r="N215" s="18" t="n">
        <x:f>E215*(G215*'原始输入与口径'!$D$5+H215/'原始输入与口径'!$D$5)/'原始输入与口径'!$H$5</x:f>
        <x:v>0</x:v>
      </x:c>
      <x:c r="O215" s="18" t="n">
        <x:v>0</x:v>
      </x:c>
      <x:c r="P215" s="18" t="n">
        <x:f>N215-O215</x:f>
        <x:v>0</x:v>
      </x:c>
      <x:c r="Q215" s="18" t="n">
        <x:f>E215*G215</x:f>
        <x:v>0</x:v>
      </x:c>
      <x:c r="R215" s="18" t="n">
        <x:f>E215*H215</x:f>
        <x:v>0</x:v>
      </x:c>
      <x:c r="S215" s="2" t="n">
        <x:v>90</x:v>
      </x:c>
    </x:row>
    <x:row r="216" ht="21" customHeight="1">
      <x:c r="A216" s="36" t="n">
        <x:v>45658.92918041667</x:v>
      </x:c>
      <x:c r="B216" s="36" t="n">
        <x:v>45658.9375</x:v>
      </x:c>
      <x:c r="C216" s="36" t="n">
        <x:v>45658.927083333336</x:v>
      </x:c>
      <x:c r="D216" s="2" t="str">
        <x:v>0</x:v>
      </x:c>
      <x:c r="E216" s="18" t="n">
        <x:v>0.19967</x:v>
      </x:c>
      <x:c r="F216" s="18" t="n">
        <x:f>IF(D216="d",'两日价格与决策'!K96-'两日价格与决策'!N96,IF(D216="u",'两日价格与决策'!K96+'两日价格与决策'!M96,'两日价格与决策'!K96))</x:f>
        <x:v>0</x:v>
      </x:c>
      <x:c r="G216" s="18" t="n">
        <x:f>MAX(-F216,0)</x:f>
        <x:v>0</x:v>
      </x:c>
      <x:c r="H216" s="18" t="n">
        <x:f>MAX(F216,0)</x:f>
        <x:v>0</x:v>
      </x:c>
      <x:c r="I216" s="18" t="n">
        <x:f>J215</x:f>
        <x:v>10</x:v>
      </x:c>
      <x:c r="J216" s="18" t="n">
        <x:f>I216+E216*(G216*'原始输入与口径'!$D$5-H216/'原始输入与口径'!$D$5)</x:f>
        <x:v>10</x:v>
      </x:c>
      <x:c r="K216" s="18" t="n">
        <x:v>10</x:v>
      </x:c>
      <x:c r="L216" s="18" t="n">
        <x:v>10</x:v>
      </x:c>
      <x:c r="M216" s="18" t="n">
        <x:f>J216-L216</x:f>
        <x:v>0</x:v>
      </x:c>
      <x:c r="N216" s="18" t="n">
        <x:f>E216*(G216*'原始输入与口径'!$D$5+H216/'原始输入与口径'!$D$5)/'原始输入与口径'!$H$5</x:f>
        <x:v>0</x:v>
      </x:c>
      <x:c r="O216" s="18" t="n">
        <x:v>0</x:v>
      </x:c>
      <x:c r="P216" s="18" t="n">
        <x:f>N216-O216</x:f>
        <x:v>0</x:v>
      </x:c>
      <x:c r="Q216" s="18" t="n">
        <x:f>E216*G216</x:f>
        <x:v>0</x:v>
      </x:c>
      <x:c r="R216" s="18" t="n">
        <x:f>E216*H216</x:f>
        <x:v>0</x:v>
      </x:c>
      <x:c r="S216" s="2" t="n">
        <x:v>90</x:v>
      </x:c>
    </x:row>
    <x:row r="217" ht="21" customHeight="1">
      <x:c r="A217" s="36" t="n">
        <x:v>45658.9375</x:v>
      </x:c>
      <x:c r="B217" s="36" t="n">
        <x:v>45658.93750958333</x:v>
      </x:c>
      <x:c r="C217" s="36" t="n">
        <x:v>45658.9375</x:v>
      </x:c>
      <x:c r="D217" s="2" t="str">
        <x:v>d</x:v>
      </x:c>
      <x:c r="E217" s="18" t="n">
        <x:v>0.00023</x:v>
      </x:c>
      <x:c r="F217" s="18" t="n">
        <x:f>IF(D217="d",'两日价格与决策'!K97-'两日价格与决策'!N97,IF(D217="u",'两日价格与决策'!K97+'两日价格与决策'!M97,'两日价格与决策'!K97))</x:f>
        <x:v>0</x:v>
      </x:c>
      <x:c r="G217" s="18" t="n">
        <x:f>MAX(-F217,0)</x:f>
        <x:v>0</x:v>
      </x:c>
      <x:c r="H217" s="18" t="n">
        <x:f>MAX(F217,0)</x:f>
        <x:v>0</x:v>
      </x:c>
      <x:c r="I217" s="18" t="n">
        <x:f>J216</x:f>
        <x:v>10</x:v>
      </x:c>
      <x:c r="J217" s="18" t="n">
        <x:f>I217+E217*(G217*'原始输入与口径'!$D$5-H217/'原始输入与口径'!$D$5)</x:f>
        <x:v>10</x:v>
      </x:c>
      <x:c r="K217" s="18" t="n">
        <x:v>10</x:v>
      </x:c>
      <x:c r="L217" s="18" t="n">
        <x:v>10</x:v>
      </x:c>
      <x:c r="M217" s="18" t="n">
        <x:f>J217-L217</x:f>
        <x:v>0</x:v>
      </x:c>
      <x:c r="N217" s="18" t="n">
        <x:f>E217*(G217*'原始输入与口径'!$D$5+H217/'原始输入与口径'!$D$5)/'原始输入与口径'!$H$5</x:f>
        <x:v>0</x:v>
      </x:c>
      <x:c r="O217" s="18" t="n">
        <x:v>0</x:v>
      </x:c>
      <x:c r="P217" s="18" t="n">
        <x:f>N217-O217</x:f>
        <x:v>0</x:v>
      </x:c>
      <x:c r="Q217" s="18" t="n">
        <x:f>E217*G217</x:f>
        <x:v>0</x:v>
      </x:c>
      <x:c r="R217" s="18" t="n">
        <x:f>E217*H217</x:f>
        <x:v>0</x:v>
      </x:c>
      <x:c r="S217" s="2" t="n">
        <x:v>91</x:v>
      </x:c>
    </x:row>
    <x:row r="218" ht="21" customHeight="1">
      <x:c r="A218" s="36" t="n">
        <x:v>45658.93750958333</x:v>
      </x:c>
      <x:c r="B218" s="36" t="n">
        <x:v>45658.93822229167</x:v>
      </x:c>
      <x:c r="C218" s="36" t="n">
        <x:v>45658.9375</x:v>
      </x:c>
      <x:c r="D218" s="2" t="str">
        <x:v>u</x:v>
      </x:c>
      <x:c r="E218" s="18" t="n">
        <x:v>0.017105</x:v>
      </x:c>
      <x:c r="F218" s="18" t="n">
        <x:f>IF(D218="d",'两日价格与决策'!K97-'两日价格与决策'!N97,IF(D218="u",'两日价格与决策'!K97+'两日价格与决策'!M97,'两日价格与决策'!K97))</x:f>
        <x:v>0</x:v>
      </x:c>
      <x:c r="G218" s="18" t="n">
        <x:f>MAX(-F218,0)</x:f>
        <x:v>0</x:v>
      </x:c>
      <x:c r="H218" s="18" t="n">
        <x:f>MAX(F218,0)</x:f>
        <x:v>0</x:v>
      </x:c>
      <x:c r="I218" s="18" t="n">
        <x:f>J217</x:f>
        <x:v>10</x:v>
      </x:c>
      <x:c r="J218" s="18" t="n">
        <x:f>I218+E218*(G218*'原始输入与口径'!$D$5-H218/'原始输入与口径'!$D$5)</x:f>
        <x:v>10</x:v>
      </x:c>
      <x:c r="K218" s="18" t="n">
        <x:v>10</x:v>
      </x:c>
      <x:c r="L218" s="18" t="n">
        <x:v>10</x:v>
      </x:c>
      <x:c r="M218" s="18" t="n">
        <x:f>J218-L218</x:f>
        <x:v>0</x:v>
      </x:c>
      <x:c r="N218" s="18" t="n">
        <x:f>E218*(G218*'原始输入与口径'!$D$5+H218/'原始输入与口径'!$D$5)/'原始输入与口径'!$H$5</x:f>
        <x:v>0</x:v>
      </x:c>
      <x:c r="O218" s="18" t="n">
        <x:v>0</x:v>
      </x:c>
      <x:c r="P218" s="18" t="n">
        <x:f>N218-O218</x:f>
        <x:v>0</x:v>
      </x:c>
      <x:c r="Q218" s="18" t="n">
        <x:f>E218*G218</x:f>
        <x:v>0</x:v>
      </x:c>
      <x:c r="R218" s="18" t="n">
        <x:f>E218*H218</x:f>
        <x:v>0</x:v>
      </x:c>
      <x:c r="S218" s="2" t="n">
        <x:v>91</x:v>
      </x:c>
    </x:row>
    <x:row r="219" ht="21" customHeight="1">
      <x:c r="A219" s="36" t="n">
        <x:v>45658.93822229167</x:v>
      </x:c>
      <x:c r="B219" s="36" t="n">
        <x:v>45658.947916666664</x:v>
      </x:c>
      <x:c r="C219" s="36" t="n">
        <x:v>45658.9375</x:v>
      </x:c>
      <x:c r="D219" s="2" t="str">
        <x:v>0</x:v>
      </x:c>
      <x:c r="E219" s="18" t="n">
        <x:v>0.23266499999999998</x:v>
      </x:c>
      <x:c r="F219" s="18" t="n">
        <x:f>IF(D219="d",'两日价格与决策'!K97-'两日价格与决策'!N97,IF(D219="u",'两日价格与决策'!K97+'两日价格与决策'!M97,'两日价格与决策'!K97))</x:f>
        <x:v>0</x:v>
      </x:c>
      <x:c r="G219" s="18" t="n">
        <x:f>MAX(-F219,0)</x:f>
        <x:v>0</x:v>
      </x:c>
      <x:c r="H219" s="18" t="n">
        <x:f>MAX(F219,0)</x:f>
        <x:v>0</x:v>
      </x:c>
      <x:c r="I219" s="18" t="n">
        <x:f>J218</x:f>
        <x:v>10</x:v>
      </x:c>
      <x:c r="J219" s="18" t="n">
        <x:f>I219+E219*(G219*'原始输入与口径'!$D$5-H219/'原始输入与口径'!$D$5)</x:f>
        <x:v>10</x:v>
      </x:c>
      <x:c r="K219" s="18" t="n">
        <x:v>10</x:v>
      </x:c>
      <x:c r="L219" s="18" t="n">
        <x:v>10</x:v>
      </x:c>
      <x:c r="M219" s="18" t="n">
        <x:f>J219-L219</x:f>
        <x:v>0</x:v>
      </x:c>
      <x:c r="N219" s="18" t="n">
        <x:f>E219*(G219*'原始输入与口径'!$D$5+H219/'原始输入与口径'!$D$5)/'原始输入与口径'!$H$5</x:f>
        <x:v>0</x:v>
      </x:c>
      <x:c r="O219" s="18" t="n">
        <x:v>0</x:v>
      </x:c>
      <x:c r="P219" s="18" t="n">
        <x:f>N219-O219</x:f>
        <x:v>0</x:v>
      </x:c>
      <x:c r="Q219" s="18" t="n">
        <x:f>E219*G219</x:f>
        <x:v>0</x:v>
      </x:c>
      <x:c r="R219" s="18" t="n">
        <x:f>E219*H219</x:f>
        <x:v>0</x:v>
      </x:c>
      <x:c r="S219" s="2" t="n">
        <x:v>91</x:v>
      </x:c>
    </x:row>
    <x:row r="220" ht="21" customHeight="1">
      <x:c r="A220" s="36" t="n">
        <x:v>45658.947916666664</x:v>
      </x:c>
      <x:c r="B220" s="36" t="n">
        <x:v>45658.94937833333</x:v>
      </x:c>
      <x:c r="C220" s="36" t="n">
        <x:v>45658.947916666664</x:v>
      </x:c>
      <x:c r="D220" s="2" t="str">
        <x:v>d</x:v>
      </x:c>
      <x:c r="E220" s="18" t="n">
        <x:v>0.03508</x:v>
      </x:c>
      <x:c r="F220" s="18" t="n">
        <x:f>IF(D220="d",'两日价格与决策'!K98-'两日价格与决策'!N98,IF(D220="u",'两日价格与决策'!K98+'两日价格与决策'!M98,'两日价格与决策'!K98))</x:f>
        <x:v>0</x:v>
      </x:c>
      <x:c r="G220" s="18" t="n">
        <x:f>MAX(-F220,0)</x:f>
        <x:v>0</x:v>
      </x:c>
      <x:c r="H220" s="18" t="n">
        <x:f>MAX(F220,0)</x:f>
        <x:v>0</x:v>
      </x:c>
      <x:c r="I220" s="18" t="n">
        <x:f>J219</x:f>
        <x:v>10</x:v>
      </x:c>
      <x:c r="J220" s="18" t="n">
        <x:f>I220+E220*(G220*'原始输入与口径'!$D$5-H220/'原始输入与口径'!$D$5)</x:f>
        <x:v>10</x:v>
      </x:c>
      <x:c r="K220" s="18" t="n">
        <x:v>10</x:v>
      </x:c>
      <x:c r="L220" s="18" t="n">
        <x:v>10</x:v>
      </x:c>
      <x:c r="M220" s="18" t="n">
        <x:f>J220-L220</x:f>
        <x:v>0</x:v>
      </x:c>
      <x:c r="N220" s="18" t="n">
        <x:f>E220*(G220*'原始输入与口径'!$D$5+H220/'原始输入与口径'!$D$5)/'原始输入与口径'!$H$5</x:f>
        <x:v>0</x:v>
      </x:c>
      <x:c r="O220" s="18" t="n">
        <x:v>0</x:v>
      </x:c>
      <x:c r="P220" s="18" t="n">
        <x:f>N220-O220</x:f>
        <x:v>0</x:v>
      </x:c>
      <x:c r="Q220" s="18" t="n">
        <x:f>E220*G220</x:f>
        <x:v>0</x:v>
      </x:c>
      <x:c r="R220" s="18" t="n">
        <x:f>E220*H220</x:f>
        <x:v>0</x:v>
      </x:c>
      <x:c r="S220" s="2" t="n">
        <x:v>92</x:v>
      </x:c>
    </x:row>
    <x:row r="221" ht="21" customHeight="1">
      <x:c r="A221" s="36" t="n">
        <x:v>45658.94937833333</x:v>
      </x:c>
      <x:c r="B221" s="36" t="n">
        <x:v>45658.95833333333</x:v>
      </x:c>
      <x:c r="C221" s="36" t="n">
        <x:v>45658.947916666664</x:v>
      </x:c>
      <x:c r="D221" s="2" t="str">
        <x:v>0</x:v>
      </x:c>
      <x:c r="E221" s="18" t="n">
        <x:v>0.21492</x:v>
      </x:c>
      <x:c r="F221" s="18" t="n">
        <x:f>IF(D221="d",'两日价格与决策'!K98-'两日价格与决策'!N98,IF(D221="u",'两日价格与决策'!K98+'两日价格与决策'!M98,'两日价格与决策'!K98))</x:f>
        <x:v>0</x:v>
      </x:c>
      <x:c r="G221" s="18" t="n">
        <x:f>MAX(-F221,0)</x:f>
        <x:v>0</x:v>
      </x:c>
      <x:c r="H221" s="18" t="n">
        <x:f>MAX(F221,0)</x:f>
        <x:v>0</x:v>
      </x:c>
      <x:c r="I221" s="18" t="n">
        <x:f>J220</x:f>
        <x:v>10</x:v>
      </x:c>
      <x:c r="J221" s="18" t="n">
        <x:f>I221+E221*(G221*'原始输入与口径'!$D$5-H221/'原始输入与口径'!$D$5)</x:f>
        <x:v>10</x:v>
      </x:c>
      <x:c r="K221" s="18" t="n">
        <x:v>10</x:v>
      </x:c>
      <x:c r="L221" s="18" t="n">
        <x:v>10</x:v>
      </x:c>
      <x:c r="M221" s="18" t="n">
        <x:f>J221-L221</x:f>
        <x:v>0</x:v>
      </x:c>
      <x:c r="N221" s="18" t="n">
        <x:f>E221*(G221*'原始输入与口径'!$D$5+H221/'原始输入与口径'!$D$5)/'原始输入与口径'!$H$5</x:f>
        <x:v>0</x:v>
      </x:c>
      <x:c r="O221" s="18" t="n">
        <x:v>0</x:v>
      </x:c>
      <x:c r="P221" s="18" t="n">
        <x:f>N221-O221</x:f>
        <x:v>0</x:v>
      </x:c>
      <x:c r="Q221" s="18" t="n">
        <x:f>E221*G221</x:f>
        <x:v>0</x:v>
      </x:c>
      <x:c r="R221" s="18" t="n">
        <x:f>E221*H221</x:f>
        <x:v>0</x:v>
      </x:c>
      <x:c r="S221" s="2" t="n">
        <x:v>92</x:v>
      </x:c>
    </x:row>
    <x:row r="222" ht="21" customHeight="1">
      <x:c r="A222" s="36" t="n">
        <x:v>45658.958333333336</x:v>
      </x:c>
      <x:c r="B222" s="36" t="n">
        <x:v>45658.958380833334</x:v>
      </x:c>
      <x:c r="C222" s="36" t="n">
        <x:v>45658.958333333336</x:v>
      </x:c>
      <x:c r="D222" s="2" t="str">
        <x:v>d</x:v>
      </x:c>
      <x:c r="E222" s="18" t="n">
        <x:v>0.00114</x:v>
      </x:c>
      <x:c r="F222" s="18" t="n">
        <x:f>IF(D222="d",'两日价格与决策'!K99-'两日价格与决策'!N99,IF(D222="u",'两日价格与决策'!K99+'两日价格与决策'!M99,'两日价格与决策'!K99))</x:f>
        <x:v>0</x:v>
      </x:c>
      <x:c r="G222" s="18" t="n">
        <x:f>MAX(-F222,0)</x:f>
        <x:v>0</x:v>
      </x:c>
      <x:c r="H222" s="18" t="n">
        <x:f>MAX(F222,0)</x:f>
        <x:v>0</x:v>
      </x:c>
      <x:c r="I222" s="18" t="n">
        <x:f>J221</x:f>
        <x:v>10</x:v>
      </x:c>
      <x:c r="J222" s="18" t="n">
        <x:f>I222+E222*(G222*'原始输入与口径'!$D$5-H222/'原始输入与口径'!$D$5)</x:f>
        <x:v>10</x:v>
      </x:c>
      <x:c r="K222" s="18" t="n">
        <x:v>10</x:v>
      </x:c>
      <x:c r="L222" s="18" t="n">
        <x:v>10</x:v>
      </x:c>
      <x:c r="M222" s="18" t="n">
        <x:f>J222-L222</x:f>
        <x:v>0</x:v>
      </x:c>
      <x:c r="N222" s="18" t="n">
        <x:f>E222*(G222*'原始输入与口径'!$D$5+H222/'原始输入与口径'!$D$5)/'原始输入与口径'!$H$5</x:f>
        <x:v>0</x:v>
      </x:c>
      <x:c r="O222" s="18" t="n">
        <x:v>0</x:v>
      </x:c>
      <x:c r="P222" s="18" t="n">
        <x:f>N222-O222</x:f>
        <x:v>0</x:v>
      </x:c>
      <x:c r="Q222" s="18" t="n">
        <x:f>E222*G222</x:f>
        <x:v>0</x:v>
      </x:c>
      <x:c r="R222" s="18" t="n">
        <x:f>E222*H222</x:f>
        <x:v>0</x:v>
      </x:c>
      <x:c r="S222" s="2" t="n">
        <x:v>93</x:v>
      </x:c>
    </x:row>
    <x:row r="223" ht="21" customHeight="1">
      <x:c r="A223" s="36" t="n">
        <x:v>45658.958380833334</x:v>
      </x:c>
      <x:c r="B223" s="36" t="n">
        <x:v>45658.962057916666</x:v>
      </x:c>
      <x:c r="C223" s="36" t="n">
        <x:v>45658.958333333336</x:v>
      </x:c>
      <x:c r="D223" s="2" t="str">
        <x:v>u</x:v>
      </x:c>
      <x:c r="E223" s="18" t="n">
        <x:v>0.08825</x:v>
      </x:c>
      <x:c r="F223" s="18" t="n">
        <x:f>IF(D223="d",'两日价格与决策'!K99-'两日价格与决策'!N99,IF(D223="u",'两日价格与决策'!K99+'两日价格与决策'!M99,'两日价格与决策'!K99))</x:f>
        <x:v>0</x:v>
      </x:c>
      <x:c r="G223" s="18" t="n">
        <x:f>MAX(-F223,0)</x:f>
        <x:v>0</x:v>
      </x:c>
      <x:c r="H223" s="18" t="n">
        <x:f>MAX(F223,0)</x:f>
        <x:v>0</x:v>
      </x:c>
      <x:c r="I223" s="18" t="n">
        <x:f>J222</x:f>
        <x:v>10</x:v>
      </x:c>
      <x:c r="J223" s="18" t="n">
        <x:f>I223+E223*(G223*'原始输入与口径'!$D$5-H223/'原始输入与口径'!$D$5)</x:f>
        <x:v>10</x:v>
      </x:c>
      <x:c r="K223" s="18" t="n">
        <x:v>10</x:v>
      </x:c>
      <x:c r="L223" s="18" t="n">
        <x:v>10</x:v>
      </x:c>
      <x:c r="M223" s="18" t="n">
        <x:f>J223-L223</x:f>
        <x:v>0</x:v>
      </x:c>
      <x:c r="N223" s="18" t="n">
        <x:f>E223*(G223*'原始输入与口径'!$D$5+H223/'原始输入与口径'!$D$5)/'原始输入与口径'!$H$5</x:f>
        <x:v>0</x:v>
      </x:c>
      <x:c r="O223" s="18" t="n">
        <x:v>0</x:v>
      </x:c>
      <x:c r="P223" s="18" t="n">
        <x:f>N223-O223</x:f>
        <x:v>0</x:v>
      </x:c>
      <x:c r="Q223" s="18" t="n">
        <x:f>E223*G223</x:f>
        <x:v>0</x:v>
      </x:c>
      <x:c r="R223" s="18" t="n">
        <x:f>E223*H223</x:f>
        <x:v>0</x:v>
      </x:c>
      <x:c r="S223" s="2" t="n">
        <x:v>93</x:v>
      </x:c>
    </x:row>
    <x:row r="224" ht="21" customHeight="1">
      <x:c r="A224" s="36" t="n">
        <x:v>45658.962057916666</x:v>
      </x:c>
      <x:c r="B224" s="36" t="n">
        <x:v>45658.96875</x:v>
      </x:c>
      <x:c r="C224" s="36" t="n">
        <x:v>45658.958333333336</x:v>
      </x:c>
      <x:c r="D224" s="2" t="str">
        <x:v>0</x:v>
      </x:c>
      <x:c r="E224" s="18" t="n">
        <x:v>0.16061</x:v>
      </x:c>
      <x:c r="F224" s="18" t="n">
        <x:f>IF(D224="d",'两日价格与决策'!K99-'两日价格与决策'!N99,IF(D224="u",'两日价格与决策'!K99+'两日价格与决策'!M99,'两日价格与决策'!K99))</x:f>
        <x:v>0</x:v>
      </x:c>
      <x:c r="G224" s="18" t="n">
        <x:f>MAX(-F224,0)</x:f>
        <x:v>0</x:v>
      </x:c>
      <x:c r="H224" s="18" t="n">
        <x:f>MAX(F224,0)</x:f>
        <x:v>0</x:v>
      </x:c>
      <x:c r="I224" s="18" t="n">
        <x:f>J223</x:f>
        <x:v>10</x:v>
      </x:c>
      <x:c r="J224" s="18" t="n">
        <x:f>I224+E224*(G224*'原始输入与口径'!$D$5-H224/'原始输入与口径'!$D$5)</x:f>
        <x:v>10</x:v>
      </x:c>
      <x:c r="K224" s="18" t="n">
        <x:v>10</x:v>
      </x:c>
      <x:c r="L224" s="18" t="n">
        <x:v>10</x:v>
      </x:c>
      <x:c r="M224" s="18" t="n">
        <x:f>J224-L224</x:f>
        <x:v>0</x:v>
      </x:c>
      <x:c r="N224" s="18" t="n">
        <x:f>E224*(G224*'原始输入与口径'!$D$5+H224/'原始输入与口径'!$D$5)/'原始输入与口径'!$H$5</x:f>
        <x:v>0</x:v>
      </x:c>
      <x:c r="O224" s="18" t="n">
        <x:v>0</x:v>
      </x:c>
      <x:c r="P224" s="18" t="n">
        <x:f>N224-O224</x:f>
        <x:v>0</x:v>
      </x:c>
      <x:c r="Q224" s="18" t="n">
        <x:f>E224*G224</x:f>
        <x:v>0</x:v>
      </x:c>
      <x:c r="R224" s="18" t="n">
        <x:f>E224*H224</x:f>
        <x:v>0</x:v>
      </x:c>
      <x:c r="S224" s="2" t="n">
        <x:v>93</x:v>
      </x:c>
    </x:row>
    <x:row r="225" ht="21" customHeight="1">
      <x:c r="A225" s="36" t="n">
        <x:v>45658.96875</x:v>
      </x:c>
      <x:c r="B225" s="36" t="n">
        <x:v>45658.971949583334</x:v>
      </x:c>
      <x:c r="C225" s="36" t="n">
        <x:v>45658.96875</x:v>
      </x:c>
      <x:c r="D225" s="2" t="str">
        <x:v>u</x:v>
      </x:c>
      <x:c r="E225" s="18" t="n">
        <x:v>0.07679</x:v>
      </x:c>
      <x:c r="F225" s="18" t="n">
        <x:f>IF(D225="d",'两日价格与决策'!K100-'两日价格与决策'!N100,IF(D225="u",'两日价格与决策'!K100+'两日价格与决策'!M100,'两日价格与决策'!K100))</x:f>
        <x:v>0</x:v>
      </x:c>
      <x:c r="G225" s="18" t="n">
        <x:f>MAX(-F225,0)</x:f>
        <x:v>0</x:v>
      </x:c>
      <x:c r="H225" s="18" t="n">
        <x:f>MAX(F225,0)</x:f>
        <x:v>0</x:v>
      </x:c>
      <x:c r="I225" s="18" t="n">
        <x:f>J224</x:f>
        <x:v>10</x:v>
      </x:c>
      <x:c r="J225" s="18" t="n">
        <x:f>I225+E225*(G225*'原始输入与口径'!$D$5-H225/'原始输入与口径'!$D$5)</x:f>
        <x:v>10</x:v>
      </x:c>
      <x:c r="K225" s="18" t="n">
        <x:v>10</x:v>
      </x:c>
      <x:c r="L225" s="18" t="n">
        <x:v>10</x:v>
      </x:c>
      <x:c r="M225" s="18" t="n">
        <x:f>J225-L225</x:f>
        <x:v>0</x:v>
      </x:c>
      <x:c r="N225" s="18" t="n">
        <x:f>E225*(G225*'原始输入与口径'!$D$5+H225/'原始输入与口径'!$D$5)/'原始输入与口径'!$H$5</x:f>
        <x:v>0</x:v>
      </x:c>
      <x:c r="O225" s="18" t="n">
        <x:v>0</x:v>
      </x:c>
      <x:c r="P225" s="18" t="n">
        <x:f>N225-O225</x:f>
        <x:v>0</x:v>
      </x:c>
      <x:c r="Q225" s="18" t="n">
        <x:f>E225*G225</x:f>
        <x:v>0</x:v>
      </x:c>
      <x:c r="R225" s="18" t="n">
        <x:f>E225*H225</x:f>
        <x:v>0</x:v>
      </x:c>
      <x:c r="S225" s="2" t="n">
        <x:v>94</x:v>
      </x:c>
    </x:row>
    <x:row r="226" ht="21" customHeight="1">
      <x:c r="A226" s="36" t="n">
        <x:v>45658.971949583334</x:v>
      </x:c>
      <x:c r="B226" s="36" t="n">
        <x:v>45658.979166666664</x:v>
      </x:c>
      <x:c r="C226" s="36" t="n">
        <x:v>45658.96875</x:v>
      </x:c>
      <x:c r="D226" s="2" t="str">
        <x:v>0</x:v>
      </x:c>
      <x:c r="E226" s="18" t="n">
        <x:v>0.17321</x:v>
      </x:c>
      <x:c r="F226" s="18" t="n">
        <x:f>IF(D226="d",'两日价格与决策'!K100-'两日价格与决策'!N100,IF(D226="u",'两日价格与决策'!K100+'两日价格与决策'!M100,'两日价格与决策'!K100))</x:f>
        <x:v>0</x:v>
      </x:c>
      <x:c r="G226" s="18" t="n">
        <x:f>MAX(-F226,0)</x:f>
        <x:v>0</x:v>
      </x:c>
      <x:c r="H226" s="18" t="n">
        <x:f>MAX(F226,0)</x:f>
        <x:v>0</x:v>
      </x:c>
      <x:c r="I226" s="18" t="n">
        <x:f>J225</x:f>
        <x:v>10</x:v>
      </x:c>
      <x:c r="J226" s="18" t="n">
        <x:f>I226+E226*(G226*'原始输入与口径'!$D$5-H226/'原始输入与口径'!$D$5)</x:f>
        <x:v>10</x:v>
      </x:c>
      <x:c r="K226" s="18" t="n">
        <x:v>10</x:v>
      </x:c>
      <x:c r="L226" s="18" t="n">
        <x:v>10</x:v>
      </x:c>
      <x:c r="M226" s="18" t="n">
        <x:f>J226-L226</x:f>
        <x:v>0</x:v>
      </x:c>
      <x:c r="N226" s="18" t="n">
        <x:f>E226*(G226*'原始输入与口径'!$D$5+H226/'原始输入与口径'!$D$5)/'原始输入与口径'!$H$5</x:f>
        <x:v>0</x:v>
      </x:c>
      <x:c r="O226" s="18" t="n">
        <x:v>0</x:v>
      </x:c>
      <x:c r="P226" s="18" t="n">
        <x:f>N226-O226</x:f>
        <x:v>0</x:v>
      </x:c>
      <x:c r="Q226" s="18" t="n">
        <x:f>E226*G226</x:f>
        <x:v>0</x:v>
      </x:c>
      <x:c r="R226" s="18" t="n">
        <x:f>E226*H226</x:f>
        <x:v>0</x:v>
      </x:c>
      <x:c r="S226" s="2" t="n">
        <x:v>94</x:v>
      </x:c>
    </x:row>
    <x:row r="227" ht="21" customHeight="1">
      <x:c r="A227" s="36" t="n">
        <x:v>45658.979166666664</x:v>
      </x:c>
      <x:c r="B227" s="36" t="n">
        <x:v>45658.98009583333</x:v>
      </x:c>
      <x:c r="C227" s="36" t="n">
        <x:v>45658.979166666664</x:v>
      </x:c>
      <x:c r="D227" s="2" t="str">
        <x:v>u</x:v>
      </x:c>
      <x:c r="E227" s="18" t="n">
        <x:v>0.0223</x:v>
      </x:c>
      <x:c r="F227" s="18" t="n">
        <x:f>IF(D227="d",'两日价格与决策'!K101-'两日价格与决策'!N101,IF(D227="u",'两日价格与决策'!K101+'两日价格与决策'!M101,'两日价格与决策'!K101))</x:f>
        <x:v>0</x:v>
      </x:c>
      <x:c r="G227" s="18" t="n">
        <x:f>MAX(-F227,0)</x:f>
        <x:v>0</x:v>
      </x:c>
      <x:c r="H227" s="18" t="n">
        <x:f>MAX(F227,0)</x:f>
        <x:v>0</x:v>
      </x:c>
      <x:c r="I227" s="18" t="n">
        <x:f>J226</x:f>
        <x:v>10</x:v>
      </x:c>
      <x:c r="J227" s="18" t="n">
        <x:f>I227+E227*(G227*'原始输入与口径'!$D$5-H227/'原始输入与口径'!$D$5)</x:f>
        <x:v>10</x:v>
      </x:c>
      <x:c r="K227" s="18" t="n">
        <x:v>10</x:v>
      </x:c>
      <x:c r="L227" s="18" t="n">
        <x:v>10</x:v>
      </x:c>
      <x:c r="M227" s="18" t="n">
        <x:f>J227-L227</x:f>
        <x:v>0</x:v>
      </x:c>
      <x:c r="N227" s="18" t="n">
        <x:f>E227*(G227*'原始输入与口径'!$D$5+H227/'原始输入与口径'!$D$5)/'原始输入与口径'!$H$5</x:f>
        <x:v>0</x:v>
      </x:c>
      <x:c r="O227" s="18" t="n">
        <x:v>0</x:v>
      </x:c>
      <x:c r="P227" s="18" t="n">
        <x:f>N227-O227</x:f>
        <x:v>0</x:v>
      </x:c>
      <x:c r="Q227" s="18" t="n">
        <x:f>E227*G227</x:f>
        <x:v>0</x:v>
      </x:c>
      <x:c r="R227" s="18" t="n">
        <x:f>E227*H227</x:f>
        <x:v>0</x:v>
      </x:c>
      <x:c r="S227" s="2" t="n">
        <x:v>95</x:v>
      </x:c>
    </x:row>
    <x:row r="228" ht="21" customHeight="1">
      <x:c r="A228" s="36" t="n">
        <x:v>45658.98009583333</x:v>
      </x:c>
      <x:c r="B228" s="36" t="n">
        <x:v>45658.98958333333</x:v>
      </x:c>
      <x:c r="C228" s="36" t="n">
        <x:v>45658.979166666664</x:v>
      </x:c>
      <x:c r="D228" s="2" t="str">
        <x:v>0</x:v>
      </x:c>
      <x:c r="E228" s="18" t="n">
        <x:v>0.2277</x:v>
      </x:c>
      <x:c r="F228" s="18" t="n">
        <x:f>IF(D228="d",'两日价格与决策'!K101-'两日价格与决策'!N101,IF(D228="u",'两日价格与决策'!K101+'两日价格与决策'!M101,'两日价格与决策'!K101))</x:f>
        <x:v>0</x:v>
      </x:c>
      <x:c r="G228" s="18" t="n">
        <x:f>MAX(-F228,0)</x:f>
        <x:v>0</x:v>
      </x:c>
      <x:c r="H228" s="18" t="n">
        <x:f>MAX(F228,0)</x:f>
        <x:v>0</x:v>
      </x:c>
      <x:c r="I228" s="18" t="n">
        <x:f>J227</x:f>
        <x:v>10</x:v>
      </x:c>
      <x:c r="J228" s="18" t="n">
        <x:f>I228+E228*(G228*'原始输入与口径'!$D$5-H228/'原始输入与口径'!$D$5)</x:f>
        <x:v>10</x:v>
      </x:c>
      <x:c r="K228" s="18" t="n">
        <x:v>10</x:v>
      </x:c>
      <x:c r="L228" s="18" t="n">
        <x:v>10</x:v>
      </x:c>
      <x:c r="M228" s="18" t="n">
        <x:f>J228-L228</x:f>
        <x:v>0</x:v>
      </x:c>
      <x:c r="N228" s="18" t="n">
        <x:f>E228*(G228*'原始输入与口径'!$D$5+H228/'原始输入与口径'!$D$5)/'原始输入与口径'!$H$5</x:f>
        <x:v>0</x:v>
      </x:c>
      <x:c r="O228" s="18" t="n">
        <x:v>0</x:v>
      </x:c>
      <x:c r="P228" s="18" t="n">
        <x:f>N228-O228</x:f>
        <x:v>0</x:v>
      </x:c>
      <x:c r="Q228" s="18" t="n">
        <x:f>E228*G228</x:f>
        <x:v>0</x:v>
      </x:c>
      <x:c r="R228" s="18" t="n">
        <x:f>E228*H228</x:f>
        <x:v>0</x:v>
      </x:c>
      <x:c r="S228" s="2" t="n">
        <x:v>95</x:v>
      </x:c>
    </x:row>
    <x:row r="229" ht="21" customHeight="1">
      <x:c r="A229" s="36" t="n">
        <x:v>45658.989583333336</x:v>
      </x:c>
      <x:c r="B229" s="36" t="n">
        <x:v>45658.98960729167</x:v>
      </x:c>
      <x:c r="C229" s="36" t="n">
        <x:v>45658.989583333336</x:v>
      </x:c>
      <x:c r="D229" s="2" t="str">
        <x:v>d</x:v>
      </x:c>
      <x:c r="E229" s="18" t="n">
        <x:v>0.000575</x:v>
      </x:c>
      <x:c r="F229" s="18" t="n">
        <x:f>IF(D229="d",'两日价格与决策'!K102-'两日价格与决策'!N102,IF(D229="u",'两日价格与决策'!K102+'两日价格与决策'!M102,'两日价格与决策'!K102))</x:f>
        <x:v>0</x:v>
      </x:c>
      <x:c r="G229" s="18" t="n">
        <x:f>MAX(-F229,0)</x:f>
        <x:v>0</x:v>
      </x:c>
      <x:c r="H229" s="18" t="n">
        <x:f>MAX(F229,0)</x:f>
        <x:v>0</x:v>
      </x:c>
      <x:c r="I229" s="18" t="n">
        <x:f>J228</x:f>
        <x:v>10</x:v>
      </x:c>
      <x:c r="J229" s="18" t="n">
        <x:f>I229+E229*(G229*'原始输入与口径'!$D$5-H229/'原始输入与口径'!$D$5)</x:f>
        <x:v>10</x:v>
      </x:c>
      <x:c r="K229" s="18" t="n">
        <x:v>10</x:v>
      </x:c>
      <x:c r="L229" s="18" t="n">
        <x:v>10</x:v>
      </x:c>
      <x:c r="M229" s="18" t="n">
        <x:f>J229-L229</x:f>
        <x:v>0</x:v>
      </x:c>
      <x:c r="N229" s="18" t="n">
        <x:f>E229*(G229*'原始输入与口径'!$D$5+H229/'原始输入与口径'!$D$5)/'原始输入与口径'!$H$5</x:f>
        <x:v>0</x:v>
      </x:c>
      <x:c r="O229" s="18" t="n">
        <x:v>0</x:v>
      </x:c>
      <x:c r="P229" s="18" t="n">
        <x:f>N229-O229</x:f>
        <x:v>0</x:v>
      </x:c>
      <x:c r="Q229" s="18" t="n">
        <x:f>E229*G229</x:f>
        <x:v>0</x:v>
      </x:c>
      <x:c r="R229" s="18" t="n">
        <x:f>E229*H229</x:f>
        <x:v>0</x:v>
      </x:c>
      <x:c r="S229" s="2" t="n">
        <x:v>96</x:v>
      </x:c>
    </x:row>
    <x:row r="230" ht="21" customHeight="1">
      <x:c r="A230" s="36" t="n">
        <x:v>45658.98960729167</x:v>
      </x:c>
      <x:c r="B230" s="36" t="n">
        <x:v>45658.98977604167</x:v>
      </x:c>
      <x:c r="C230" s="36" t="n">
        <x:v>45658.989583333336</x:v>
      </x:c>
      <x:c r="D230" s="2" t="str">
        <x:v>u</x:v>
      </x:c>
      <x:c r="E230" s="18" t="n">
        <x:v>0.004050000000000001</x:v>
      </x:c>
      <x:c r="F230" s="18" t="n">
        <x:f>IF(D230="d",'两日价格与决策'!K102-'两日价格与决策'!N102,IF(D230="u",'两日价格与决策'!K102+'两日价格与决策'!M102,'两日价格与决策'!K102))</x:f>
        <x:v>0</x:v>
      </x:c>
      <x:c r="G230" s="18" t="n">
        <x:f>MAX(-F230,0)</x:f>
        <x:v>0</x:v>
      </x:c>
      <x:c r="H230" s="18" t="n">
        <x:f>MAX(F230,0)</x:f>
        <x:v>0</x:v>
      </x:c>
      <x:c r="I230" s="18" t="n">
        <x:f>J229</x:f>
        <x:v>10</x:v>
      </x:c>
      <x:c r="J230" s="18" t="n">
        <x:f>I230+E230*(G230*'原始输入与口径'!$D$5-H230/'原始输入与口径'!$D$5)</x:f>
        <x:v>10</x:v>
      </x:c>
      <x:c r="K230" s="18" t="n">
        <x:v>10</x:v>
      </x:c>
      <x:c r="L230" s="18" t="n">
        <x:v>10</x:v>
      </x:c>
      <x:c r="M230" s="18" t="n">
        <x:f>J230-L230</x:f>
        <x:v>0</x:v>
      </x:c>
      <x:c r="N230" s="18" t="n">
        <x:f>E230*(G230*'原始输入与口径'!$D$5+H230/'原始输入与口径'!$D$5)/'原始输入与口径'!$H$5</x:f>
        <x:v>0</x:v>
      </x:c>
      <x:c r="O230" s="18" t="n">
        <x:v>0</x:v>
      </x:c>
      <x:c r="P230" s="18" t="n">
        <x:f>N230-O230</x:f>
        <x:v>0</x:v>
      </x:c>
      <x:c r="Q230" s="18" t="n">
        <x:f>E230*G230</x:f>
        <x:v>0</x:v>
      </x:c>
      <x:c r="R230" s="18" t="n">
        <x:f>E230*H230</x:f>
        <x:v>0</x:v>
      </x:c>
      <x:c r="S230" s="2" t="n">
        <x:v>96</x:v>
      </x:c>
    </x:row>
    <x:row r="231" ht="21" customHeight="1">
      <x:c r="A231" s="36" t="n">
        <x:v>45658.98977604167</x:v>
      </x:c>
      <x:c r="B231" s="36" t="n">
        <x:v>45659</x:v>
      </x:c>
      <x:c r="C231" s="36" t="n">
        <x:v>45658.989583333336</x:v>
      </x:c>
      <x:c r="D231" s="2" t="str">
        <x:v>0</x:v>
      </x:c>
      <x:c r="E231" s="18" t="n">
        <x:v>0.245375</x:v>
      </x:c>
      <x:c r="F231" s="18" t="n">
        <x:f>IF(D231="d",'两日价格与决策'!K102-'两日价格与决策'!N102,IF(D231="u",'两日价格与决策'!K102+'两日价格与决策'!M102,'两日价格与决策'!K102))</x:f>
        <x:v>0</x:v>
      </x:c>
      <x:c r="G231" s="18" t="n">
        <x:f>MAX(-F231,0)</x:f>
        <x:v>0</x:v>
      </x:c>
      <x:c r="H231" s="18" t="n">
        <x:f>MAX(F231,0)</x:f>
        <x:v>0</x:v>
      </x:c>
      <x:c r="I231" s="18" t="n">
        <x:f>J230</x:f>
        <x:v>10</x:v>
      </x:c>
      <x:c r="J231" s="18" t="n">
        <x:f>I231+E231*(G231*'原始输入与口径'!$D$5-H231/'原始输入与口径'!$D$5)</x:f>
        <x:v>10</x:v>
      </x:c>
      <x:c r="K231" s="18" t="n">
        <x:v>10</x:v>
      </x:c>
      <x:c r="L231" s="18" t="n">
        <x:v>10</x:v>
      </x:c>
      <x:c r="M231" s="18" t="n">
        <x:f>J231-L231</x:f>
        <x:v>0</x:v>
      </x:c>
      <x:c r="N231" s="18" t="n">
        <x:f>E231*(G231*'原始输入与口径'!$D$5+H231/'原始输入与口径'!$D$5)/'原始输入与口径'!$H$5</x:f>
        <x:v>0</x:v>
      </x:c>
      <x:c r="O231" s="18" t="n">
        <x:v>0</x:v>
      </x:c>
      <x:c r="P231" s="18" t="n">
        <x:f>N231-O231</x:f>
        <x:v>0</x:v>
      </x:c>
      <x:c r="Q231" s="18" t="n">
        <x:f>E231*G231</x:f>
        <x:v>0</x:v>
      </x:c>
      <x:c r="R231" s="18" t="n">
        <x:f>E231*H231</x:f>
        <x:v>0</x:v>
      </x:c>
      <x:c r="S231" s="2" t="n">
        <x:v>96</x:v>
      </x:c>
    </x:row>
    <x:row r="232" ht="21" customHeight="1">
      <x:c r="A232" s="36" t="n">
        <x:v>45659</x:v>
      </x:c>
      <x:c r="B232" s="36" t="n">
        <x:v>45659.00861833333</x:v>
      </x:c>
      <x:c r="C232" s="36" t="n">
        <x:v>45659</x:v>
      </x:c>
      <x:c r="D232" s="2" t="str">
        <x:v>u</x:v>
      </x:c>
      <x:c r="E232" s="18" t="n">
        <x:v>0.20684000000000002</x:v>
      </x:c>
      <x:c r="F232" s="18" t="n">
        <x:f>IF(D232="d",'两日价格与决策'!K103-'两日价格与决策'!N103,IF(D232="u",'两日价格与决策'!K103+'两日价格与决策'!M103,'两日价格与决策'!K103))</x:f>
        <x:v>0</x:v>
      </x:c>
      <x:c r="G232" s="18" t="n">
        <x:f>MAX(-F232,0)</x:f>
        <x:v>0</x:v>
      </x:c>
      <x:c r="H232" s="18" t="n">
        <x:f>MAX(F232,0)</x:f>
        <x:v>0</x:v>
      </x:c>
      <x:c r="I232" s="18" t="n">
        <x:f>J231</x:f>
        <x:v>10</x:v>
      </x:c>
      <x:c r="J232" s="18" t="n">
        <x:f>I232+E232*(G232*'原始输入与口径'!$D$5-H232/'原始输入与口径'!$D$5)</x:f>
        <x:v>10</x:v>
      </x:c>
      <x:c r="K232" s="18" t="n">
        <x:v>10</x:v>
      </x:c>
      <x:c r="L232" s="18" t="n">
        <x:v>10</x:v>
      </x:c>
      <x:c r="M232" s="18" t="n">
        <x:f>J232-L232</x:f>
        <x:v>0</x:v>
      </x:c>
      <x:c r="N232" s="18" t="n">
        <x:f>E232*(G232*'原始输入与口径'!$D$5+H232/'原始输入与口径'!$D$5)/'原始输入与口径'!$H$5</x:f>
        <x:v>0</x:v>
      </x:c>
      <x:c r="O232" s="18" t="n">
        <x:v>0</x:v>
      </x:c>
      <x:c r="P232" s="18" t="n">
        <x:f>N232-O232</x:f>
        <x:v>0</x:v>
      </x:c>
      <x:c r="Q232" s="18" t="n">
        <x:f>E232*G232</x:f>
        <x:v>0</x:v>
      </x:c>
      <x:c r="R232" s="18" t="n">
        <x:f>E232*H232</x:f>
        <x:v>0</x:v>
      </x:c>
      <x:c r="S232" s="2" t="n">
        <x:v>97</x:v>
      </x:c>
    </x:row>
    <x:row r="233" ht="21" customHeight="1">
      <x:c r="A233" s="36" t="n">
        <x:v>45659.00861833333</x:v>
      </x:c>
      <x:c r="B233" s="36" t="n">
        <x:v>45659.010416666664</x:v>
      </x:c>
      <x:c r="C233" s="36" t="n">
        <x:v>45659</x:v>
      </x:c>
      <x:c r="D233" s="2" t="str">
        <x:v>0</x:v>
      </x:c>
      <x:c r="E233" s="18" t="n">
        <x:v>0.043159999999999976</x:v>
      </x:c>
      <x:c r="F233" s="18" t="n">
        <x:f>IF(D233="d",'两日价格与决策'!K103-'两日价格与决策'!N103,IF(D233="u",'两日价格与决策'!K103+'两日价格与决策'!M103,'两日价格与决策'!K103))</x:f>
        <x:v>-100</x:v>
      </x:c>
      <x:c r="G233" s="18" t="n">
        <x:f>MAX(-F233,0)</x:f>
        <x:v>100</x:v>
      </x:c>
      <x:c r="H233" s="18" t="n">
        <x:f>MAX(F233,0)</x:f>
        <x:v>0</x:v>
      </x:c>
      <x:c r="I233" s="18" t="n">
        <x:f>J232</x:f>
        <x:v>10</x:v>
      </x:c>
      <x:c r="J233" s="18" t="n">
        <x:f>I233+E233*(G233*'原始输入与口径'!$D$5-H233/'原始输入与口径'!$D$5)</x:f>
        <x:v>13.970719999999998</x:v>
      </x:c>
      <x:c r="K233" s="18" t="n">
        <x:v>10</x:v>
      </x:c>
      <x:c r="L233" s="18" t="n">
        <x:v>13.970719999999996</x:v>
      </x:c>
      <x:c r="M233" s="18" t="n">
        <x:f>J233-L233</x:f>
        <x:v>1.7763568394002505e-15</x:v>
      </x:c>
      <x:c r="N233" s="18" t="n">
        <x:f>E233*(G233*'原始输入与口径'!$D$5+H233/'原始输入与口径'!$D$5)/'原始输入与口径'!$H$5</x:f>
        <x:v>0.011029777777777772</x:v>
      </x:c>
      <x:c r="O233" s="18" t="n">
        <x:v>0.01102977777777777</x:v>
      </x:c>
      <x:c r="P233" s="18" t="n">
        <x:f>N233-O233</x:f>
        <x:v>1.734723475976807e-18</x:v>
      </x:c>
      <x:c r="Q233" s="18" t="n">
        <x:f>E233*G233</x:f>
        <x:v>4.315999999999997</x:v>
      </x:c>
      <x:c r="R233" s="18" t="n">
        <x:f>E233*H233</x:f>
        <x:v>0</x:v>
      </x:c>
      <x:c r="S233" s="2" t="n">
        <x:v>97</x:v>
      </x:c>
    </x:row>
    <x:row r="234" ht="21" customHeight="1">
      <x:c r="A234" s="36" t="n">
        <x:v>45659.010416666664</x:v>
      </x:c>
      <x:c r="B234" s="36" t="n">
        <x:v>45659.017415625</x:v>
      </x:c>
      <x:c r="C234" s="36" t="n">
        <x:v>45659.010416666664</x:v>
      </x:c>
      <x:c r="D234" s="2" t="str">
        <x:v>u</x:v>
      </x:c>
      <x:c r="E234" s="18" t="n">
        <x:v>0.16797499999999999</x:v>
      </x:c>
      <x:c r="F234" s="18" t="n">
        <x:f>IF(D234="d",'两日价格与决策'!K104-'两日价格与决策'!N104,IF(D234="u",'两日价格与决策'!K104+'两日价格与决策'!M104,'两日价格与决策'!K104))</x:f>
        <x:v>0</x:v>
      </x:c>
      <x:c r="G234" s="18" t="n">
        <x:f>MAX(-F234,0)</x:f>
        <x:v>0</x:v>
      </x:c>
      <x:c r="H234" s="18" t="n">
        <x:f>MAX(F234,0)</x:f>
        <x:v>0</x:v>
      </x:c>
      <x:c r="I234" s="18" t="n">
        <x:f>J233</x:f>
        <x:v>13.970719999999998</x:v>
      </x:c>
      <x:c r="J234" s="18" t="n">
        <x:f>I234+E234*(G234*'原始输入与口径'!$D$5-H234/'原始输入与口径'!$D$5)</x:f>
        <x:v>13.970719999999998</x:v>
      </x:c>
      <x:c r="K234" s="18" t="n">
        <x:v>13.970719999999996</x:v>
      </x:c>
      <x:c r="L234" s="18" t="n">
        <x:v>13.970719999999996</x:v>
      </x:c>
      <x:c r="M234" s="18" t="n">
        <x:f>J234-L234</x:f>
        <x:v>1.7763568394002505e-15</x:v>
      </x:c>
      <x:c r="N234" s="18" t="n">
        <x:f>E234*(G234*'原始输入与口径'!$D$5+H234/'原始输入与口径'!$D$5)/'原始输入与口径'!$H$5</x:f>
        <x:v>0</x:v>
      </x:c>
      <x:c r="O234" s="18" t="n">
        <x:v>0</x:v>
      </x:c>
      <x:c r="P234" s="18" t="n">
        <x:f>N234-O234</x:f>
        <x:v>0</x:v>
      </x:c>
      <x:c r="Q234" s="18" t="n">
        <x:f>E234*G234</x:f>
        <x:v>0</x:v>
      </x:c>
      <x:c r="R234" s="18" t="n">
        <x:f>E234*H234</x:f>
        <x:v>0</x:v>
      </x:c>
      <x:c r="S234" s="2" t="n">
        <x:v>98</x:v>
      </x:c>
    </x:row>
    <x:row r="235" ht="21" customHeight="1">
      <x:c r="A235" s="36" t="n">
        <x:v>45659.017415625</x:v>
      </x:c>
      <x:c r="B235" s="36" t="n">
        <x:v>45659.02083333333</x:v>
      </x:c>
      <x:c r="C235" s="36" t="n">
        <x:v>45659.010416666664</x:v>
      </x:c>
      <x:c r="D235" s="2" t="str">
        <x:v>0</x:v>
      </x:c>
      <x:c r="E235" s="18" t="n">
        <x:v>0.08202500000000001</x:v>
      </x:c>
      <x:c r="F235" s="18" t="n">
        <x:f>IF(D235="d",'两日价格与决策'!K104-'两日价格与决策'!N104,IF(D235="u",'两日价格与决策'!K104+'两日价格与决策'!M104,'两日价格与决策'!K104))</x:f>
        <x:v>-100</x:v>
      </x:c>
      <x:c r="G235" s="18" t="n">
        <x:f>MAX(-F235,0)</x:f>
        <x:v>100</x:v>
      </x:c>
      <x:c r="H235" s="18" t="n">
        <x:f>MAX(F235,0)</x:f>
        <x:v>0</x:v>
      </x:c>
      <x:c r="I235" s="18" t="n">
        <x:f>J234</x:f>
        <x:v>13.970719999999998</x:v>
      </x:c>
      <x:c r="J235" s="18" t="n">
        <x:f>I235+E235*(G235*'原始输入与口径'!$D$5-H235/'原始输入与口径'!$D$5)</x:f>
        <x:v>21.51702</x:v>
      </x:c>
      <x:c r="K235" s="18" t="n">
        <x:v>13.970719999999996</x:v>
      </x:c>
      <x:c r="L235" s="18" t="n">
        <x:v>21.517019999999995</x:v>
      </x:c>
      <x:c r="M235" s="18" t="n">
        <x:f>J235-L235</x:f>
        <x:v>3.552713678800501e-15</x:v>
      </x:c>
      <x:c r="N235" s="18" t="n">
        <x:f>E235*(G235*'原始输入与口径'!$D$5+H235/'原始输入与口径'!$D$5)/'原始输入与口径'!$H$5</x:f>
        <x:v>0.02096194444444445</x:v>
      </x:c>
      <x:c r="O235" s="18" t="n">
        <x:v>0.020961944444444446</x:v>
      </x:c>
      <x:c r="P235" s="18" t="n">
        <x:f>N235-O235</x:f>
        <x:v>3.469446951953614e-18</x:v>
      </x:c>
      <x:c r="Q235" s="18" t="n">
        <x:f>E235*G235</x:f>
        <x:v>8.2025</x:v>
      </x:c>
      <x:c r="R235" s="18" t="n">
        <x:f>E235*H235</x:f>
        <x:v>0</x:v>
      </x:c>
      <x:c r="S235" s="2" t="n">
        <x:v>98</x:v>
      </x:c>
    </x:row>
    <x:row r="236" ht="21" customHeight="1">
      <x:c r="A236" s="36" t="n">
        <x:v>45659.020833333336</x:v>
      </x:c>
      <x:c r="B236" s="36" t="n">
        <x:v>45659.024884583334</x:v>
      </x:c>
      <x:c r="C236" s="36" t="n">
        <x:v>45659.020833333336</x:v>
      </x:c>
      <x:c r="D236" s="2" t="str">
        <x:v>u</x:v>
      </x:c>
      <x:c r="E236" s="18" t="n">
        <x:v>0.09723000000000001</x:v>
      </x:c>
      <x:c r="F236" s="18" t="n">
        <x:f>IF(D236="d",'两日价格与决策'!K105-'两日价格与决策'!N105,IF(D236="u",'两日价格与决策'!K105+'两日价格与决策'!M105,'两日价格与决策'!K105))</x:f>
        <x:v>0</x:v>
      </x:c>
      <x:c r="G236" s="18" t="n">
        <x:f>MAX(-F236,0)</x:f>
        <x:v>0</x:v>
      </x:c>
      <x:c r="H236" s="18" t="n">
        <x:f>MAX(F236,0)</x:f>
        <x:v>0</x:v>
      </x:c>
      <x:c r="I236" s="18" t="n">
        <x:f>J235</x:f>
        <x:v>21.51702</x:v>
      </x:c>
      <x:c r="J236" s="18" t="n">
        <x:f>I236+E236*(G236*'原始输入与口径'!$D$5-H236/'原始输入与口径'!$D$5)</x:f>
        <x:v>21.51702</x:v>
      </x:c>
      <x:c r="K236" s="18" t="n">
        <x:v>21.517019999999995</x:v>
      </x:c>
      <x:c r="L236" s="18" t="n">
        <x:v>21.517019999999995</x:v>
      </x:c>
      <x:c r="M236" s="18" t="n">
        <x:f>J236-L236</x:f>
        <x:v>3.552713678800501e-15</x:v>
      </x:c>
      <x:c r="N236" s="18" t="n">
        <x:f>E236*(G236*'原始输入与口径'!$D$5+H236/'原始输入与口径'!$D$5)/'原始输入与口径'!$H$5</x:f>
        <x:v>0</x:v>
      </x:c>
      <x:c r="O236" s="18" t="n">
        <x:v>0</x:v>
      </x:c>
      <x:c r="P236" s="18" t="n">
        <x:f>N236-O236</x:f>
        <x:v>0</x:v>
      </x:c>
      <x:c r="Q236" s="18" t="n">
        <x:f>E236*G236</x:f>
        <x:v>0</x:v>
      </x:c>
      <x:c r="R236" s="18" t="n">
        <x:f>E236*H236</x:f>
        <x:v>0</x:v>
      </x:c>
      <x:c r="S236" s="2" t="n">
        <x:v>99</x:v>
      </x:c>
    </x:row>
    <x:row r="237" ht="21" customHeight="1">
      <x:c r="A237" s="36" t="n">
        <x:v>45659.024884583334</x:v>
      </x:c>
      <x:c r="B237" s="36" t="n">
        <x:v>45659.03125</x:v>
      </x:c>
      <x:c r="C237" s="36" t="n">
        <x:v>45659.020833333336</x:v>
      </x:c>
      <x:c r="D237" s="2" t="str">
        <x:v>0</x:v>
      </x:c>
      <x:c r="E237" s="18" t="n">
        <x:v>0.15277</x:v>
      </x:c>
      <x:c r="F237" s="18" t="n">
        <x:f>IF(D237="d",'两日价格与决策'!K105-'两日价格与决策'!N105,IF(D237="u",'两日价格与决策'!K105+'两日价格与决策'!M105,'两日价格与决策'!K105))</x:f>
        <x:v>-100</x:v>
      </x:c>
      <x:c r="G237" s="18" t="n">
        <x:f>MAX(-F237,0)</x:f>
        <x:v>100</x:v>
      </x:c>
      <x:c r="H237" s="18" t="n">
        <x:f>MAX(F237,0)</x:f>
        <x:v>0</x:v>
      </x:c>
      <x:c r="I237" s="18" t="n">
        <x:f>J236</x:f>
        <x:v>21.51702</x:v>
      </x:c>
      <x:c r="J237" s="18" t="n">
        <x:f>I237+E237*(G237*'原始输入与口径'!$D$5-H237/'原始输入与口径'!$D$5)</x:f>
        <x:v>35.57186</x:v>
      </x:c>
      <x:c r="K237" s="18" t="n">
        <x:v>21.517019999999995</x:v>
      </x:c>
      <x:c r="L237" s="18" t="n">
        <x:v>35.571859999999994</x:v>
      </x:c>
      <x:c r="M237" s="18" t="n">
        <x:f>J237-L237</x:f>
        <x:v>7.105427357601002e-15</x:v>
      </x:c>
      <x:c r="N237" s="18" t="n">
        <x:f>E237*(G237*'原始输入与口径'!$D$5+H237/'原始输入与口径'!$D$5)/'原始输入与口径'!$H$5</x:f>
        <x:v>0.03904122222222222</x:v>
      </x:c>
      <x:c r="O237" s="18" t="n">
        <x:v>0.03904122222222222</x:v>
      </x:c>
      <x:c r="P237" s="18" t="n">
        <x:f>N237-O237</x:f>
        <x:v>0</x:v>
      </x:c>
      <x:c r="Q237" s="18" t="n">
        <x:f>E237*G237</x:f>
        <x:v>15.277</x:v>
      </x:c>
      <x:c r="R237" s="18" t="n">
        <x:f>E237*H237</x:f>
        <x:v>0</x:v>
      </x:c>
      <x:c r="S237" s="2" t="n">
        <x:v>99</x:v>
      </x:c>
    </x:row>
    <x:row r="238" ht="21" customHeight="1">
      <x:c r="A238" s="36" t="n">
        <x:v>45659.03125</x:v>
      </x:c>
      <x:c r="B238" s="36" t="n">
        <x:v>45659.031562916665</x:v>
      </x:c>
      <x:c r="C238" s="36" t="n">
        <x:v>45659.03125</x:v>
      </x:c>
      <x:c r="D238" s="2" t="str">
        <x:v>d</x:v>
      </x:c>
      <x:c r="E238" s="18" t="n">
        <x:v>0.00751</x:v>
      </x:c>
      <x:c r="F238" s="18" t="n">
        <x:f>IF(D238="d",'两日价格与决策'!K106-'两日价格与决策'!N106,IF(D238="u",'两日价格与决策'!K106+'两日价格与决策'!M106,'两日价格与决策'!K106))</x:f>
        <x:v>-100</x:v>
      </x:c>
      <x:c r="G238" s="18" t="n">
        <x:f>MAX(-F238,0)</x:f>
        <x:v>100</x:v>
      </x:c>
      <x:c r="H238" s="18" t="n">
        <x:f>MAX(F238,0)</x:f>
        <x:v>0</x:v>
      </x:c>
      <x:c r="I238" s="18" t="n">
        <x:f>J237</x:f>
        <x:v>35.57186</x:v>
      </x:c>
      <x:c r="J238" s="18" t="n">
        <x:f>I238+E238*(G238*'原始输入与口径'!$D$5-H238/'原始输入与口径'!$D$5)</x:f>
        <x:v>36.26278</x:v>
      </x:c>
      <x:c r="K238" s="18" t="n">
        <x:v>35.571859999999994</x:v>
      </x:c>
      <x:c r="L238" s="18" t="n">
        <x:v>36.26277999999999</x:v>
      </x:c>
      <x:c r="M238" s="18" t="n">
        <x:f>J238-L238</x:f>
        <x:v>7.105427357601002e-15</x:v>
      </x:c>
      <x:c r="N238" s="18" t="n">
        <x:f>E238*(G238*'原始输入与口径'!$D$5+H238/'原始输入与口径'!$D$5)/'原始输入与口径'!$H$5</x:f>
        <x:v>0.0019192222222222221</x:v>
      </x:c>
      <x:c r="O238" s="18" t="n">
        <x:v>0.0019192222222222221</x:v>
      </x:c>
      <x:c r="P238" s="18" t="n">
        <x:f>N238-O238</x:f>
        <x:v>0</x:v>
      </x:c>
      <x:c r="Q238" s="18" t="n">
        <x:f>E238*G238</x:f>
        <x:v>0.751</x:v>
      </x:c>
      <x:c r="R238" s="18" t="n">
        <x:f>E238*H238</x:f>
        <x:v>0</x:v>
      </x:c>
      <x:c r="S238" s="2" t="n">
        <x:v>100</x:v>
      </x:c>
    </x:row>
    <x:row r="239" ht="21" customHeight="1">
      <x:c r="A239" s="36" t="n">
        <x:v>45659.031562916665</x:v>
      </x:c>
      <x:c r="B239" s="36" t="n">
        <x:v>45659.03196479167</x:v>
      </x:c>
      <x:c r="C239" s="36" t="n">
        <x:v>45659.03125</x:v>
      </x:c>
      <x:c r="D239" s="2" t="str">
        <x:v>u</x:v>
      </x:c>
      <x:c r="E239" s="18" t="n">
        <x:v>0.009645</x:v>
      </x:c>
      <x:c r="F239" s="18" t="n">
        <x:f>IF(D239="d",'两日价格与决策'!K106-'两日价格与决策'!N106,IF(D239="u",'两日价格与决策'!K106+'两日价格与决策'!M106,'两日价格与决策'!K106))</x:f>
        <x:v>0</x:v>
      </x:c>
      <x:c r="G239" s="18" t="n">
        <x:f>MAX(-F239,0)</x:f>
        <x:v>0</x:v>
      </x:c>
      <x:c r="H239" s="18" t="n">
        <x:f>MAX(F239,0)</x:f>
        <x:v>0</x:v>
      </x:c>
      <x:c r="I239" s="18" t="n">
        <x:f>J238</x:f>
        <x:v>36.26278</x:v>
      </x:c>
      <x:c r="J239" s="18" t="n">
        <x:f>I239+E239*(G239*'原始输入与口径'!$D$5-H239/'原始输入与口径'!$D$5)</x:f>
        <x:v>36.26278</x:v>
      </x:c>
      <x:c r="K239" s="18" t="n">
        <x:v>36.26277999999999</x:v>
      </x:c>
      <x:c r="L239" s="18" t="n">
        <x:v>36.26277999999999</x:v>
      </x:c>
      <x:c r="M239" s="18" t="n">
        <x:f>J239-L239</x:f>
        <x:v>7.105427357601002e-15</x:v>
      </x:c>
      <x:c r="N239" s="18" t="n">
        <x:f>E239*(G239*'原始输入与口径'!$D$5+H239/'原始输入与口径'!$D$5)/'原始输入与口径'!$H$5</x:f>
        <x:v>0</x:v>
      </x:c>
      <x:c r="O239" s="18" t="n">
        <x:v>0</x:v>
      </x:c>
      <x:c r="P239" s="18" t="n">
        <x:f>N239-O239</x:f>
        <x:v>0</x:v>
      </x:c>
      <x:c r="Q239" s="18" t="n">
        <x:f>E239*G239</x:f>
        <x:v>0</x:v>
      </x:c>
      <x:c r="R239" s="18" t="n">
        <x:f>E239*H239</x:f>
        <x:v>0</x:v>
      </x:c>
      <x:c r="S239" s="2" t="n">
        <x:v>100</x:v>
      </x:c>
    </x:row>
    <x:row r="240" ht="21" customHeight="1">
      <x:c r="A240" s="36" t="n">
        <x:v>45659.03196479167</x:v>
      </x:c>
      <x:c r="B240" s="36" t="n">
        <x:v>45659.041666666664</x:v>
      </x:c>
      <x:c r="C240" s="36" t="n">
        <x:v>45659.03125</x:v>
      </x:c>
      <x:c r="D240" s="2" t="str">
        <x:v>0</x:v>
      </x:c>
      <x:c r="E240" s="18" t="n">
        <x:v>0.232845</x:v>
      </x:c>
      <x:c r="F240" s="18" t="n">
        <x:f>IF(D240="d",'两日价格与决策'!K106-'两日价格与决策'!N106,IF(D240="u",'两日价格与决策'!K106+'两日价格与决策'!M106,'两日价格与决策'!K106))</x:f>
        <x:v>-100</x:v>
      </x:c>
      <x:c r="G240" s="18" t="n">
        <x:f>MAX(-F240,0)</x:f>
        <x:v>100</x:v>
      </x:c>
      <x:c r="H240" s="18" t="n">
        <x:f>MAX(F240,0)</x:f>
        <x:v>0</x:v>
      </x:c>
      <x:c r="I240" s="18" t="n">
        <x:f>J239</x:f>
        <x:v>36.26278</x:v>
      </x:c>
      <x:c r="J240" s="18" t="n">
        <x:f>I240+E240*(G240*'原始输入与口径'!$D$5-H240/'原始输入与口径'!$D$5)</x:f>
        <x:v>57.68452</x:v>
      </x:c>
      <x:c r="K240" s="18" t="n">
        <x:v>36.26277999999999</x:v>
      </x:c>
      <x:c r="L240" s="18" t="n">
        <x:v>57.68451999999999</x:v>
      </x:c>
      <x:c r="M240" s="18" t="n">
        <x:f>J240-L240</x:f>
        <x:v>7.105427357601002e-15</x:v>
      </x:c>
      <x:c r="N240" s="18" t="n">
        <x:f>E240*(G240*'原始输入与口径'!$D$5+H240/'原始输入与口径'!$D$5)/'原始输入与口径'!$H$5</x:f>
        <x:v>0.05950483333333333</x:v>
      </x:c>
      <x:c r="O240" s="18" t="n">
        <x:v>0.05950483333333334</x:v>
      </x:c>
      <x:c r="P240" s="18" t="n">
        <x:f>N240-O240</x:f>
        <x:v>-6.938893903907228e-18</x:v>
      </x:c>
      <x:c r="Q240" s="18" t="n">
        <x:f>E240*G240</x:f>
        <x:v>23.2845</x:v>
      </x:c>
      <x:c r="R240" s="18" t="n">
        <x:f>E240*H240</x:f>
        <x:v>0</x:v>
      </x:c>
      <x:c r="S240" s="2" t="n">
        <x:v>100</x:v>
      </x:c>
    </x:row>
    <x:row r="241" ht="21" customHeight="1">
      <x:c r="A241" s="36" t="n">
        <x:v>45659.041666666664</x:v>
      </x:c>
      <x:c r="B241" s="36" t="n">
        <x:v>45659.04167</x:v>
      </x:c>
      <x:c r="C241" s="36" t="n">
        <x:v>45659.041666666664</x:v>
      </x:c>
      <x:c r="D241" s="2" t="str">
        <x:v>d</x:v>
      </x:c>
      <x:c r="E241" s="18" t="n">
        <x:v>0.00008</x:v>
      </x:c>
      <x:c r="F241" s="18" t="n">
        <x:f>IF(D241="d",'两日价格与决策'!K107-'两日价格与决策'!N107,IF(D241="u",'两日价格与决策'!K107+'两日价格与决策'!M107,'两日价格与决策'!K107))</x:f>
        <x:v>-100</x:v>
      </x:c>
      <x:c r="G241" s="18" t="n">
        <x:f>MAX(-F241,0)</x:f>
        <x:v>100</x:v>
      </x:c>
      <x:c r="H241" s="18" t="n">
        <x:f>MAX(F241,0)</x:f>
        <x:v>0</x:v>
      </x:c>
      <x:c r="I241" s="18" t="n">
        <x:f>J240</x:f>
        <x:v>57.68452</x:v>
      </x:c>
      <x:c r="J241" s="18" t="n">
        <x:f>I241+E241*(G241*'原始输入与口径'!$D$5-H241/'原始输入与口径'!$D$5)</x:f>
        <x:v>57.69188</x:v>
      </x:c>
      <x:c r="K241" s="18" t="n">
        <x:v>57.68451999999999</x:v>
      </x:c>
      <x:c r="L241" s="18" t="n">
        <x:v>57.69187999999999</x:v>
      </x:c>
      <x:c r="M241" s="18" t="n">
        <x:f>J241-L241</x:f>
        <x:v>7.105427357601002e-15</x:v>
      </x:c>
      <x:c r="N241" s="18" t="n">
        <x:f>E241*(G241*'原始输入与口径'!$D$5+H241/'原始输入与口径'!$D$5)/'原始输入与口径'!$H$5</x:f>
        <x:v>0.000020444444444444446</x:v>
      </x:c>
      <x:c r="O241" s="18" t="n">
        <x:v>0.000020444444444444446</x:v>
      </x:c>
      <x:c r="P241" s="18" t="n">
        <x:f>N241-O241</x:f>
        <x:v>0</x:v>
      </x:c>
      <x:c r="Q241" s="18" t="n">
        <x:f>E241*G241</x:f>
        <x:v>0.008</x:v>
      </x:c>
      <x:c r="R241" s="18" t="n">
        <x:f>E241*H241</x:f>
        <x:v>0</x:v>
      </x:c>
      <x:c r="S241" s="2" t="n">
        <x:v>101</x:v>
      </x:c>
    </x:row>
    <x:row r="242" ht="21" customHeight="1">
      <x:c r="A242" s="36" t="n">
        <x:v>45659.04167</x:v>
      </x:c>
      <x:c r="B242" s="36" t="n">
        <x:v>45659.04466375</x:v>
      </x:c>
      <x:c r="C242" s="36" t="n">
        <x:v>45659.041666666664</x:v>
      </x:c>
      <x:c r="D242" s="2" t="str">
        <x:v>u</x:v>
      </x:c>
      <x:c r="E242" s="18" t="n">
        <x:v>0.07185</x:v>
      </x:c>
      <x:c r="F242" s="18" t="n">
        <x:f>IF(D242="d",'两日价格与决策'!K107-'两日价格与决策'!N107,IF(D242="u",'两日价格与决策'!K107+'两日价格与决策'!M107,'两日价格与决策'!K107))</x:f>
        <x:v>100</x:v>
      </x:c>
      <x:c r="G242" s="18" t="n">
        <x:f>MAX(-F242,0)</x:f>
        <x:v>0</x:v>
      </x:c>
      <x:c r="H242" s="18" t="n">
        <x:f>MAX(F242,0)</x:f>
        <x:v>100</x:v>
      </x:c>
      <x:c r="I242" s="18" t="n">
        <x:f>J241</x:f>
        <x:v>57.69188</x:v>
      </x:c>
      <x:c r="J242" s="18" t="n">
        <x:f>I242+E242*(G242*'原始输入与口径'!$D$5-H242/'原始输入与口径'!$D$5)</x:f>
        <x:v>49.88209739130435</x:v>
      </x:c>
      <x:c r="K242" s="18" t="n">
        <x:v>57.69187999999999</x:v>
      </x:c>
      <x:c r="L242" s="18" t="n">
        <x:v>49.88209739130434</x:v>
      </x:c>
      <x:c r="M242" s="18" t="n">
        <x:f>J242-L242</x:f>
        <x:v>7.105427357601002e-15</x:v>
      </x:c>
      <x:c r="N242" s="18" t="n">
        <x:f>E242*(G242*'原始输入与口径'!$D$5+H242/'原始输入与口径'!$D$5)/'原始输入与口径'!$H$5</x:f>
        <x:v>0.021693840579710143</x:v>
      </x:c>
      <x:c r="O242" s="18" t="n">
        <x:v>0.021693840579710143</x:v>
      </x:c>
      <x:c r="P242" s="18" t="n">
        <x:f>N242-O242</x:f>
        <x:v>0</x:v>
      </x:c>
      <x:c r="Q242" s="18" t="n">
        <x:f>E242*G242</x:f>
        <x:v>0</x:v>
      </x:c>
      <x:c r="R242" s="18" t="n">
        <x:f>E242*H242</x:f>
        <x:v>7.185</x:v>
      </x:c>
      <x:c r="S242" s="2" t="n">
        <x:v>101</x:v>
      </x:c>
    </x:row>
    <x:row r="243" ht="21" customHeight="1">
      <x:c r="A243" s="36" t="n">
        <x:v>45659.04466375</x:v>
      </x:c>
      <x:c r="B243" s="36" t="n">
        <x:v>45659.05208333333</x:v>
      </x:c>
      <x:c r="C243" s="36" t="n">
        <x:v>45659.041666666664</x:v>
      </x:c>
      <x:c r="D243" s="2" t="str">
        <x:v>0</x:v>
      </x:c>
      <x:c r="E243" s="18" t="n">
        <x:v>0.17807</x:v>
      </x:c>
      <x:c r="F243" s="18" t="n">
        <x:f>IF(D243="d",'两日价格与决策'!K107-'两日价格与决策'!N107,IF(D243="u",'两日价格与决策'!K107+'两日价格与决策'!M107,'两日价格与决策'!K107))</x:f>
        <x:v>0</x:v>
      </x:c>
      <x:c r="G243" s="18" t="n">
        <x:f>MAX(-F243,0)</x:f>
        <x:v>0</x:v>
      </x:c>
      <x:c r="H243" s="18" t="n">
        <x:f>MAX(F243,0)</x:f>
        <x:v>0</x:v>
      </x:c>
      <x:c r="I243" s="18" t="n">
        <x:f>J242</x:f>
        <x:v>49.88209739130435</x:v>
      </x:c>
      <x:c r="J243" s="18" t="n">
        <x:f>I243+E243*(G243*'原始输入与口径'!$D$5-H243/'原始输入与口径'!$D$5)</x:f>
        <x:v>49.88209739130435</x:v>
      </x:c>
      <x:c r="K243" s="18" t="n">
        <x:v>49.88209739130434</x:v>
      </x:c>
      <x:c r="L243" s="18" t="n">
        <x:v>49.88209739130434</x:v>
      </x:c>
      <x:c r="M243" s="18" t="n">
        <x:f>J243-L243</x:f>
        <x:v>7.105427357601002e-15</x:v>
      </x:c>
      <x:c r="N243" s="18" t="n">
        <x:f>E243*(G243*'原始输入与口径'!$D$5+H243/'原始输入与口径'!$D$5)/'原始输入与口径'!$H$5</x:f>
        <x:v>0</x:v>
      </x:c>
      <x:c r="O243" s="18" t="n">
        <x:v>0</x:v>
      </x:c>
      <x:c r="P243" s="18" t="n">
        <x:f>N243-O243</x:f>
        <x:v>0</x:v>
      </x:c>
      <x:c r="Q243" s="18" t="n">
        <x:f>E243*G243</x:f>
        <x:v>0</x:v>
      </x:c>
      <x:c r="R243" s="18" t="n">
        <x:f>E243*H243</x:f>
        <x:v>0</x:v>
      </x:c>
      <x:c r="S243" s="2" t="n">
        <x:v>101</x:v>
      </x:c>
    </x:row>
    <x:row r="244" ht="21" customHeight="1">
      <x:c r="A244" s="36" t="n">
        <x:v>45659.052083333336</x:v>
      </x:c>
      <x:c r="B244" s="36" t="n">
        <x:v>45659.05405333333</x:v>
      </x:c>
      <x:c r="C244" s="36" t="n">
        <x:v>45659.052083333336</x:v>
      </x:c>
      <x:c r="D244" s="2" t="str">
        <x:v>u</x:v>
      </x:c>
      <x:c r="E244" s="18" t="n">
        <x:v>0.047279999999999996</x:v>
      </x:c>
      <x:c r="F244" s="18" t="n">
        <x:f>IF(D244="d",'两日价格与决策'!K108-'两日价格与决策'!N108,IF(D244="u",'两日价格与决策'!K108+'两日价格与决策'!M108,'两日价格与决策'!K108))</x:f>
        <x:v>100</x:v>
      </x:c>
      <x:c r="G244" s="18" t="n">
        <x:f>MAX(-F244,0)</x:f>
        <x:v>0</x:v>
      </x:c>
      <x:c r="H244" s="18" t="n">
        <x:f>MAX(F244,0)</x:f>
        <x:v>100</x:v>
      </x:c>
      <x:c r="I244" s="18" t="n">
        <x:f>J243</x:f>
        <x:v>49.88209739130435</x:v>
      </x:c>
      <x:c r="J244" s="18" t="n">
        <x:f>I244+E244*(G244*'原始输入与口径'!$D$5-H244/'原始输入与口径'!$D$5)</x:f>
        <x:v>44.74296695652174</x:v>
      </x:c>
      <x:c r="K244" s="18" t="n">
        <x:v>49.88209739130434</x:v>
      </x:c>
      <x:c r="L244" s="18" t="n">
        <x:v>44.742966956521734</x:v>
      </x:c>
      <x:c r="M244" s="18" t="n">
        <x:f>J244-L244</x:f>
        <x:v>7.105427357601002e-15</x:v>
      </x:c>
      <x:c r="N244" s="18" t="n">
        <x:f>E244*(G244*'原始输入与口径'!$D$5+H244/'原始输入与口径'!$D$5)/'原始输入与口径'!$H$5</x:f>
        <x:v>0.014275362318840577</x:v>
      </x:c>
      <x:c r="O244" s="18" t="n">
        <x:v>0.014275362318840577</x:v>
      </x:c>
      <x:c r="P244" s="18" t="n">
        <x:f>N244-O244</x:f>
        <x:v>0</x:v>
      </x:c>
      <x:c r="Q244" s="18" t="n">
        <x:f>E244*G244</x:f>
        <x:v>0</x:v>
      </x:c>
      <x:c r="R244" s="18" t="n">
        <x:f>E244*H244</x:f>
        <x:v>4.728</x:v>
      </x:c>
      <x:c r="S244" s="2" t="n">
        <x:v>102</x:v>
      </x:c>
    </x:row>
    <x:row r="245" ht="21" customHeight="1">
      <x:c r="A245" s="36" t="n">
        <x:v>45659.05405333333</x:v>
      </x:c>
      <x:c r="B245" s="36" t="n">
        <x:v>45659.0625</x:v>
      </x:c>
      <x:c r="C245" s="36" t="n">
        <x:v>45659.052083333336</x:v>
      </x:c>
      <x:c r="D245" s="2" t="str">
        <x:v>0</x:v>
      </x:c>
      <x:c r="E245" s="18" t="n">
        <x:v>0.20272</x:v>
      </x:c>
      <x:c r="F245" s="18" t="n">
        <x:f>IF(D245="d",'两日价格与决策'!K108-'两日价格与决策'!N108,IF(D245="u",'两日价格与决策'!K108+'两日价格与决策'!M108,'两日价格与决策'!K108))</x:f>
        <x:v>0</x:v>
      </x:c>
      <x:c r="G245" s="18" t="n">
        <x:f>MAX(-F245,0)</x:f>
        <x:v>0</x:v>
      </x:c>
      <x:c r="H245" s="18" t="n">
        <x:f>MAX(F245,0)</x:f>
        <x:v>0</x:v>
      </x:c>
      <x:c r="I245" s="18" t="n">
        <x:f>J244</x:f>
        <x:v>44.74296695652174</x:v>
      </x:c>
      <x:c r="J245" s="18" t="n">
        <x:f>I245+E245*(G245*'原始输入与口径'!$D$5-H245/'原始输入与口径'!$D$5)</x:f>
        <x:v>44.74296695652174</x:v>
      </x:c>
      <x:c r="K245" s="18" t="n">
        <x:v>44.742966956521734</x:v>
      </x:c>
      <x:c r="L245" s="18" t="n">
        <x:v>44.742966956521734</x:v>
      </x:c>
      <x:c r="M245" s="18" t="n">
        <x:f>J245-L245</x:f>
        <x:v>7.105427357601002e-15</x:v>
      </x:c>
      <x:c r="N245" s="18" t="n">
        <x:f>E245*(G245*'原始输入与口径'!$D$5+H245/'原始输入与口径'!$D$5)/'原始输入与口径'!$H$5</x:f>
        <x:v>0</x:v>
      </x:c>
      <x:c r="O245" s="18" t="n">
        <x:v>0</x:v>
      </x:c>
      <x:c r="P245" s="18" t="n">
        <x:f>N245-O245</x:f>
        <x:v>0</x:v>
      </x:c>
      <x:c r="Q245" s="18" t="n">
        <x:f>E245*G245</x:f>
        <x:v>0</x:v>
      </x:c>
      <x:c r="R245" s="18" t="n">
        <x:f>E245*H245</x:f>
        <x:v>0</x:v>
      </x:c>
      <x:c r="S245" s="2" t="n">
        <x:v>102</x:v>
      </x:c>
    </x:row>
    <x:row r="246" ht="21" customHeight="1">
      <x:c r="A246" s="36" t="n">
        <x:v>45659.0625</x:v>
      </x:c>
      <x:c r="B246" s="36" t="n">
        <x:v>45659.062780416665</x:v>
      </x:c>
      <x:c r="C246" s="36" t="n">
        <x:v>45659.0625</x:v>
      </x:c>
      <x:c r="D246" s="2" t="str">
        <x:v>d</x:v>
      </x:c>
      <x:c r="E246" s="18" t="n">
        <x:v>0.006730000000000001</x:v>
      </x:c>
      <x:c r="F246" s="18" t="n">
        <x:f>IF(D246="d",'两日价格与决策'!K109-'两日价格与决策'!N109,IF(D246="u",'两日价格与决策'!K109+'两日价格与决策'!M109,'两日价格与决策'!K109))</x:f>
        <x:v>-100</x:v>
      </x:c>
      <x:c r="G246" s="18" t="n">
        <x:f>MAX(-F246,0)</x:f>
        <x:v>100</x:v>
      </x:c>
      <x:c r="H246" s="18" t="n">
        <x:f>MAX(F246,0)</x:f>
        <x:v>0</x:v>
      </x:c>
      <x:c r="I246" s="18" t="n">
        <x:f>J245</x:f>
        <x:v>44.74296695652174</x:v>
      </x:c>
      <x:c r="J246" s="18" t="n">
        <x:f>I246+E246*(G246*'原始输入与口径'!$D$5-H246/'原始输入与口径'!$D$5)</x:f>
        <x:v>45.36212695652174</x:v>
      </x:c>
      <x:c r="K246" s="18" t="n">
        <x:v>44.742966956521734</x:v>
      </x:c>
      <x:c r="L246" s="18" t="n">
        <x:v>45.362126956521735</x:v>
      </x:c>
      <x:c r="M246" s="18" t="n">
        <x:f>J246-L246</x:f>
        <x:v>7.105427357601002e-15</x:v>
      </x:c>
      <x:c r="N246" s="18" t="n">
        <x:f>E246*(G246*'原始输入与口径'!$D$5+H246/'原始输入与口径'!$D$5)/'原始输入与口径'!$H$5</x:f>
        <x:v>0.001719888888888889</x:v>
      </x:c>
      <x:c r="O246" s="18" t="n">
        <x:v>0.001719888888888889</x:v>
      </x:c>
      <x:c r="P246" s="18" t="n">
        <x:f>N246-O246</x:f>
        <x:v>0</x:v>
      </x:c>
      <x:c r="Q246" s="18" t="n">
        <x:f>E246*G246</x:f>
        <x:v>0.673</x:v>
      </x:c>
      <x:c r="R246" s="18" t="n">
        <x:f>E246*H246</x:f>
        <x:v>0</x:v>
      </x:c>
      <x:c r="S246" s="2" t="n">
        <x:v>103</x:v>
      </x:c>
    </x:row>
    <x:row r="247" ht="21" customHeight="1">
      <x:c r="A247" s="36" t="n">
        <x:v>45659.062780416665</x:v>
      </x:c>
      <x:c r="B247" s="36" t="n">
        <x:v>45659.06283916667</x:v>
      </x:c>
      <x:c r="C247" s="36" t="n">
        <x:v>45659.0625</x:v>
      </x:c>
      <x:c r="D247" s="2" t="str">
        <x:v>u</x:v>
      </x:c>
      <x:c r="E247" s="18" t="n">
        <x:v>0.0014099999999999998</x:v>
      </x:c>
      <x:c r="F247" s="18" t="n">
        <x:f>IF(D247="d",'两日价格与决策'!K109-'两日价格与决策'!N109,IF(D247="u",'两日价格与决策'!K109+'两日价格与决策'!M109,'两日价格与决策'!K109))</x:f>
        <x:v>100</x:v>
      </x:c>
      <x:c r="G247" s="18" t="n">
        <x:f>MAX(-F247,0)</x:f>
        <x:v>0</x:v>
      </x:c>
      <x:c r="H247" s="18" t="n">
        <x:f>MAX(F247,0)</x:f>
        <x:v>100</x:v>
      </x:c>
      <x:c r="I247" s="18" t="n">
        <x:f>J246</x:f>
        <x:v>45.36212695652174</x:v>
      </x:c>
      <x:c r="J247" s="18" t="n">
        <x:f>I247+E247*(G247*'原始输入与口径'!$D$5-H247/'原始输入与口径'!$D$5)</x:f>
        <x:v>45.208866086956526</x:v>
      </x:c>
      <x:c r="K247" s="18" t="n">
        <x:v>45.362126956521735</x:v>
      </x:c>
      <x:c r="L247" s="18" t="n">
        <x:v>45.20886608695652</x:v>
      </x:c>
      <x:c r="M247" s="18" t="n">
        <x:f>J247-L247</x:f>
        <x:v>7.105427357601002e-15</x:v>
      </x:c>
      <x:c r="N247" s="18" t="n">
        <x:f>E247*(G247*'原始输入与口径'!$D$5+H247/'原始输入与口径'!$D$5)/'原始输入与口径'!$H$5</x:f>
        <x:v>0.00042572463768115933</x:v>
      </x:c>
      <x:c r="O247" s="18" t="n">
        <x:v>0.00042572463768115933</x:v>
      </x:c>
      <x:c r="P247" s="18" t="n">
        <x:f>N247-O247</x:f>
        <x:v>0</x:v>
      </x:c>
      <x:c r="Q247" s="18" t="n">
        <x:f>E247*G247</x:f>
        <x:v>0</x:v>
      </x:c>
      <x:c r="R247" s="18" t="n">
        <x:f>E247*H247</x:f>
        <x:v>0.141</x:v>
      </x:c>
      <x:c r="S247" s="2" t="n">
        <x:v>103</x:v>
      </x:c>
    </x:row>
    <x:row r="248" ht="21" customHeight="1">
      <x:c r="A248" s="36" t="n">
        <x:v>45659.06283916667</x:v>
      </x:c>
      <x:c r="B248" s="36" t="n">
        <x:v>45659.072916666664</x:v>
      </x:c>
      <x:c r="C248" s="36" t="n">
        <x:v>45659.0625</x:v>
      </x:c>
      <x:c r="D248" s="2" t="str">
        <x:v>0</x:v>
      </x:c>
      <x:c r="E248" s="18" t="n">
        <x:v>0.24186</x:v>
      </x:c>
      <x:c r="F248" s="18" t="n">
        <x:f>IF(D248="d",'两日价格与决策'!K109-'两日价格与决策'!N109,IF(D248="u",'两日价格与决策'!K109+'两日价格与决策'!M109,'两日价格与决策'!K109))</x:f>
        <x:v>0</x:v>
      </x:c>
      <x:c r="G248" s="18" t="n">
        <x:f>MAX(-F248,0)</x:f>
        <x:v>0</x:v>
      </x:c>
      <x:c r="H248" s="18" t="n">
        <x:f>MAX(F248,0)</x:f>
        <x:v>0</x:v>
      </x:c>
      <x:c r="I248" s="18" t="n">
        <x:f>J247</x:f>
        <x:v>45.208866086956526</x:v>
      </x:c>
      <x:c r="J248" s="18" t="n">
        <x:f>I248+E248*(G248*'原始输入与口径'!$D$5-H248/'原始输入与口径'!$D$5)</x:f>
        <x:v>45.208866086956526</x:v>
      </x:c>
      <x:c r="K248" s="18" t="n">
        <x:v>45.20886608695652</x:v>
      </x:c>
      <x:c r="L248" s="18" t="n">
        <x:v>45.20886608695652</x:v>
      </x:c>
      <x:c r="M248" s="18" t="n">
        <x:f>J248-L248</x:f>
        <x:v>7.105427357601002e-15</x:v>
      </x:c>
      <x:c r="N248" s="18" t="n">
        <x:f>E248*(G248*'原始输入与口径'!$D$5+H248/'原始输入与口径'!$D$5)/'原始输入与口径'!$H$5</x:f>
        <x:v>0</x:v>
      </x:c>
      <x:c r="O248" s="18" t="n">
        <x:v>0</x:v>
      </x:c>
      <x:c r="P248" s="18" t="n">
        <x:f>N248-O248</x:f>
        <x:v>0</x:v>
      </x:c>
      <x:c r="Q248" s="18" t="n">
        <x:f>E248*G248</x:f>
        <x:v>0</x:v>
      </x:c>
      <x:c r="R248" s="18" t="n">
        <x:f>E248*H248</x:f>
        <x:v>0</x:v>
      </x:c>
      <x:c r="S248" s="2" t="n">
        <x:v>103</x:v>
      </x:c>
    </x:row>
    <x:row r="249" ht="21" customHeight="1">
      <x:c r="A249" s="36" t="n">
        <x:v>45659.072916666664</x:v>
      </x:c>
      <x:c r="B249" s="36" t="n">
        <x:v>45659.07460104166</x:v>
      </x:c>
      <x:c r="C249" s="36" t="n">
        <x:v>45659.072916666664</x:v>
      </x:c>
      <x:c r="D249" s="2" t="str">
        <x:v>d</x:v>
      </x:c>
      <x:c r="E249" s="18" t="n">
        <x:v>0.040425</x:v>
      </x:c>
      <x:c r="F249" s="18" t="n">
        <x:f>IF(D249="d",'两日价格与决策'!K110-'两日价格与决策'!N110,IF(D249="u",'两日价格与决策'!K110+'两日价格与决策'!M110,'两日价格与决策'!K110))</x:f>
        <x:v>-100</x:v>
      </x:c>
      <x:c r="G249" s="18" t="n">
        <x:f>MAX(-F249,0)</x:f>
        <x:v>100</x:v>
      </x:c>
      <x:c r="H249" s="18" t="n">
        <x:f>MAX(F249,0)</x:f>
        <x:v>0</x:v>
      </x:c>
      <x:c r="I249" s="18" t="n">
        <x:f>J248</x:f>
        <x:v>45.208866086956526</x:v>
      </x:c>
      <x:c r="J249" s="18" t="n">
        <x:f>I249+E249*(G249*'原始输入与口径'!$D$5-H249/'原始输入与口径'!$D$5)</x:f>
        <x:v>48.92796608695652</x:v>
      </x:c>
      <x:c r="K249" s="18" t="n">
        <x:v>45.20886608695652</x:v>
      </x:c>
      <x:c r="L249" s="18" t="n">
        <x:v>48.927966086956516</x:v>
      </x:c>
      <x:c r="M249" s="18" t="n">
        <x:f>J249-L249</x:f>
        <x:v>7.105427357601002e-15</x:v>
      </x:c>
      <x:c r="N249" s="18" t="n">
        <x:f>E249*(G249*'原始输入与口径'!$D$5+H249/'原始输入与口径'!$D$5)/'原始输入与口径'!$H$5</x:f>
        <x:v>0.010330833333333334</x:v>
      </x:c>
      <x:c r="O249" s="18" t="n">
        <x:v>0.010330833333333334</x:v>
      </x:c>
      <x:c r="P249" s="18" t="n">
        <x:f>N249-O249</x:f>
        <x:v>0</x:v>
      </x:c>
      <x:c r="Q249" s="18" t="n">
        <x:f>E249*G249</x:f>
        <x:v>4.0425</x:v>
      </x:c>
      <x:c r="R249" s="18" t="n">
        <x:f>E249*H249</x:f>
        <x:v>0</x:v>
      </x:c>
      <x:c r="S249" s="2" t="n">
        <x:v>104</x:v>
      </x:c>
    </x:row>
    <x:row r="250" ht="21" customHeight="1">
      <x:c r="A250" s="36" t="n">
        <x:v>45659.07460104166</x:v>
      </x:c>
      <x:c r="B250" s="36" t="n">
        <x:v>45659.08333333333</x:v>
      </x:c>
      <x:c r="C250" s="36" t="n">
        <x:v>45659.072916666664</x:v>
      </x:c>
      <x:c r="D250" s="2" t="str">
        <x:v>0</x:v>
      </x:c>
      <x:c r="E250" s="18" t="n">
        <x:v>0.209575</x:v>
      </x:c>
      <x:c r="F250" s="18" t="n">
        <x:f>IF(D250="d",'两日价格与决策'!K110-'两日价格与决策'!N110,IF(D250="u",'两日价格与决策'!K110+'两日价格与决策'!M110,'两日价格与决策'!K110))</x:f>
        <x:v>0</x:v>
      </x:c>
      <x:c r="G250" s="18" t="n">
        <x:f>MAX(-F250,0)</x:f>
        <x:v>0</x:v>
      </x:c>
      <x:c r="H250" s="18" t="n">
        <x:f>MAX(F250,0)</x:f>
        <x:v>0</x:v>
      </x:c>
      <x:c r="I250" s="18" t="n">
        <x:f>J249</x:f>
        <x:v>48.92796608695652</x:v>
      </x:c>
      <x:c r="J250" s="18" t="n">
        <x:f>I250+E250*(G250*'原始输入与口径'!$D$5-H250/'原始输入与口径'!$D$5)</x:f>
        <x:v>48.92796608695652</x:v>
      </x:c>
      <x:c r="K250" s="18" t="n">
        <x:v>48.927966086956516</x:v>
      </x:c>
      <x:c r="L250" s="18" t="n">
        <x:v>48.927966086956516</x:v>
      </x:c>
      <x:c r="M250" s="18" t="n">
        <x:f>J250-L250</x:f>
        <x:v>7.105427357601002e-15</x:v>
      </x:c>
      <x:c r="N250" s="18" t="n">
        <x:f>E250*(G250*'原始输入与口径'!$D$5+H250/'原始输入与口径'!$D$5)/'原始输入与口径'!$H$5</x:f>
        <x:v>0</x:v>
      </x:c>
      <x:c r="O250" s="18" t="n">
        <x:v>0</x:v>
      </x:c>
      <x:c r="P250" s="18" t="n">
        <x:f>N250-O250</x:f>
        <x:v>0</x:v>
      </x:c>
      <x:c r="Q250" s="18" t="n">
        <x:f>E250*G250</x:f>
        <x:v>0</x:v>
      </x:c>
      <x:c r="R250" s="18" t="n">
        <x:f>E250*H250</x:f>
        <x:v>0</x:v>
      </x:c>
      <x:c r="S250" s="2" t="n">
        <x:v>104</x:v>
      </x:c>
    </x:row>
    <x:row r="251" ht="21" customHeight="1">
      <x:c r="A251" s="36" t="n">
        <x:v>45659.083333333336</x:v>
      </x:c>
      <x:c r="B251" s="36" t="n">
        <x:v>45659.08349708334</x:v>
      </x:c>
      <x:c r="C251" s="36" t="n">
        <x:v>45659.083333333336</x:v>
      </x:c>
      <x:c r="D251" s="2" t="str">
        <x:v>d</x:v>
      </x:c>
      <x:c r="E251" s="18" t="n">
        <x:v>0.00393</x:v>
      </x:c>
      <x:c r="F251" s="18" t="n">
        <x:f>IF(D251="d",'两日价格与决策'!K111-'两日价格与决策'!N111,IF(D251="u",'两日价格与决策'!K111+'两日价格与决策'!M111,'两日价格与决策'!K111))</x:f>
        <x:v>-100</x:v>
      </x:c>
      <x:c r="G251" s="18" t="n">
        <x:f>MAX(-F251,0)</x:f>
        <x:v>100</x:v>
      </x:c>
      <x:c r="H251" s="18" t="n">
        <x:f>MAX(F251,0)</x:f>
        <x:v>0</x:v>
      </x:c>
      <x:c r="I251" s="18" t="n">
        <x:f>J250</x:f>
        <x:v>48.92796608695652</x:v>
      </x:c>
      <x:c r="J251" s="18" t="n">
        <x:f>I251+E251*(G251*'原始输入与口径'!$D$5-H251/'原始输入与口径'!$D$5)</x:f>
        <x:v>49.28952608695652</x:v>
      </x:c>
      <x:c r="K251" s="18" t="n">
        <x:v>48.927966086956516</x:v>
      </x:c>
      <x:c r="L251" s="18" t="n">
        <x:v>49.28952608695651</x:v>
      </x:c>
      <x:c r="M251" s="18" t="n">
        <x:f>J251-L251</x:f>
        <x:v>7.105427357601002e-15</x:v>
      </x:c>
      <x:c r="N251" s="18" t="n">
        <x:f>E251*(G251*'原始输入与口径'!$D$5+H251/'原始输入与口径'!$D$5)/'原始输入与口径'!$H$5</x:f>
        <x:v>0.0010043333333333334</x:v>
      </x:c>
      <x:c r="O251" s="18" t="n">
        <x:v>0.0010043333333333334</x:v>
      </x:c>
      <x:c r="P251" s="18" t="n">
        <x:f>N251-O251</x:f>
        <x:v>0</x:v>
      </x:c>
      <x:c r="Q251" s="18" t="n">
        <x:f>E251*G251</x:f>
        <x:v>0.393</x:v>
      </x:c>
      <x:c r="R251" s="18" t="n">
        <x:f>E251*H251</x:f>
        <x:v>0</x:v>
      </x:c>
      <x:c r="S251" s="2" t="n">
        <x:v>105</x:v>
      </x:c>
    </x:row>
    <x:row r="252" ht="21" customHeight="1">
      <x:c r="A252" s="36" t="n">
        <x:v>45659.08349708334</x:v>
      </x:c>
      <x:c r="B252" s="36" t="n">
        <x:v>45659.08426375</x:v>
      </x:c>
      <x:c r="C252" s="36" t="n">
        <x:v>45659.083333333336</x:v>
      </x:c>
      <x:c r="D252" s="2" t="str">
        <x:v>u</x:v>
      </x:c>
      <x:c r="E252" s="18" t="n">
        <x:v>0.0184</x:v>
      </x:c>
      <x:c r="F252" s="18" t="n">
        <x:f>IF(D252="d",'两日价格与决策'!K111-'两日价格与决策'!N111,IF(D252="u",'两日价格与决策'!K111+'两日价格与决策'!M111,'两日价格与决策'!K111))</x:f>
        <x:v>100</x:v>
      </x:c>
      <x:c r="G252" s="18" t="n">
        <x:f>MAX(-F252,0)</x:f>
        <x:v>0</x:v>
      </x:c>
      <x:c r="H252" s="18" t="n">
        <x:f>MAX(F252,0)</x:f>
        <x:v>100</x:v>
      </x:c>
      <x:c r="I252" s="18" t="n">
        <x:f>J251</x:f>
        <x:v>49.28952608695652</x:v>
      </x:c>
      <x:c r="J252" s="18" t="n">
        <x:f>I252+E252*(G252*'原始输入与口径'!$D$5-H252/'原始输入与口径'!$D$5)</x:f>
        <x:v>47.28952608695652</x:v>
      </x:c>
      <x:c r="K252" s="18" t="n">
        <x:v>49.28952608695651</x:v>
      </x:c>
      <x:c r="L252" s="18" t="n">
        <x:v>47.28952608695651</x:v>
      </x:c>
      <x:c r="M252" s="18" t="n">
        <x:f>J252-L252</x:f>
        <x:v>7.105427357601002e-15</x:v>
      </x:c>
      <x:c r="N252" s="18" t="n">
        <x:f>E252*(G252*'原始输入与口径'!$D$5+H252/'原始输入与口径'!$D$5)/'原始输入与口径'!$H$5</x:f>
        <x:v>0.005555555555555555</x:v>
      </x:c>
      <x:c r="O252" s="18" t="n">
        <x:v>0.005555555555555555</x:v>
      </x:c>
      <x:c r="P252" s="18" t="n">
        <x:f>N252-O252</x:f>
        <x:v>0</x:v>
      </x:c>
      <x:c r="Q252" s="18" t="n">
        <x:f>E252*G252</x:f>
        <x:v>0</x:v>
      </x:c>
      <x:c r="R252" s="18" t="n">
        <x:f>E252*H252</x:f>
        <x:v>1.8399999999999999</x:v>
      </x:c>
      <x:c r="S252" s="2" t="n">
        <x:v>105</x:v>
      </x:c>
    </x:row>
    <x:row r="253" ht="21" customHeight="1">
      <x:c r="A253" s="36" t="n">
        <x:v>45659.08426375</x:v>
      </x:c>
      <x:c r="B253" s="36" t="n">
        <x:v>45659.09375</x:v>
      </x:c>
      <x:c r="C253" s="36" t="n">
        <x:v>45659.083333333336</x:v>
      </x:c>
      <x:c r="D253" s="2" t="str">
        <x:v>0</x:v>
      </x:c>
      <x:c r="E253" s="18" t="n">
        <x:v>0.22767</x:v>
      </x:c>
      <x:c r="F253" s="18" t="n">
        <x:f>IF(D253="d",'两日价格与决策'!K111-'两日价格与决策'!N111,IF(D253="u",'两日价格与决策'!K111+'两日价格与决策'!M111,'两日价格与决策'!K111))</x:f>
        <x:v>-4.8921549033860856e-15</x:v>
      </x:c>
      <x:c r="G253" s="18" t="n">
        <x:f>MAX(-F253,0)</x:f>
        <x:v>4.8921549033860856e-15</x:v>
      </x:c>
      <x:c r="H253" s="18" t="n">
        <x:f>MAX(F253,0)</x:f>
        <x:v>0</x:v>
      </x:c>
      <x:c r="I253" s="18" t="n">
        <x:f>J252</x:f>
        <x:v>47.28952608695652</x:v>
      </x:c>
      <x:c r="J253" s="18" t="n">
        <x:f>I253+E253*(G253*'原始输入与口径'!$D$5-H253/'原始输入与口径'!$D$5)</x:f>
        <x:v>47.28952608695652</x:v>
      </x:c>
      <x:c r="K253" s="18" t="n">
        <x:v>47.28952608695651</x:v>
      </x:c>
      <x:c r="L253" s="18" t="n">
        <x:v>47.28952608695651</x:v>
      </x:c>
      <x:c r="M253" s="18" t="n">
        <x:f>J253-L253</x:f>
        <x:v>7.105427357601002e-15</x:v>
      </x:c>
      <x:c r="N253" s="18" t="n">
        <x:f>E253*(G253*'原始输入与口径'!$D$5+H253/'原始输入与口径'!$D$5)/'原始输入与口径'!$H$5</x:f>
        <x:v>2.8463698730711034e-18</x:v>
      </x:c>
      <x:c r="O253" s="18" t="n">
        <x:v>2.8463698730711037e-18</x:v>
      </x:c>
      <x:c r="P253" s="18" t="n">
        <x:f>N253-O253</x:f>
        <x:v>-3.851859888774472e-34</x:v>
      </x:c>
      <x:c r="Q253" s="18" t="n">
        <x:f>E253*G253</x:f>
        <x:v>1.1137969068539101e-15</x:v>
      </x:c>
      <x:c r="R253" s="18" t="n">
        <x:f>E253*H253</x:f>
        <x:v>0</x:v>
      </x:c>
      <x:c r="S253" s="2" t="n">
        <x:v>105</x:v>
      </x:c>
    </x:row>
    <x:row r="254" ht="21" customHeight="1">
      <x:c r="A254" s="36" t="n">
        <x:v>45659.09375</x:v>
      </x:c>
      <x:c r="B254" s="36" t="n">
        <x:v>45659.09497020833</x:v>
      </x:c>
      <x:c r="C254" s="36" t="n">
        <x:v>45659.09375</x:v>
      </x:c>
      <x:c r="D254" s="2" t="str">
        <x:v>u</x:v>
      </x:c>
      <x:c r="E254" s="18" t="n">
        <x:v>0.029285000000000002</x:v>
      </x:c>
      <x:c r="F254" s="18" t="n">
        <x:f>IF(D254="d",'两日价格与决策'!K112-'两日价格与决策'!N112,IF(D254="u",'两日价格与决策'!K112+'两日价格与决策'!M112,'两日价格与决策'!K112))</x:f>
        <x:v>100</x:v>
      </x:c>
      <x:c r="G254" s="18" t="n">
        <x:f>MAX(-F254,0)</x:f>
        <x:v>0</x:v>
      </x:c>
      <x:c r="H254" s="18" t="n">
        <x:f>MAX(F254,0)</x:f>
        <x:v>100</x:v>
      </x:c>
      <x:c r="I254" s="18" t="n">
        <x:f>J253</x:f>
        <x:v>47.28952608695652</x:v>
      </x:c>
      <x:c r="J254" s="18" t="n">
        <x:f>I254+E254*(G254*'原始输入与口径'!$D$5-H254/'原始输入与口径'!$D$5)</x:f>
        <x:v>44.10637391304348</x:v>
      </x:c>
      <x:c r="K254" s="18" t="n">
        <x:v>47.28952608695651</x:v>
      </x:c>
      <x:c r="L254" s="18" t="n">
        <x:v>44.10637391304347</x:v>
      </x:c>
      <x:c r="M254" s="18" t="n">
        <x:f>J254-L254</x:f>
        <x:v>7.105427357601002e-15</x:v>
      </x:c>
      <x:c r="N254" s="18" t="n">
        <x:f>E254*(G254*'原始输入与口径'!$D$5+H254/'原始输入与口径'!$D$5)/'原始输入与口径'!$H$5</x:f>
        <x:v>0.008842089371980676</x:v>
      </x:c>
      <x:c r="O254" s="18" t="n">
        <x:v>0.008842089371980676</x:v>
      </x:c>
      <x:c r="P254" s="18" t="n">
        <x:f>N254-O254</x:f>
        <x:v>0</x:v>
      </x:c>
      <x:c r="Q254" s="18" t="n">
        <x:f>E254*G254</x:f>
        <x:v>0</x:v>
      </x:c>
      <x:c r="R254" s="18" t="n">
        <x:f>E254*H254</x:f>
        <x:v>2.9285</x:v>
      </x:c>
      <x:c r="S254" s="2" t="n">
        <x:v>106</x:v>
      </x:c>
    </x:row>
    <x:row r="255" ht="21" customHeight="1">
      <x:c r="A255" s="36" t="n">
        <x:v>45659.09497020833</x:v>
      </x:c>
      <x:c r="B255" s="36" t="n">
        <x:v>45659.104166666664</x:v>
      </x:c>
      <x:c r="C255" s="36" t="n">
        <x:v>45659.09375</x:v>
      </x:c>
      <x:c r="D255" s="2" t="str">
        <x:v>0</x:v>
      </x:c>
      <x:c r="E255" s="18" t="n">
        <x:v>0.220715</x:v>
      </x:c>
      <x:c r="F255" s="18" t="n">
        <x:f>IF(D255="d",'两日价格与决策'!K112-'两日价格与决策'!N112,IF(D255="u",'两日价格与决策'!K112+'两日价格与决策'!M112,'两日价格与决策'!K112))</x:f>
        <x:v>-4.8921549033860856e-15</x:v>
      </x:c>
      <x:c r="G255" s="18" t="n">
        <x:f>MAX(-F255,0)</x:f>
        <x:v>4.8921549033860856e-15</x:v>
      </x:c>
      <x:c r="H255" s="18" t="n">
        <x:f>MAX(F255,0)</x:f>
        <x:v>0</x:v>
      </x:c>
      <x:c r="I255" s="18" t="n">
        <x:f>J254</x:f>
        <x:v>44.10637391304348</x:v>
      </x:c>
      <x:c r="J255" s="18" t="n">
        <x:f>I255+E255*(G255*'原始输入与口径'!$D$5-H255/'原始输入与口径'!$D$5)</x:f>
        <x:v>44.10637391304348</x:v>
      </x:c>
      <x:c r="K255" s="18" t="n">
        <x:v>44.10637391304347</x:v>
      </x:c>
      <x:c r="L255" s="18" t="n">
        <x:v>44.10637391304347</x:v>
      </x:c>
      <x:c r="M255" s="18" t="n">
        <x:f>J255-L255</x:f>
        <x:v>7.105427357601002e-15</x:v>
      </x:c>
      <x:c r="N255" s="18" t="n">
        <x:f>E255*(G255*'原始输入与口径'!$D$5+H255/'原始输入与口径'!$D$5)/'原始输入与口径'!$H$5</x:f>
        <x:v>2.759417255391086e-18</x:v>
      </x:c>
      <x:c r="O255" s="18" t="n">
        <x:v>2.7594172553910868e-18</x:v>
      </x:c>
      <x:c r="P255" s="18" t="n">
        <x:f>N255-O255</x:f>
        <x:v>-7.703719777548943e-34</x:v>
      </x:c>
      <x:c r="Q255" s="18" t="n">
        <x:f>E255*G255</x:f>
        <x:v>1.07977196950086e-15</x:v>
      </x:c>
      <x:c r="R255" s="18" t="n">
        <x:f>E255*H255</x:f>
        <x:v>0</x:v>
      </x:c>
      <x:c r="S255" s="2" t="n">
        <x:v>106</x:v>
      </x:c>
    </x:row>
    <x:row r="256" ht="21" customHeight="1">
      <x:c r="A256" s="36" t="n">
        <x:v>45659.104166666664</x:v>
      </x:c>
      <x:c r="B256" s="36" t="n">
        <x:v>45659.10644541666</x:v>
      </x:c>
      <x:c r="C256" s="36" t="n">
        <x:v>45659.104166666664</x:v>
      </x:c>
      <x:c r="D256" s="2" t="str">
        <x:v>u</x:v>
      </x:c>
      <x:c r="E256" s="18" t="n">
        <x:v>0.05469</x:v>
      </x:c>
      <x:c r="F256" s="18" t="n">
        <x:f>IF(D256="d",'两日价格与决策'!K113-'两日价格与决策'!N113,IF(D256="u",'两日价格与决策'!K113+'两日价格与决策'!M113,'两日价格与决策'!K113))</x:f>
        <x:v>100</x:v>
      </x:c>
      <x:c r="G256" s="18" t="n">
        <x:f>MAX(-F256,0)</x:f>
        <x:v>0</x:v>
      </x:c>
      <x:c r="H256" s="18" t="n">
        <x:f>MAX(F256,0)</x:f>
        <x:v>100</x:v>
      </x:c>
      <x:c r="I256" s="18" t="n">
        <x:f>J255</x:f>
        <x:v>44.10637391304348</x:v>
      </x:c>
      <x:c r="J256" s="18" t="n">
        <x:f>I256+E256*(G256*'原始输入与口径'!$D$5-H256/'原始输入与口径'!$D$5)</x:f>
        <x:v>38.16180869565217</x:v>
      </x:c>
      <x:c r="K256" s="18" t="n">
        <x:v>44.10637391304347</x:v>
      </x:c>
      <x:c r="L256" s="18" t="n">
        <x:v>38.16180869565216</x:v>
      </x:c>
      <x:c r="M256" s="18" t="n">
        <x:f>J256-L256</x:f>
        <x:v>7.105427357601002e-15</x:v>
      </x:c>
      <x:c r="N256" s="18" t="n">
        <x:f>E256*(G256*'原始输入与口径'!$D$5+H256/'原始输入与口径'!$D$5)/'原始输入与口径'!$H$5</x:f>
        <x:v>0.016512681159420287</x:v>
      </x:c>
      <x:c r="O256" s="18" t="n">
        <x:v>0.01651268115942029</x:v>
      </x:c>
      <x:c r="P256" s="18" t="n">
        <x:f>N256-O256</x:f>
        <x:v>-3.469446951953614e-18</x:v>
      </x:c>
      <x:c r="Q256" s="18" t="n">
        <x:f>E256*G256</x:f>
        <x:v>0</x:v>
      </x:c>
      <x:c r="R256" s="18" t="n">
        <x:f>E256*H256</x:f>
        <x:v>5.469</x:v>
      </x:c>
      <x:c r="S256" s="2" t="n">
        <x:v>107</x:v>
      </x:c>
    </x:row>
    <x:row r="257" ht="21" customHeight="1">
      <x:c r="A257" s="36" t="n">
        <x:v>45659.10644541666</x:v>
      </x:c>
      <x:c r="B257" s="36" t="n">
        <x:v>45659.11458333333</x:v>
      </x:c>
      <x:c r="C257" s="36" t="n">
        <x:v>45659.104166666664</x:v>
      </x:c>
      <x:c r="D257" s="2" t="str">
        <x:v>0</x:v>
      </x:c>
      <x:c r="E257" s="18" t="n">
        <x:v>0.19530999999999998</x:v>
      </x:c>
      <x:c r="F257" s="18" t="n">
        <x:f>IF(D257="d",'两日价格与决策'!K113-'两日价格与决策'!N113,IF(D257="u",'两日价格与决策'!K113+'两日价格与决策'!M113,'两日价格与决策'!K113))</x:f>
        <x:v>-4.8921549033860856e-15</x:v>
      </x:c>
      <x:c r="G257" s="18" t="n">
        <x:f>MAX(-F257,0)</x:f>
        <x:v>4.8921549033860856e-15</x:v>
      </x:c>
      <x:c r="H257" s="18" t="n">
        <x:f>MAX(F257,0)</x:f>
        <x:v>0</x:v>
      </x:c>
      <x:c r="I257" s="18" t="n">
        <x:f>J256</x:f>
        <x:v>38.16180869565217</x:v>
      </x:c>
      <x:c r="J257" s="18" t="n">
        <x:f>I257+E257*(G257*'原始输入与口径'!$D$5-H257/'原始输入与口径'!$D$5)</x:f>
        <x:v>38.16180869565217</x:v>
      </x:c>
      <x:c r="K257" s="18" t="n">
        <x:v>38.16180869565216</x:v>
      </x:c>
      <x:c r="L257" s="18" t="n">
        <x:v>38.16180869565216</x:v>
      </x:c>
      <x:c r="M257" s="18" t="n">
        <x:f>J257-L257</x:f>
        <x:v>7.105427357601002e-15</x:v>
      </x:c>
      <x:c r="N257" s="18" t="n">
        <x:f>E257*(G257*'原始输入与口径'!$D$5+H257/'原始输入与口径'!$D$5)/'原始输入与口径'!$H$5</x:f>
        <x:v>2.4417995340164147e-18</x:v>
      </x:c>
      <x:c r="O257" s="18" t="n">
        <x:v>2.441799534016415e-18</x:v>
      </x:c>
      <x:c r="P257" s="18" t="n">
        <x:f>N257-O257</x:f>
        <x:v>-3.851859888774472e-34</x:v>
      </x:c>
      <x:c r="Q257" s="18" t="n">
        <x:f>E257*G257</x:f>
        <x:v>9.554867741803363e-16</x:v>
      </x:c>
      <x:c r="R257" s="18" t="n">
        <x:f>E257*H257</x:f>
        <x:v>0</x:v>
      </x:c>
      <x:c r="S257" s="2" t="n">
        <x:v>107</x:v>
      </x:c>
    </x:row>
    <x:row r="258" ht="21" customHeight="1">
      <x:c r="A258" s="36" t="n">
        <x:v>45659.114583333336</x:v>
      </x:c>
      <x:c r="B258" s="36" t="n">
        <x:v>45659.11509791667</x:v>
      </x:c>
      <x:c r="C258" s="36" t="n">
        <x:v>45659.114583333336</x:v>
      </x:c>
      <x:c r="D258" s="2" t="str">
        <x:v>u</x:v>
      </x:c>
      <x:c r="E258" s="18" t="n">
        <x:v>0.012350000000000002</x:v>
      </x:c>
      <x:c r="F258" s="18" t="n">
        <x:f>IF(D258="d",'两日价格与决策'!K114-'两日价格与决策'!N114,IF(D258="u",'两日价格与决策'!K114+'两日价格与决策'!M114,'两日价格与决策'!K114))</x:f>
        <x:v>100</x:v>
      </x:c>
      <x:c r="G258" s="18" t="n">
        <x:f>MAX(-F258,0)</x:f>
        <x:v>0</x:v>
      </x:c>
      <x:c r="H258" s="18" t="n">
        <x:f>MAX(F258,0)</x:f>
        <x:v>100</x:v>
      </x:c>
      <x:c r="I258" s="18" t="n">
        <x:f>J257</x:f>
        <x:v>38.16180869565217</x:v>
      </x:c>
      <x:c r="J258" s="18" t="n">
        <x:f>I258+E258*(G258*'原始输入与口径'!$D$5-H258/'原始输入与口径'!$D$5)</x:f>
        <x:v>36.81941739130434</x:v>
      </x:c>
      <x:c r="K258" s="18" t="n">
        <x:v>38.16180869565216</x:v>
      </x:c>
      <x:c r="L258" s="18" t="n">
        <x:v>36.819417391304334</x:v>
      </x:c>
      <x:c r="M258" s="18" t="n">
        <x:f>J258-L258</x:f>
        <x:v>7.105427357601002e-15</x:v>
      </x:c>
      <x:c r="N258" s="18" t="n">
        <x:f>E258*(G258*'原始输入与口径'!$D$5+H258/'原始输入与口径'!$D$5)/'原始输入与口径'!$H$5</x:f>
        <x:v>0.003728864734299517</x:v>
      </x:c>
      <x:c r="O258" s="18" t="n">
        <x:v>0.003728864734299517</x:v>
      </x:c>
      <x:c r="P258" s="18" t="n">
        <x:f>N258-O258</x:f>
        <x:v>0</x:v>
      </x:c>
      <x:c r="Q258" s="18" t="n">
        <x:f>E258*G258</x:f>
        <x:v>0</x:v>
      </x:c>
      <x:c r="R258" s="18" t="n">
        <x:f>E258*H258</x:f>
        <x:v>1.235</x:v>
      </x:c>
      <x:c r="S258" s="2" t="n">
        <x:v>108</x:v>
      </x:c>
    </x:row>
    <x:row r="259" ht="21" customHeight="1">
      <x:c r="A259" s="36" t="n">
        <x:v>45659.11509791667</x:v>
      </x:c>
      <x:c r="B259" s="36" t="n">
        <x:v>45659.125</x:v>
      </x:c>
      <x:c r="C259" s="36" t="n">
        <x:v>45659.114583333336</x:v>
      </x:c>
      <x:c r="D259" s="2" t="str">
        <x:v>0</x:v>
      </x:c>
      <x:c r="E259" s="18" t="n">
        <x:v>0.23765</x:v>
      </x:c>
      <x:c r="F259" s="18" t="n">
        <x:f>IF(D259="d",'两日价格与决策'!K114-'两日价格与决策'!N114,IF(D259="u",'两日价格与决策'!K114+'两日价格与决策'!M114,'两日价格与决策'!K114))</x:f>
        <x:v>-4.8921549033860856e-15</x:v>
      </x:c>
      <x:c r="G259" s="18" t="n">
        <x:f>MAX(-F259,0)</x:f>
        <x:v>4.8921549033860856e-15</x:v>
      </x:c>
      <x:c r="H259" s="18" t="n">
        <x:f>MAX(F259,0)</x:f>
        <x:v>0</x:v>
      </x:c>
      <x:c r="I259" s="18" t="n">
        <x:f>J258</x:f>
        <x:v>36.81941739130434</x:v>
      </x:c>
      <x:c r="J259" s="18" t="n">
        <x:f>I259+E259*(G259*'原始输入与口径'!$D$5-H259/'原始输入与口径'!$D$5)</x:f>
        <x:v>36.81941739130434</x:v>
      </x:c>
      <x:c r="K259" s="18" t="n">
        <x:v>36.819417391304334</x:v>
      </x:c>
      <x:c r="L259" s="18" t="n">
        <x:v>36.819417391304334</x:v>
      </x:c>
      <x:c r="M259" s="18" t="n">
        <x:f>J259-L259</x:f>
        <x:v>7.105427357601002e-15</x:v>
      </x:c>
      <x:c r="N259" s="18" t="n">
        <x:f>E259*(G259*'原始输入与口径'!$D$5+H259/'原始输入与口径'!$D$5)/'原始输入与口径'!$H$5</x:f>
        <x:v>2.9711415660181303e-18</x:v>
      </x:c>
      <x:c r="O259" s="18" t="n">
        <x:v>2.9711415660181307e-18</x:v>
      </x:c>
      <x:c r="P259" s="18" t="n">
        <x:f>N259-O259</x:f>
        <x:v>-3.851859888774472e-34</x:v>
      </x:c>
      <x:c r="Q259" s="18" t="n">
        <x:f>E259*G259</x:f>
        <x:v>1.1626206127897033e-15</x:v>
      </x:c>
      <x:c r="R259" s="18" t="n">
        <x:f>E259*H259</x:f>
        <x:v>0</x:v>
      </x:c>
      <x:c r="S259" s="2" t="n">
        <x:v>108</x:v>
      </x:c>
    </x:row>
    <x:row r="260" ht="21" customHeight="1">
      <x:c r="A260" s="36" t="n">
        <x:v>45659.125</x:v>
      </x:c>
      <x:c r="B260" s="36" t="n">
        <x:v>45659.12667375</x:v>
      </x:c>
      <x:c r="C260" s="36" t="n">
        <x:v>45659.125</x:v>
      </x:c>
      <x:c r="D260" s="2" t="str">
        <x:v>u</x:v>
      </x:c>
      <x:c r="E260" s="18" t="n">
        <x:v>0.040170000000000004</x:v>
      </x:c>
      <x:c r="F260" s="18" t="n">
        <x:f>IF(D260="d",'两日价格与决策'!K115-'两日价格与决策'!N115,IF(D260="u",'两日价格与决策'!K115+'两日价格与决策'!M115,'两日价格与决策'!K115))</x:f>
        <x:v>99.99999999999997</x:v>
      </x:c>
      <x:c r="G260" s="18" t="n">
        <x:f>MAX(-F260,0)</x:f>
        <x:v>0</x:v>
      </x:c>
      <x:c r="H260" s="18" t="n">
        <x:f>MAX(F260,0)</x:f>
        <x:v>99.99999999999997</x:v>
      </x:c>
      <x:c r="I260" s="18" t="n">
        <x:f>J259</x:f>
        <x:v>36.81941739130434</x:v>
      </x:c>
      <x:c r="J260" s="18" t="n">
        <x:f>I260+E260*(G260*'原始输入与口径'!$D$5-H260/'原始输入与口径'!$D$5)</x:f>
        <x:v>32.453113043478254</x:v>
      </x:c>
      <x:c r="K260" s="18" t="n">
        <x:v>36.819417391304334</x:v>
      </x:c>
      <x:c r="L260" s="18" t="n">
        <x:v>32.45311304347825</x:v>
      </x:c>
      <x:c r="M260" s="18" t="n">
        <x:f>J260-L260</x:f>
        <x:v>7.105427357601002e-15</x:v>
      </x:c>
      <x:c r="N260" s="18" t="n">
        <x:f>E260*(G260*'原始输入与口径'!$D$5+H260/'原始输入与口径'!$D$5)/'原始输入与口径'!$H$5</x:f>
        <x:v>0.012128623188405794</x:v>
      </x:c>
      <x:c r="O260" s="18" t="n">
        <x:v>0.012128623188405796</x:v>
      </x:c>
      <x:c r="P260" s="18" t="n">
        <x:f>N260-O260</x:f>
        <x:v>-1.734723475976807e-18</x:v>
      </x:c>
      <x:c r="Q260" s="18" t="n">
        <x:f>E260*G260</x:f>
        <x:v>0</x:v>
      </x:c>
      <x:c r="R260" s="18" t="n">
        <x:f>E260*H260</x:f>
        <x:v>4.0169999999999995</x:v>
      </x:c>
      <x:c r="S260" s="2" t="n">
        <x:v>109</x:v>
      </x:c>
    </x:row>
    <x:row r="261" ht="21" customHeight="1">
      <x:c r="A261" s="36" t="n">
        <x:v>45659.12667375</x:v>
      </x:c>
      <x:c r="B261" s="36" t="n">
        <x:v>45659.135416666664</x:v>
      </x:c>
      <x:c r="C261" s="36" t="n">
        <x:v>45659.125</x:v>
      </x:c>
      <x:c r="D261" s="2" t="str">
        <x:v>0</x:v>
      </x:c>
      <x:c r="E261" s="18" t="n">
        <x:v>0.20983</x:v>
      </x:c>
      <x:c r="F261" s="18" t="n">
        <x:f>IF(D261="d",'两日价格与决策'!K115-'两日价格与决策'!N115,IF(D261="u",'两日价格与决策'!K115+'两日价格与决策'!M115,'两日价格与决策'!K115))</x:f>
        <x:v>-3.282176960642576e-14</x:v>
      </x:c>
      <x:c r="G261" s="18" t="n">
        <x:f>MAX(-F261,0)</x:f>
        <x:v>3.282176960642576e-14</x:v>
      </x:c>
      <x:c r="H261" s="18" t="n">
        <x:f>MAX(F261,0)</x:f>
        <x:v>0</x:v>
      </x:c>
      <x:c r="I261" s="18" t="n">
        <x:f>J260</x:f>
        <x:v>32.453113043478254</x:v>
      </x:c>
      <x:c r="J261" s="18" t="n">
        <x:f>I261+E261*(G261*'原始输入与口径'!$D$5-H261/'原始输入与口径'!$D$5)</x:f>
        <x:v>32.45311304347826</x:v>
      </x:c>
      <x:c r="K261" s="18" t="n">
        <x:v>32.45311304347825</x:v>
      </x:c>
      <x:c r="L261" s="18" t="n">
        <x:v>32.453113043478254</x:v>
      </x:c>
      <x:c r="M261" s="18" t="n">
        <x:f>J261-L261</x:f>
        <x:v>7.105427357601002e-15</x:v>
      </x:c>
      <x:c r="N261" s="18" t="n">
        <x:f>E261*(G261*'原始输入与口径'!$D$5+H261/'原始输入与口径'!$D$5)/'原始输入与口径'!$H$5</x:f>
        <x:v>1.7600090453319475e-17</x:v>
      </x:c>
      <x:c r="O261" s="18" t="n">
        <x:v>1.7600090453319478e-17</x:v>
      </x:c>
      <x:c r="P261" s="18" t="n">
        <x:f>N261-O261</x:f>
        <x:v>-3.0814879110195774e-33</x:v>
      </x:c>
      <x:c r="Q261" s="18" t="n">
        <x:f>E261*G261</x:f>
        <x:v>6.886991916516317e-15</x:v>
      </x:c>
      <x:c r="R261" s="18" t="n">
        <x:f>E261*H261</x:f>
        <x:v>0</x:v>
      </x:c>
      <x:c r="S261" s="2" t="n">
        <x:v>109</x:v>
      </x:c>
    </x:row>
    <x:row r="262" ht="21" customHeight="1">
      <x:c r="A262" s="36" t="n">
        <x:v>45659.135416666664</x:v>
      </x:c>
      <x:c r="B262" s="36" t="n">
        <x:v>45659.13847479167</x:v>
      </x:c>
      <x:c r="C262" s="36" t="n">
        <x:v>45659.135416666664</x:v>
      </x:c>
      <x:c r="D262" s="2" t="str">
        <x:v>u</x:v>
      </x:c>
      <x:c r="E262" s="18" t="n">
        <x:v>0.073395</x:v>
      </x:c>
      <x:c r="F262" s="18" t="n">
        <x:f>IF(D262="d",'两日价格与决策'!K116-'两日价格与决策'!N116,IF(D262="u",'两日价格与决策'!K116+'两日价格与决策'!M116,'两日价格与决策'!K116))</x:f>
        <x:v>99.99999999999997</x:v>
      </x:c>
      <x:c r="G262" s="18" t="n">
        <x:f>MAX(-F262,0)</x:f>
        <x:v>0</x:v>
      </x:c>
      <x:c r="H262" s="18" t="n">
        <x:f>MAX(F262,0)</x:f>
        <x:v>99.99999999999997</x:v>
      </x:c>
      <x:c r="I262" s="18" t="n">
        <x:f>J261</x:f>
        <x:v>32.45311304347826</x:v>
      </x:c>
      <x:c r="J262" s="18" t="n">
        <x:f>I262+E262*(G262*'原始输入与口径'!$D$5-H262/'原始输入与口径'!$D$5)</x:f>
        <x:v>24.475395652173916</x:v>
      </x:c>
      <x:c r="K262" s="18" t="n">
        <x:v>32.453113043478254</x:v>
      </x:c>
      <x:c r="L262" s="18" t="n">
        <x:v>24.47539565217391</x:v>
      </x:c>
      <x:c r="M262" s="18" t="n">
        <x:f>J262-L262</x:f>
        <x:v>7.105427357601002e-15</x:v>
      </x:c>
      <x:c r="N262" s="18" t="n">
        <x:f>E262*(G262*'原始输入与口径'!$D$5+H262/'原始输入与口径'!$D$5)/'原始输入与口径'!$H$5</x:f>
        <x:v>0.022160326086956516</x:v>
      </x:c>
      <x:c r="O262" s="18" t="n">
        <x:v>0.022160326086956516</x:v>
      </x:c>
      <x:c r="P262" s="18" t="n">
        <x:f>N262-O262</x:f>
        <x:v>0</x:v>
      </x:c>
      <x:c r="Q262" s="18" t="n">
        <x:f>E262*G262</x:f>
        <x:v>0</x:v>
      </x:c>
      <x:c r="R262" s="18" t="n">
        <x:f>E262*H262</x:f>
        <x:v>7.339499999999998</x:v>
      </x:c>
      <x:c r="S262" s="2" t="n">
        <x:v>110</x:v>
      </x:c>
    </x:row>
    <x:row r="263" ht="21" customHeight="1">
      <x:c r="A263" s="36" t="n">
        <x:v>45659.13847479167</x:v>
      </x:c>
      <x:c r="B263" s="36" t="n">
        <x:v>45659.14583333333</x:v>
      </x:c>
      <x:c r="C263" s="36" t="n">
        <x:v>45659.135416666664</x:v>
      </x:c>
      <x:c r="D263" s="2" t="str">
        <x:v>0</x:v>
      </x:c>
      <x:c r="E263" s="18" t="n">
        <x:v>0.176605</x:v>
      </x:c>
      <x:c r="F263" s="18" t="n">
        <x:f>IF(D263="d",'两日价格与决策'!K116-'两日价格与决策'!N116,IF(D263="u",'两日价格与决策'!K116+'两日价格与决策'!M116,'两日价格与决策'!K116))</x:f>
        <x:v>-3.282176960642576e-14</x:v>
      </x:c>
      <x:c r="G263" s="18" t="n">
        <x:f>MAX(-F263,0)</x:f>
        <x:v>3.282176960642576e-14</x:v>
      </x:c>
      <x:c r="H263" s="18" t="n">
        <x:f>MAX(F263,0)</x:f>
        <x:v>0</x:v>
      </x:c>
      <x:c r="I263" s="18" t="n">
        <x:f>J262</x:f>
        <x:v>24.475395652173916</x:v>
      </x:c>
      <x:c r="J263" s="18" t="n">
        <x:f>I263+E263*(G263*'原始输入与口径'!$D$5-H263/'原始输入与口径'!$D$5)</x:f>
        <x:v>24.475395652173923</x:v>
      </x:c>
      <x:c r="K263" s="18" t="n">
        <x:v>24.47539565217391</x:v>
      </x:c>
      <x:c r="L263" s="18" t="n">
        <x:v>24.475395652173916</x:v>
      </x:c>
      <x:c r="M263" s="18" t="n">
        <x:f>J263-L263</x:f>
        <x:v>7.105427357601002e-15</x:v>
      </x:c>
      <x:c r="N263" s="18" t="n">
        <x:f>E263*(G263*'原始输入与口径'!$D$5+H263/'原始输入与口径'!$D$5)/'原始输入与口径'!$H$5</x:f>
        <x:v>1.481324869898721e-17</x:v>
      </x:c>
      <x:c r="O263" s="18" t="n">
        <x:v>1.4813248698987214e-17</x:v>
      </x:c>
      <x:c r="P263" s="18" t="n">
        <x:f>N263-O263</x:f>
        <x:v>-3.0814879110195774e-33</x:v>
      </x:c>
      <x:c r="Q263" s="18" t="n">
        <x:f>E263*G263</x:f>
        <x:v>5.796488621342822e-15</x:v>
      </x:c>
      <x:c r="R263" s="18" t="n">
        <x:f>E263*H263</x:f>
        <x:v>0</x:v>
      </x:c>
      <x:c r="S263" s="2" t="n">
        <x:v>110</x:v>
      </x:c>
    </x:row>
    <x:row r="264" ht="21" customHeight="1">
      <x:c r="A264" s="36" t="n">
        <x:v>45659.145833333336</x:v>
      </x:c>
      <x:c r="B264" s="36" t="n">
        <x:v>45659.14644541667</x:v>
      </x:c>
      <x:c r="C264" s="36" t="n">
        <x:v>45659.145833333336</x:v>
      </x:c>
      <x:c r="D264" s="2" t="str">
        <x:v>u</x:v>
      </x:c>
      <x:c r="E264" s="18" t="n">
        <x:v>0.014690000000000002</x:v>
      </x:c>
      <x:c r="F264" s="18" t="n">
        <x:f>IF(D264="d",'两日价格与决策'!K117-'两日价格与决策'!N117,IF(D264="u",'两日价格与决策'!K117+'两日价格与决策'!M117,'两日价格与决策'!K117))</x:f>
        <x:v>99.99999999999997</x:v>
      </x:c>
      <x:c r="G264" s="18" t="n">
        <x:f>MAX(-F264,0)</x:f>
        <x:v>0</x:v>
      </x:c>
      <x:c r="H264" s="18" t="n">
        <x:f>MAX(F264,0)</x:f>
        <x:v>99.99999999999997</x:v>
      </x:c>
      <x:c r="I264" s="18" t="n">
        <x:f>J263</x:f>
        <x:v>24.475395652173923</x:v>
      </x:c>
      <x:c r="J264" s="18" t="n">
        <x:f>I264+E264*(G264*'原始输入与口径'!$D$5-H264/'原始输入与口径'!$D$5)</x:f>
        <x:v>22.878656521739142</x:v>
      </x:c>
      <x:c r="K264" s="18" t="n">
        <x:v>24.475395652173916</x:v>
      </x:c>
      <x:c r="L264" s="18" t="n">
        <x:v>22.878656521739135</x:v>
      </x:c>
      <x:c r="M264" s="18" t="n">
        <x:f>J264-L264</x:f>
        <x:v>7.105427357601002e-15</x:v>
      </x:c>
      <x:c r="N264" s="18" t="n">
        <x:f>E264*(G264*'原始输入与口径'!$D$5+H264/'原始输入与口径'!$D$5)/'原始输入与口径'!$H$5</x:f>
        <x:v>0.004435386473429951</x:v>
      </x:c>
      <x:c r="O264" s="18" t="n">
        <x:v>0.004435386473429951</x:v>
      </x:c>
      <x:c r="P264" s="18" t="n">
        <x:f>N264-O264</x:f>
        <x:v>0</x:v>
      </x:c>
      <x:c r="Q264" s="18" t="n">
        <x:f>E264*G264</x:f>
        <x:v>0</x:v>
      </x:c>
      <x:c r="R264" s="18" t="n">
        <x:f>E264*H264</x:f>
        <x:v>1.4689999999999996</x:v>
      </x:c>
      <x:c r="S264" s="2" t="n">
        <x:v>111</x:v>
      </x:c>
    </x:row>
    <x:row r="265" ht="21" customHeight="1">
      <x:c r="A265" s="36" t="n">
        <x:v>45659.14644541667</x:v>
      </x:c>
      <x:c r="B265" s="36" t="n">
        <x:v>45659.15625</x:v>
      </x:c>
      <x:c r="C265" s="36" t="n">
        <x:v>45659.145833333336</x:v>
      </x:c>
      <x:c r="D265" s="2" t="str">
        <x:v>0</x:v>
      </x:c>
      <x:c r="E265" s="18" t="n">
        <x:v>0.23531</x:v>
      </x:c>
      <x:c r="F265" s="18" t="n">
        <x:f>IF(D265="d",'两日价格与决策'!K117-'两日价格与决策'!N117,IF(D265="u",'两日价格与决策'!K117+'两日价格与决策'!M117,'两日价格与决策'!K117))</x:f>
        <x:v>-3.282176960642576e-14</x:v>
      </x:c>
      <x:c r="G265" s="18" t="n">
        <x:f>MAX(-F265,0)</x:f>
        <x:v>3.282176960642576e-14</x:v>
      </x:c>
      <x:c r="H265" s="18" t="n">
        <x:f>MAX(F265,0)</x:f>
        <x:v>0</x:v>
      </x:c>
      <x:c r="I265" s="18" t="n">
        <x:f>J264</x:f>
        <x:v>22.878656521739142</x:v>
      </x:c>
      <x:c r="J265" s="18" t="n">
        <x:f>I265+E265*(G265*'原始输入与口径'!$D$5-H265/'原始输入与口径'!$D$5)</x:f>
        <x:v>22.87865652173915</x:v>
      </x:c>
      <x:c r="K265" s="18" t="n">
        <x:v>22.878656521739135</x:v>
      </x:c>
      <x:c r="L265" s="18" t="n">
        <x:v>22.878656521739142</x:v>
      </x:c>
      <x:c r="M265" s="18" t="n">
        <x:f>J265-L265</x:f>
        <x:v>7.105427357601002e-15</x:v>
      </x:c>
      <x:c r="N265" s="18" t="n">
        <x:f>E265*(G265*'原始输入与口径'!$D$5+H265/'原始输入与口径'!$D$5)/'原始输入与口径'!$H$5</x:f>
        <x:v>1.9737298215558336e-17</x:v>
      </x:c>
      <x:c r="O265" s="18" t="n">
        <x:v>1.973729821555834e-17</x:v>
      </x:c>
      <x:c r="P265" s="18" t="n">
        <x:f>N265-O265</x:f>
        <x:v>-3.0814879110195774e-33</x:v>
      </x:c>
      <x:c r="Q265" s="18" t="n">
        <x:f>E265*G265</x:f>
        <x:v>7.723290606088045e-15</x:v>
      </x:c>
      <x:c r="R265" s="18" t="n">
        <x:f>E265*H265</x:f>
        <x:v>0</x:v>
      </x:c>
      <x:c r="S265" s="2" t="n">
        <x:v>111</x:v>
      </x:c>
    </x:row>
    <x:row r="266" ht="21" customHeight="1">
      <x:c r="A266" s="36" t="n">
        <x:v>45659.15625</x:v>
      </x:c>
      <x:c r="B266" s="36" t="n">
        <x:v>45659.156393125</x:v>
      </x:c>
      <x:c r="C266" s="36" t="n">
        <x:v>45659.15625</x:v>
      </x:c>
      <x:c r="D266" s="2" t="str">
        <x:v>d</x:v>
      </x:c>
      <x:c r="E266" s="18" t="n">
        <x:v>0.003435</x:v>
      </x:c>
      <x:c r="F266" s="18" t="n">
        <x:f>IF(D266="d",'两日价格与决策'!K118-'两日价格与决策'!N118,IF(D266="u",'两日价格与决策'!K118+'两日价格与决策'!M118,'两日价格与决策'!K118))</x:f>
        <x:v>-100.00000000000003</x:v>
      </x:c>
      <x:c r="G266" s="18" t="n">
        <x:f>MAX(-F266,0)</x:f>
        <x:v>100.00000000000003</x:v>
      </x:c>
      <x:c r="H266" s="18" t="n">
        <x:f>MAX(F266,0)</x:f>
        <x:v>0</x:v>
      </x:c>
      <x:c r="I266" s="18" t="n">
        <x:f>J265</x:f>
        <x:v>22.87865652173915</x:v>
      </x:c>
      <x:c r="J266" s="18" t="n">
        <x:f>I266+E266*(G266*'原始输入与口径'!$D$5-H266/'原始输入与口径'!$D$5)</x:f>
        <x:v>23.19467652173915</x:v>
      </x:c>
      <x:c r="K266" s="18" t="n">
        <x:v>22.878656521739142</x:v>
      </x:c>
      <x:c r="L266" s="18" t="n">
        <x:v>23.194676521739144</x:v>
      </x:c>
      <x:c r="M266" s="18" t="n">
        <x:f>J266-L266</x:f>
        <x:v>7.105427357601002e-15</x:v>
      </x:c>
      <x:c r="N266" s="18" t="n">
        <x:f>E266*(G266*'原始输入与口径'!$D$5+H266/'原始输入与口径'!$D$5)/'原始输入与口径'!$H$5</x:f>
        <x:v>0.0008778333333333337</x:v>
      </x:c>
      <x:c r="O266" s="18" t="n">
        <x:v>0.0008778333333333335</x:v>
      </x:c>
      <x:c r="P266" s="18" t="n">
        <x:f>N266-O266</x:f>
        <x:v>1.0842021724855044e-19</x:v>
      </x:c>
      <x:c r="Q266" s="18" t="n">
        <x:f>E266*G266</x:f>
        <x:v>0.3435000000000001</x:v>
      </x:c>
      <x:c r="R266" s="18" t="n">
        <x:f>E266*H266</x:f>
        <x:v>0</x:v>
      </x:c>
      <x:c r="S266" s="2" t="n">
        <x:v>112</x:v>
      </x:c>
    </x:row>
    <x:row r="267" ht="21" customHeight="1">
      <x:c r="A267" s="36" t="n">
        <x:v>45659.156393125</x:v>
      </x:c>
      <x:c r="B267" s="36" t="n">
        <x:v>45659.156516875</x:v>
      </x:c>
      <x:c r="C267" s="36" t="n">
        <x:v>45659.15625</x:v>
      </x:c>
      <x:c r="D267" s="2" t="str">
        <x:v>u</x:v>
      </x:c>
      <x:c r="E267" s="18" t="n">
        <x:v>0.00297</x:v>
      </x:c>
      <x:c r="F267" s="18" t="n">
        <x:f>IF(D267="d",'两日价格与决策'!K118-'两日价格与决策'!N118,IF(D267="u",'两日价格与决策'!K118+'两日价格与决策'!M118,'两日价格与决策'!K118))</x:f>
        <x:v>99.99999999999997</x:v>
      </x:c>
      <x:c r="G267" s="18" t="n">
        <x:f>MAX(-F267,0)</x:f>
        <x:v>0</x:v>
      </x:c>
      <x:c r="H267" s="18" t="n">
        <x:f>MAX(F267,0)</x:f>
        <x:v>99.99999999999997</x:v>
      </x:c>
      <x:c r="I267" s="18" t="n">
        <x:f>J266</x:f>
        <x:v>23.19467652173915</x:v>
      </x:c>
      <x:c r="J267" s="18" t="n">
        <x:f>I267+E267*(G267*'原始输入与口径'!$D$5-H267/'原始输入与口径'!$D$5)</x:f>
        <x:v>22.87185043478263</x:v>
      </x:c>
      <x:c r="K267" s="18" t="n">
        <x:v>23.194676521739144</x:v>
      </x:c>
      <x:c r="L267" s="18" t="n">
        <x:v>22.871850434782623</x:v>
      </x:c>
      <x:c r="M267" s="18" t="n">
        <x:f>J267-L267</x:f>
        <x:v>7.105427357601002e-15</x:v>
      </x:c>
      <x:c r="N267" s="18" t="n">
        <x:f>E267*(G267*'原始输入与口径'!$D$5+H267/'原始输入与口径'!$D$5)/'原始输入与口径'!$H$5</x:f>
        <x:v>0.0008967391304347822</x:v>
      </x:c>
      <x:c r="O267" s="18" t="n">
        <x:v>0.0008967391304347824</x:v>
      </x:c>
      <x:c r="P267" s="18" t="n">
        <x:f>N267-O267</x:f>
        <x:v>-1.0842021724855044e-19</x:v>
      </x:c>
      <x:c r="Q267" s="18" t="n">
        <x:f>E267*G267</x:f>
        <x:v>0</x:v>
      </x:c>
      <x:c r="R267" s="18" t="n">
        <x:f>E267*H267</x:f>
        <x:v>0.29699999999999993</x:v>
      </x:c>
      <x:c r="S267" s="2" t="n">
        <x:v>112</x:v>
      </x:c>
    </x:row>
    <x:row r="268" ht="21" customHeight="1">
      <x:c r="A268" s="36" t="n">
        <x:v>45659.156516875</x:v>
      </x:c>
      <x:c r="B268" s="36" t="n">
        <x:v>45659.166666666664</x:v>
      </x:c>
      <x:c r="C268" s="36" t="n">
        <x:v>45659.15625</x:v>
      </x:c>
      <x:c r="D268" s="2" t="str">
        <x:v>0</x:v>
      </x:c>
      <x:c r="E268" s="18" t="n">
        <x:v>0.243595</x:v>
      </x:c>
      <x:c r="F268" s="18" t="n">
        <x:f>IF(D268="d",'两日价格与决策'!K118-'两日价格与决策'!N118,IF(D268="u",'两日价格与决策'!K118+'两日价格与决策'!M118,'两日价格与决策'!K118))</x:f>
        <x:v>-3.282176960642576e-14</x:v>
      </x:c>
      <x:c r="G268" s="18" t="n">
        <x:f>MAX(-F268,0)</x:f>
        <x:v>3.282176960642576e-14</x:v>
      </x:c>
      <x:c r="H268" s="18" t="n">
        <x:f>MAX(F268,0)</x:f>
        <x:v>0</x:v>
      </x:c>
      <x:c r="I268" s="18" t="n">
        <x:f>J267</x:f>
        <x:v>22.87185043478263</x:v>
      </x:c>
      <x:c r="J268" s="18" t="n">
        <x:f>I268+E268*(G268*'原始输入与口径'!$D$5-H268/'原始输入与口径'!$D$5)</x:f>
        <x:v>22.871850434782637</x:v>
      </x:c>
      <x:c r="K268" s="18" t="n">
        <x:v>22.871850434782623</x:v>
      </x:c>
      <x:c r="L268" s="18" t="n">
        <x:v>22.87185043478263</x:v>
      </x:c>
      <x:c r="M268" s="18" t="n">
        <x:f>J268-L268</x:f>
        <x:v>7.105427357601002e-15</x:v>
      </x:c>
      <x:c r="N268" s="18" t="n">
        <x:f>E268*(G268*'原始输入与口径'!$D$5+H268/'原始输入与口径'!$D$5)/'原始输入与口径'!$H$5</x:f>
        <x:v>2.043222624970861e-17</x:v>
      </x:c>
      <x:c r="O268" s="18" t="n">
        <x:v>2.043222624970861e-17</x:v>
      </x:c>
      <x:c r="P268" s="18" t="n">
        <x:f>N268-O268</x:f>
        <x:v>0</x:v>
      </x:c>
      <x:c r="Q268" s="18" t="n">
        <x:f>E268*G268</x:f>
        <x:v>7.995218967277283e-15</x:v>
      </x:c>
      <x:c r="R268" s="18" t="n">
        <x:f>E268*H268</x:f>
        <x:v>0</x:v>
      </x:c>
      <x:c r="S268" s="2" t="n">
        <x:v>112</x:v>
      </x:c>
    </x:row>
    <x:row r="269" ht="21" customHeight="1">
      <x:c r="A269" s="36" t="n">
        <x:v>45659.166666666664</x:v>
      </x:c>
      <x:c r="B269" s="36" t="n">
        <x:v>45659.16738583333</x:v>
      </x:c>
      <x:c r="C269" s="36" t="n">
        <x:v>45659.166666666664</x:v>
      </x:c>
      <x:c r="D269" s="2" t="str">
        <x:v>d</x:v>
      </x:c>
      <x:c r="E269" s="18" t="n">
        <x:v>0.01726</x:v>
      </x:c>
      <x:c r="F269" s="18" t="n">
        <x:f>IF(D269="d",'两日价格与决策'!K119-'两日价格与决策'!N119,IF(D269="u",'两日价格与决策'!K119+'两日价格与决策'!M119,'两日价格与决策'!K119))</x:f>
        <x:v>-99.99999999999999</x:v>
      </x:c>
      <x:c r="G269" s="18" t="n">
        <x:f>MAX(-F269,0)</x:f>
        <x:v>99.99999999999999</x:v>
      </x:c>
      <x:c r="H269" s="18" t="n">
        <x:f>MAX(F269,0)</x:f>
        <x:v>0</x:v>
      </x:c>
      <x:c r="I269" s="18" t="n">
        <x:f>J268</x:f>
        <x:v>22.871850434782637</x:v>
      </x:c>
      <x:c r="J269" s="18" t="n">
        <x:f>I269+E269*(G269*'原始输入与口径'!$D$5-H269/'原始输入与口径'!$D$5)</x:f>
        <x:v>24.459770434782637</x:v>
      </x:c>
      <x:c r="K269" s="18" t="n">
        <x:v>22.87185043478263</x:v>
      </x:c>
      <x:c r="L269" s="18" t="n">
        <x:v>24.45977043478263</x:v>
      </x:c>
      <x:c r="M269" s="18" t="n">
        <x:f>J269-L269</x:f>
        <x:v>7.105427357601002e-15</x:v>
      </x:c>
      <x:c r="N269" s="18" t="n">
        <x:f>E269*(G269*'原始输入与口径'!$D$5+H269/'原始输入与口径'!$D$5)/'原始输入与口径'!$H$5</x:f>
        <x:v>0.004410888888888889</x:v>
      </x:c>
      <x:c r="O269" s="18" t="n">
        <x:v>0.004410888888888889</x:v>
      </x:c>
      <x:c r="P269" s="18" t="n">
        <x:f>N269-O269</x:f>
        <x:v>0</x:v>
      </x:c>
      <x:c r="Q269" s="18" t="n">
        <x:f>E269*G269</x:f>
        <x:v>1.7259999999999998</x:v>
      </x:c>
      <x:c r="R269" s="18" t="n">
        <x:f>E269*H269</x:f>
        <x:v>0</x:v>
      </x:c>
      <x:c r="S269" s="2" t="n">
        <x:v>113</x:v>
      </x:c>
    </x:row>
    <x:row r="270" ht="21" customHeight="1">
      <x:c r="A270" s="36" t="n">
        <x:v>45659.16738583333</x:v>
      </x:c>
      <x:c r="B270" s="36" t="n">
        <x:v>45659.17708333333</x:v>
      </x:c>
      <x:c r="C270" s="36" t="n">
        <x:v>45659.166666666664</x:v>
      </x:c>
      <x:c r="D270" s="2" t="str">
        <x:v>0</x:v>
      </x:c>
      <x:c r="E270" s="18" t="n">
        <x:v>0.23274</x:v>
      </x:c>
      <x:c r="F270" s="18" t="n">
        <x:f>IF(D270="d",'两日价格与决策'!K119-'两日价格与决策'!N119,IF(D270="u",'两日价格与决策'!K119+'两日价格与决策'!M119,'两日价格与决策'!K119))</x:f>
        <x:v>-99.99999999999999</x:v>
      </x:c>
      <x:c r="G270" s="18" t="n">
        <x:f>MAX(-F270,0)</x:f>
        <x:v>99.99999999999999</x:v>
      </x:c>
      <x:c r="H270" s="18" t="n">
        <x:f>MAX(F270,0)</x:f>
        <x:v>0</x:v>
      </x:c>
      <x:c r="I270" s="18" t="n">
        <x:f>J269</x:f>
        <x:v>24.459770434782637</x:v>
      </x:c>
      <x:c r="J270" s="18" t="n">
        <x:f>I270+E270*(G270*'原始输入与口径'!$D$5-H270/'原始输入与口径'!$D$5)</x:f>
        <x:v>45.87185043478263</x:v>
      </x:c>
      <x:c r="K270" s="18" t="n">
        <x:v>24.45977043478263</x:v>
      </x:c>
      <x:c r="L270" s="18" t="n">
        <x:v>45.87185043478263</x:v>
      </x:c>
      <x:c r="M270" s="18" t="n">
        <x:f>J270-L270</x:f>
        <x:v>0</x:v>
      </x:c>
      <x:c r="N270" s="18" t="n">
        <x:f>E270*(G270*'原始输入与口径'!$D$5+H270/'原始输入与口径'!$D$5)/'原始输入与口径'!$H$5</x:f>
        <x:v>0.05947799999999999</x:v>
      </x:c>
      <x:c r="O270" s="18" t="n">
        <x:v>0.059477999999999996</x:v>
      </x:c>
      <x:c r="P270" s="18" t="n">
        <x:f>N270-O270</x:f>
        <x:v>-6.938893903907228e-18</x:v>
      </x:c>
      <x:c r="Q270" s="18" t="n">
        <x:f>E270*G270</x:f>
        <x:v>23.273999999999997</x:v>
      </x:c>
      <x:c r="R270" s="18" t="n">
        <x:f>E270*H270</x:f>
        <x:v>0</x:v>
      </x:c>
      <x:c r="S270" s="2" t="n">
        <x:v>113</x:v>
      </x:c>
    </x:row>
    <x:row r="271" ht="21" customHeight="1">
      <x:c r="A271" s="36" t="n">
        <x:v>45659.177083333336</x:v>
      </x:c>
      <x:c r="B271" s="36" t="n">
        <x:v>45659.17718145833</x:v>
      </x:c>
      <x:c r="C271" s="36" t="n">
        <x:v>45659.177083333336</x:v>
      </x:c>
      <x:c r="D271" s="2" t="str">
        <x:v>d</x:v>
      </x:c>
      <x:c r="E271" s="18" t="n">
        <x:v>0.002355</x:v>
      </x:c>
      <x:c r="F271" s="18" t="n">
        <x:f>IF(D271="d",'两日价格与决策'!K120-'两日价格与决策'!N120,IF(D271="u",'两日价格与决策'!K120+'两日价格与决策'!M120,'两日价格与决策'!K120))</x:f>
        <x:v>-99.99999999999999</x:v>
      </x:c>
      <x:c r="G271" s="18" t="n">
        <x:f>MAX(-F271,0)</x:f>
        <x:v>99.99999999999999</x:v>
      </x:c>
      <x:c r="H271" s="18" t="n">
        <x:f>MAX(F271,0)</x:f>
        <x:v>0</x:v>
      </x:c>
      <x:c r="I271" s="18" t="n">
        <x:f>J270</x:f>
        <x:v>45.87185043478263</x:v>
      </x:c>
      <x:c r="J271" s="18" t="n">
        <x:f>I271+E271*(G271*'原始输入与口径'!$D$5-H271/'原始输入与口径'!$D$5)</x:f>
        <x:v>46.08851043478263</x:v>
      </x:c>
      <x:c r="K271" s="18" t="n">
        <x:v>45.87185043478263</x:v>
      </x:c>
      <x:c r="L271" s="18" t="n">
        <x:v>46.08851043478263</x:v>
      </x:c>
      <x:c r="M271" s="18" t="n">
        <x:f>J271-L271</x:f>
        <x:v>0</x:v>
      </x:c>
      <x:c r="N271" s="18" t="n">
        <x:f>E271*(G271*'原始输入与口径'!$D$5+H271/'原始输入与口径'!$D$5)/'原始输入与口径'!$H$5</x:f>
        <x:v>0.0006018333333333332</x:v>
      </x:c>
      <x:c r="O271" s="18" t="n">
        <x:v>0.0006018333333333332</x:v>
      </x:c>
      <x:c r="P271" s="18" t="n">
        <x:f>N271-O271</x:f>
        <x:v>0</x:v>
      </x:c>
      <x:c r="Q271" s="18" t="n">
        <x:f>E271*G271</x:f>
        <x:v>0.23549999999999996</x:v>
      </x:c>
      <x:c r="R271" s="18" t="n">
        <x:f>E271*H271</x:f>
        <x:v>0</x:v>
      </x:c>
      <x:c r="S271" s="2" t="n">
        <x:v>114</x:v>
      </x:c>
    </x:row>
    <x:row r="272" ht="21" customHeight="1">
      <x:c r="A272" s="36" t="n">
        <x:v>45659.17718145833</x:v>
      </x:c>
      <x:c r="B272" s="36" t="n">
        <x:v>45659.177184583335</x:v>
      </x:c>
      <x:c r="C272" s="36" t="n">
        <x:v>45659.177083333336</x:v>
      </x:c>
      <x:c r="D272" s="2" t="str">
        <x:v>u</x:v>
      </x:c>
      <x:c r="E272" s="18" t="n">
        <x:v>0.000075</x:v>
      </x:c>
      <x:c r="F272" s="18" t="n">
        <x:f>IF(D272="d",'两日价格与决策'!K120-'两日价格与决策'!N120,IF(D272="u",'两日价格与决策'!K120+'两日价格与决策'!M120,'两日价格与决策'!K120))</x:f>
        <x:v>1.4210854715202004e-14</x:v>
      </x:c>
      <x:c r="G272" s="18" t="n">
        <x:f>MAX(-F272,0)</x:f>
        <x:v>0</x:v>
      </x:c>
      <x:c r="H272" s="18" t="n">
        <x:f>MAX(F272,0)</x:f>
        <x:v>1.4210854715202004e-14</x:v>
      </x:c>
      <x:c r="I272" s="18" t="n">
        <x:f>J271</x:f>
        <x:v>46.08851043478263</x:v>
      </x:c>
      <x:c r="J272" s="18" t="n">
        <x:f>I272+E272*(G272*'原始输入与口径'!$D$5-H272/'原始输入与口径'!$D$5)</x:f>
        <x:v>46.08851043478263</x:v>
      </x:c>
      <x:c r="K272" s="18" t="n">
        <x:v>46.08851043478263</x:v>
      </x:c>
      <x:c r="L272" s="18" t="n">
        <x:v>46.08851043478263</x:v>
      </x:c>
      <x:c r="M272" s="18" t="n">
        <x:f>J272-L272</x:f>
        <x:v>0</x:v>
      </x:c>
      <x:c r="N272" s="18" t="n">
        <x:f>E272*(G272*'原始输入与口径'!$D$5+H272/'原始输入与口径'!$D$5)/'原始输入与口径'!$H$5</x:f>
        <x:v>3.2180377525366855e-21</x:v>
      </x:c>
      <x:c r="O272" s="18" t="n">
        <x:v>3.2180377525366855e-21</x:v>
      </x:c>
      <x:c r="P272" s="18" t="n">
        <x:f>N272-O272</x:f>
        <x:v>0</x:v>
      </x:c>
      <x:c r="Q272" s="18" t="n">
        <x:f>E272*G272</x:f>
        <x:v>0</x:v>
      </x:c>
      <x:c r="R272" s="18" t="n">
        <x:f>E272*H272</x:f>
        <x:v>1.0658141036401502e-18</x:v>
      </x:c>
      <x:c r="S272" s="2" t="n">
        <x:v>114</x:v>
      </x:c>
    </x:row>
    <x:row r="273" ht="21" customHeight="1">
      <x:c r="A273" s="36" t="n">
        <x:v>45659.177184583335</x:v>
      </x:c>
      <x:c r="B273" s="36" t="n">
        <x:v>45659.1875</x:v>
      </x:c>
      <x:c r="C273" s="36" t="n">
        <x:v>45659.177083333336</x:v>
      </x:c>
      <x:c r="D273" s="2" t="str">
        <x:v>0</x:v>
      </x:c>
      <x:c r="E273" s="18" t="n">
        <x:v>0.24757</x:v>
      </x:c>
      <x:c r="F273" s="18" t="n">
        <x:f>IF(D273="d",'两日价格与决策'!K120-'两日价格与决策'!N120,IF(D273="u",'两日价格与决策'!K120+'两日价格与决策'!M120,'两日价格与决策'!K120))</x:f>
        <x:v>-99.99999999999999</x:v>
      </x:c>
      <x:c r="G273" s="18" t="n">
        <x:f>MAX(-F273,0)</x:f>
        <x:v>99.99999999999999</x:v>
      </x:c>
      <x:c r="H273" s="18" t="n">
        <x:f>MAX(F273,0)</x:f>
        <x:v>0</x:v>
      </x:c>
      <x:c r="I273" s="18" t="n">
        <x:f>J272</x:f>
        <x:v>46.08851043478263</x:v>
      </x:c>
      <x:c r="J273" s="18" t="n">
        <x:f>I273+E273*(G273*'原始输入与口径'!$D$5-H273/'原始输入与口径'!$D$5)</x:f>
        <x:v>68.86495043478263</x:v>
      </x:c>
      <x:c r="K273" s="18" t="n">
        <x:v>46.08851043478263</x:v>
      </x:c>
      <x:c r="L273" s="18" t="n">
        <x:v>68.86495043478263</x:v>
      </x:c>
      <x:c r="M273" s="18" t="n">
        <x:f>J273-L273</x:f>
        <x:v>0</x:v>
      </x:c>
      <x:c r="N273" s="18" t="n">
        <x:f>E273*(G273*'原始输入与口径'!$D$5+H273/'原始输入与口径'!$D$5)/'原始输入与口径'!$H$5</x:f>
        <x:v>0.06326788888888889</x:v>
      </x:c>
      <x:c r="O273" s="18" t="n">
        <x:v>0.06326788888888889</x:v>
      </x:c>
      <x:c r="P273" s="18" t="n">
        <x:f>N273-O273</x:f>
        <x:v>0</x:v>
      </x:c>
      <x:c r="Q273" s="18" t="n">
        <x:f>E273*G273</x:f>
        <x:v>24.756999999999998</x:v>
      </x:c>
      <x:c r="R273" s="18" t="n">
        <x:f>E273*H273</x:f>
        <x:v>0</x:v>
      </x:c>
      <x:c r="S273" s="2" t="n">
        <x:v>114</x:v>
      </x:c>
    </x:row>
    <x:row r="274" ht="21" customHeight="1">
      <x:c r="A274" s="36" t="n">
        <x:v>45659.1875</x:v>
      </x:c>
      <x:c r="B274" s="36" t="n">
        <x:v>45659.187501458335</x:v>
      </x:c>
      <x:c r="C274" s="36" t="n">
        <x:v>45659.1875</x:v>
      </x:c>
      <x:c r="D274" s="2" t="str">
        <x:v>d</x:v>
      </x:c>
      <x:c r="E274" s="18" t="n">
        <x:v>0.000035000000000000004</x:v>
      </x:c>
      <x:c r="F274" s="18" t="n">
        <x:f>IF(D274="d",'两日价格与决策'!K121-'两日价格与决策'!N121,IF(D274="u",'两日价格与决策'!K121+'两日价格与决策'!M121,'两日价格与决策'!K121))</x:f>
        <x:v>-99.99999999999999</x:v>
      </x:c>
      <x:c r="G274" s="18" t="n">
        <x:f>MAX(-F274,0)</x:f>
        <x:v>99.99999999999999</x:v>
      </x:c>
      <x:c r="H274" s="18" t="n">
        <x:f>MAX(F274,0)</x:f>
        <x:v>0</x:v>
      </x:c>
      <x:c r="I274" s="18" t="n">
        <x:f>J273</x:f>
        <x:v>68.86495043478263</x:v>
      </x:c>
      <x:c r="J274" s="18" t="n">
        <x:f>I274+E274*(G274*'原始输入与口径'!$D$5-H274/'原始输入与口径'!$D$5)</x:f>
        <x:v>68.86817043478263</x:v>
      </x:c>
      <x:c r="K274" s="18" t="n">
        <x:v>68.86495043478263</x:v>
      </x:c>
      <x:c r="L274" s="18" t="n">
        <x:v>68.86817043478263</x:v>
      </x:c>
      <x:c r="M274" s="18" t="n">
        <x:f>J274-L274</x:f>
        <x:v>0</x:v>
      </x:c>
      <x:c r="N274" s="18" t="n">
        <x:f>E274*(G274*'原始输入与口径'!$D$5+H274/'原始输入与口径'!$D$5)/'原始输入与口径'!$H$5</x:f>
        <x:v>0.000008944444444444444</x:v>
      </x:c>
      <x:c r="O274" s="18" t="n">
        <x:v>0.000008944444444444444</x:v>
      </x:c>
      <x:c r="P274" s="18" t="n">
        <x:f>N274-O274</x:f>
        <x:v>0</x:v>
      </x:c>
      <x:c r="Q274" s="18" t="n">
        <x:f>E274*G274</x:f>
        <x:v>0.0035</x:v>
      </x:c>
      <x:c r="R274" s="18" t="n">
        <x:f>E274*H274</x:f>
        <x:v>0</x:v>
      </x:c>
      <x:c r="S274" s="2" t="n">
        <x:v>115</x:v>
      </x:c>
    </x:row>
    <x:row r="275" ht="21" customHeight="1">
      <x:c r="A275" s="36" t="n">
        <x:v>45659.187501458335</x:v>
      </x:c>
      <x:c r="B275" s="36" t="n">
        <x:v>45659.18781166666</x:v>
      </x:c>
      <x:c r="C275" s="36" t="n">
        <x:v>45659.1875</x:v>
      </x:c>
      <x:c r="D275" s="2" t="str">
        <x:v>u</x:v>
      </x:c>
      <x:c r="E275" s="18" t="n">
        <x:v>0.007445</x:v>
      </x:c>
      <x:c r="F275" s="18" t="n">
        <x:f>IF(D275="d",'两日价格与决策'!K121-'两日价格与决策'!N121,IF(D275="u",'两日价格与决策'!K121+'两日价格与决策'!M121,'两日价格与决策'!K121))</x:f>
        <x:v>1.4210854715202004e-14</x:v>
      </x:c>
      <x:c r="G275" s="18" t="n">
        <x:f>MAX(-F275,0)</x:f>
        <x:v>0</x:v>
      </x:c>
      <x:c r="H275" s="18" t="n">
        <x:f>MAX(F275,0)</x:f>
        <x:v>1.4210854715202004e-14</x:v>
      </x:c>
      <x:c r="I275" s="18" t="n">
        <x:f>J274</x:f>
        <x:v>68.86817043478263</x:v>
      </x:c>
      <x:c r="J275" s="18" t="n">
        <x:f>I275+E275*(G275*'原始输入与口径'!$D$5-H275/'原始输入与口径'!$D$5)</x:f>
        <x:v>68.86817043478263</x:v>
      </x:c>
      <x:c r="K275" s="18" t="n">
        <x:v>68.86817043478263</x:v>
      </x:c>
      <x:c r="L275" s="18" t="n">
        <x:v>68.86817043478263</x:v>
      </x:c>
      <x:c r="M275" s="18" t="n">
        <x:f>J275-L275</x:f>
        <x:v>0</x:v>
      </x:c>
      <x:c r="N275" s="18" t="n">
        <x:f>E275*(G275*'原始输入与口径'!$D$5+H275/'原始输入与口径'!$D$5)/'原始输入与口径'!$H$5</x:f>
        <x:v>3.1944388090180833e-19</x:v>
      </x:c>
      <x:c r="O275" s="18" t="n">
        <x:v>3.1944388090180833e-19</x:v>
      </x:c>
      <x:c r="P275" s="18" t="n">
        <x:f>N275-O275</x:f>
        <x:v>0</x:v>
      </x:c>
      <x:c r="Q275" s="18" t="n">
        <x:f>E275*G275</x:f>
        <x:v>0</x:v>
      </x:c>
      <x:c r="R275" s="18" t="n">
        <x:f>E275*H275</x:f>
        <x:v>1.0579981335467892e-16</x:v>
      </x:c>
      <x:c r="S275" s="2" t="n">
        <x:v>115</x:v>
      </x:c>
    </x:row>
    <x:row r="276" ht="21" customHeight="1">
      <x:c r="A276" s="36" t="n">
        <x:v>45659.18781166666</x:v>
      </x:c>
      <x:c r="B276" s="36" t="n">
        <x:v>45659.197916666664</x:v>
      </x:c>
      <x:c r="C276" s="36" t="n">
        <x:v>45659.1875</x:v>
      </x:c>
      <x:c r="D276" s="2" t="str">
        <x:v>0</x:v>
      </x:c>
      <x:c r="E276" s="18" t="n">
        <x:v>0.24251999999999999</x:v>
      </x:c>
      <x:c r="F276" s="18" t="n">
        <x:f>IF(D276="d",'两日价格与决策'!K121-'两日价格与决策'!N121,IF(D276="u",'两日价格与决策'!K121+'两日价格与决策'!M121,'两日价格与决策'!K121))</x:f>
        <x:v>-99.99999999999999</x:v>
      </x:c>
      <x:c r="G276" s="18" t="n">
        <x:f>MAX(-F276,0)</x:f>
        <x:v>99.99999999999999</x:v>
      </x:c>
      <x:c r="H276" s="18" t="n">
        <x:f>MAX(F276,0)</x:f>
        <x:v>0</x:v>
      </x:c>
      <x:c r="I276" s="18" t="n">
        <x:f>J275</x:f>
        <x:v>68.86817043478263</x:v>
      </x:c>
      <x:c r="J276" s="18" t="n">
        <x:f>I276+E276*(G276*'原始输入与口径'!$D$5-H276/'原始输入与口径'!$D$5)</x:f>
        <x:v>91.18001043478262</x:v>
      </x:c>
      <x:c r="K276" s="18" t="n">
        <x:v>68.86817043478263</x:v>
      </x:c>
      <x:c r="L276" s="18" t="n">
        <x:v>91.18001043478262</x:v>
      </x:c>
      <x:c r="M276" s="18" t="n">
        <x:f>J276-L276</x:f>
        <x:v>0</x:v>
      </x:c>
      <x:c r="N276" s="18" t="n">
        <x:f>E276*(G276*'原始输入与口径'!$D$5+H276/'原始输入与口径'!$D$5)/'原始输入与口径'!$H$5</x:f>
        <x:v>0.06197733333333332</x:v>
      </x:c>
      <x:c r="O276" s="18" t="n">
        <x:v>0.06197733333333332</x:v>
      </x:c>
      <x:c r="P276" s="18" t="n">
        <x:f>N276-O276</x:f>
        <x:v>0</x:v>
      </x:c>
      <x:c r="Q276" s="18" t="n">
        <x:f>E276*G276</x:f>
        <x:v>24.251999999999995</x:v>
      </x:c>
      <x:c r="R276" s="18" t="n">
        <x:f>E276*H276</x:f>
        <x:v>0</x:v>
      </x:c>
      <x:c r="S276" s="2" t="n">
        <x:v>115</x:v>
      </x:c>
    </x:row>
    <x:row r="277" ht="21" customHeight="1">
      <x:c r="A277" s="36" t="n">
        <x:v>45659.197916666664</x:v>
      </x:c>
      <x:c r="B277" s="36" t="n">
        <x:v>45659.20031020833</x:v>
      </x:c>
      <x:c r="C277" s="36" t="n">
        <x:v>45659.197916666664</x:v>
      </x:c>
      <x:c r="D277" s="2" t="str">
        <x:v>u</x:v>
      </x:c>
      <x:c r="E277" s="18" t="n">
        <x:v>0.057445</x:v>
      </x:c>
      <x:c r="F277" s="18" t="n">
        <x:f>IF(D277="d",'两日价格与决策'!K122-'两日价格与决策'!N122,IF(D277="u",'两日价格与决策'!K122+'两日价格与决策'!M122,'两日价格与决策'!K122))</x:f>
        <x:v>1.4210854715202004e-14</x:v>
      </x:c>
      <x:c r="G277" s="18" t="n">
        <x:f>MAX(-F277,0)</x:f>
        <x:v>0</x:v>
      </x:c>
      <x:c r="H277" s="18" t="n">
        <x:f>MAX(F277,0)</x:f>
        <x:v>1.4210854715202004e-14</x:v>
      </x:c>
      <x:c r="I277" s="18" t="n">
        <x:f>J276</x:f>
        <x:v>91.18001043478262</x:v>
      </x:c>
      <x:c r="J277" s="18" t="n">
        <x:f>I277+E277*(G277*'原始输入与口径'!$D$5-H277/'原始输入与口径'!$D$5)</x:f>
        <x:v>91.18001043478262</x:v>
      </x:c>
      <x:c r="K277" s="18" t="n">
        <x:v>91.18001043478262</x:v>
      </x:c>
      <x:c r="L277" s="18" t="n">
        <x:v>91.18001043478262</x:v>
      </x:c>
      <x:c r="M277" s="18" t="n">
        <x:f>J277-L277</x:f>
        <x:v>0</x:v>
      </x:c>
      <x:c r="N277" s="18" t="n">
        <x:f>E277*(G277*'原始输入与口径'!$D$5+H277/'原始输入与口径'!$D$5)/'原始输入与口径'!$H$5</x:f>
        <x:v>2.464802382592932e-18</x:v>
      </x:c>
      <x:c r="O277" s="18" t="n">
        <x:v>2.464802382592932e-18</x:v>
      </x:c>
      <x:c r="P277" s="18" t="n">
        <x:f>N277-O277</x:f>
        <x:v>0</x:v>
      </x:c>
      <x:c r="Q277" s="18" t="n">
        <x:f>E277*G277</x:f>
        <x:v>0</x:v>
      </x:c>
      <x:c r="R277" s="18" t="n">
        <x:f>E277*H277</x:f>
        <x:v>8.163425491147791e-16</x:v>
      </x:c>
      <x:c r="S277" s="2" t="n">
        <x:v>116</x:v>
      </x:c>
    </x:row>
    <x:row r="278" ht="21" customHeight="1">
      <x:c r="A278" s="36" t="n">
        <x:v>45659.20031020833</x:v>
      </x:c>
      <x:c r="B278" s="36" t="n">
        <x:v>45659.20833333333</x:v>
      </x:c>
      <x:c r="C278" s="36" t="n">
        <x:v>45659.197916666664</x:v>
      </x:c>
      <x:c r="D278" s="2" t="str">
        <x:v>0</x:v>
      </x:c>
      <x:c r="E278" s="18" t="n">
        <x:v>0.192555</x:v>
      </x:c>
      <x:c r="F278" s="18" t="n">
        <x:f>IF(D278="d",'两日价格与决策'!K122-'两日价格与决策'!N122,IF(D278="u",'两日价格与决策'!K122+'两日价格与决策'!M122,'两日价格与决策'!K122))</x:f>
        <x:v>-99.99999999999999</x:v>
      </x:c>
      <x:c r="G278" s="18" t="n">
        <x:f>MAX(-F278,0)</x:f>
        <x:v>99.99999999999999</x:v>
      </x:c>
      <x:c r="H278" s="18" t="n">
        <x:f>MAX(F278,0)</x:f>
        <x:v>0</x:v>
      </x:c>
      <x:c r="I278" s="18" t="n">
        <x:f>J277</x:f>
        <x:v>91.18001043478262</x:v>
      </x:c>
      <x:c r="J278" s="18" t="n">
        <x:f>I278+E278*(G278*'原始输入与口径'!$D$5-H278/'原始输入与口径'!$D$5)</x:f>
        <x:v>108.89507043478261</x:v>
      </x:c>
      <x:c r="K278" s="18" t="n">
        <x:v>91.18001043478262</x:v>
      </x:c>
      <x:c r="L278" s="18" t="n">
        <x:v>108.89507043478261</x:v>
      </x:c>
      <x:c r="M278" s="18" t="n">
        <x:f>J278-L278</x:f>
        <x:v>0</x:v>
      </x:c>
      <x:c r="N278" s="18" t="n">
        <x:f>E278*(G278*'原始输入与口径'!$D$5+H278/'原始输入与口径'!$D$5)/'原始输入与口径'!$H$5</x:f>
        <x:v>0.049208499999999995</x:v>
      </x:c>
      <x:c r="O278" s="18" t="n">
        <x:v>0.049208499999999995</x:v>
      </x:c>
      <x:c r="P278" s="18" t="n">
        <x:f>N278-O278</x:f>
        <x:v>0</x:v>
      </x:c>
      <x:c r="Q278" s="18" t="n">
        <x:f>E278*G278</x:f>
        <x:v>19.255499999999998</x:v>
      </x:c>
      <x:c r="R278" s="18" t="n">
        <x:f>E278*H278</x:f>
        <x:v>0</x:v>
      </x:c>
      <x:c r="S278" s="2" t="n">
        <x:v>116</x:v>
      </x:c>
    </x:row>
    <x:row r="279" ht="21" customHeight="1">
      <x:c r="A279" s="36" t="n">
        <x:v>45659.208333333336</x:v>
      </x:c>
      <x:c r="B279" s="36" t="n">
        <x:v>45659.209033750005</x:v>
      </x:c>
      <x:c r="C279" s="36" t="n">
        <x:v>45659.208333333336</x:v>
      </x:c>
      <x:c r="D279" s="2" t="str">
        <x:v>u</x:v>
      </x:c>
      <x:c r="E279" s="18" t="n">
        <x:v>0.016810000000000002</x:v>
      </x:c>
      <x:c r="F279" s="18" t="n">
        <x:f>IF(D279="d",'两日价格与决策'!K123-'两日价格与决策'!N123,IF(D279="u",'两日价格与决策'!K123+'两日价格与决策'!M123,'两日价格与决策'!K123))</x:f>
        <x:v>17.00000000000007</x:v>
      </x:c>
      <x:c r="G279" s="18" t="n">
        <x:f>MAX(-F279,0)</x:f>
        <x:v>0</x:v>
      </x:c>
      <x:c r="H279" s="18" t="n">
        <x:f>MAX(F279,0)</x:f>
        <x:v>17.00000000000007</x:v>
      </x:c>
      <x:c r="I279" s="18" t="n">
        <x:f>J278</x:f>
        <x:v>108.89507043478261</x:v>
      </x:c>
      <x:c r="J279" s="18" t="n">
        <x:f>I279+E279*(G279*'原始输入与口径'!$D$5-H279/'原始输入与口径'!$D$5)</x:f>
        <x:v>108.58445086956522</x:v>
      </x:c>
      <x:c r="K279" s="18" t="n">
        <x:v>108.89507043478261</x:v>
      </x:c>
      <x:c r="L279" s="18" t="n">
        <x:v>108.58445086956522</x:v>
      </x:c>
      <x:c r="M279" s="18" t="n">
        <x:f>J279-L279</x:f>
        <x:v>0</x:v>
      </x:c>
      <x:c r="N279" s="18" t="n">
        <x:f>E279*(G279*'原始输入与口径'!$D$5+H279/'原始输入与口径'!$D$5)/'原始输入与口径'!$H$5</x:f>
        <x:v>0.0008628321256038684</x:v>
      </x:c>
      <x:c r="O279" s="18" t="n">
        <x:v>0.0008628321256038685</x:v>
      </x:c>
      <x:c r="P279" s="18" t="n">
        <x:f>N279-O279</x:f>
        <x:v>-1.0842021724855044e-19</x:v>
      </x:c>
      <x:c r="Q279" s="18" t="n">
        <x:f>E279*G279</x:f>
        <x:v>0</x:v>
      </x:c>
      <x:c r="R279" s="18" t="n">
        <x:f>E279*H279</x:f>
        <x:v>0.28577000000000125</x:v>
      </x:c>
      <x:c r="S279" s="2" t="n">
        <x:v>117</x:v>
      </x:c>
    </x:row>
    <x:row r="280" ht="21" customHeight="1">
      <x:c r="A280" s="36" t="n">
        <x:v>45659.209033750005</x:v>
      </x:c>
      <x:c r="B280" s="36" t="n">
        <x:v>45659.21875</x:v>
      </x:c>
      <x:c r="C280" s="36" t="n">
        <x:v>45659.208333333336</x:v>
      </x:c>
      <x:c r="D280" s="2" t="str">
        <x:v>0</x:v>
      </x:c>
      <x:c r="E280" s="18" t="n">
        <x:v>0.23319</x:v>
      </x:c>
      <x:c r="F280" s="18" t="n">
        <x:f>IF(D280="d",'两日价格与决策'!K123-'两日价格与决策'!N123,IF(D280="u",'两日价格与决策'!K123+'两日价格与决策'!M123,'两日价格与决策'!K123))</x:f>
        <x:v>-82.99999999999993</x:v>
      </x:c>
      <x:c r="G280" s="18" t="n">
        <x:f>MAX(-F280,0)</x:f>
        <x:v>82.99999999999993</x:v>
      </x:c>
      <x:c r="H280" s="18" t="n">
        <x:f>MAX(F280,0)</x:f>
        <x:v>0</x:v>
      </x:c>
      <x:c r="I280" s="18" t="n">
        <x:f>J279</x:f>
        <x:v>108.58445086956522</x:v>
      </x:c>
      <x:c r="J280" s="18" t="n">
        <x:f>I280+E280*(G280*'原始输入与口径'!$D$5-H280/'原始输入与口径'!$D$5)</x:f>
        <x:v>126.3908392695652</x:v>
      </x:c>
      <x:c r="K280" s="18" t="n">
        <x:v>108.58445086956522</x:v>
      </x:c>
      <x:c r="L280" s="18" t="n">
        <x:v>126.3908392695652</x:v>
      </x:c>
      <x:c r="M280" s="18" t="n">
        <x:f>J280-L280</x:f>
        <x:v>0</x:v>
      </x:c>
      <x:c r="N280" s="18" t="n">
        <x:f>E280*(G280*'原始输入与口径'!$D$5+H280/'原始输入与口径'!$D$5)/'原始输入与口径'!$H$5</x:f>
        <x:v>0.04946218999999997</x:v>
      </x:c>
      <x:c r="O280" s="18" t="n">
        <x:v>0.04946218999999996</x:v>
      </x:c>
      <x:c r="P280" s="18" t="n">
        <x:f>N280-O280</x:f>
        <x:v>6.938893903907228e-18</x:v>
      </x:c>
      <x:c r="Q280" s="18" t="n">
        <x:f>E280*G280</x:f>
        <x:v>19.354769999999984</x:v>
      </x:c>
      <x:c r="R280" s="18" t="n">
        <x:f>E280*H280</x:f>
        <x:v>0</x:v>
      </x:c>
      <x:c r="S280" s="2" t="n">
        <x:v>117</x:v>
      </x:c>
    </x:row>
    <x:row r="281" ht="21" customHeight="1">
      <x:c r="A281" s="36" t="n">
        <x:v>45659.21875</x:v>
      </x:c>
      <x:c r="B281" s="36" t="n">
        <x:v>45659.21875166667</x:v>
      </x:c>
      <x:c r="C281" s="36" t="n">
        <x:v>45659.21875</x:v>
      </x:c>
      <x:c r="D281" s="2" t="str">
        <x:v>d</x:v>
      </x:c>
      <x:c r="E281" s="18" t="n">
        <x:v>0.00004</x:v>
      </x:c>
      <x:c r="F281" s="18" t="n">
        <x:f>IF(D281="d",'两日价格与决策'!K124-'两日价格与决策'!N124,IF(D281="u",'两日价格与决策'!K124+'两日价格与决策'!M124,'两日价格与决策'!K124))</x:f>
        <x:v>-99.99999999999993</x:v>
      </x:c>
      <x:c r="G281" s="18" t="n">
        <x:f>MAX(-F281,0)</x:f>
        <x:v>99.99999999999993</x:v>
      </x:c>
      <x:c r="H281" s="18" t="n">
        <x:f>MAX(F281,0)</x:f>
        <x:v>0</x:v>
      </x:c>
      <x:c r="I281" s="18" t="n">
        <x:f>J280</x:f>
        <x:v>126.3908392695652</x:v>
      </x:c>
      <x:c r="J281" s="18" t="n">
        <x:f>I281+E281*(G281*'原始输入与口径'!$D$5-H281/'原始输入与口径'!$D$5)</x:f>
        <x:v>126.39451926956521</x:v>
      </x:c>
      <x:c r="K281" s="18" t="n">
        <x:v>126.3908392695652</x:v>
      </x:c>
      <x:c r="L281" s="18" t="n">
        <x:v>126.39451926956521</x:v>
      </x:c>
      <x:c r="M281" s="18" t="n">
        <x:f>J281-L281</x:f>
        <x:v>0</x:v>
      </x:c>
      <x:c r="N281" s="18" t="n">
        <x:f>E281*(G281*'原始输入与口径'!$D$5+H281/'原始输入与口径'!$D$5)/'原始输入与口径'!$H$5</x:f>
        <x:v>0.000010222222222222216</x:v>
      </x:c>
      <x:c r="O281" s="18" t="n">
        <x:v>0.000010222222222222216</x:v>
      </x:c>
      <x:c r="P281" s="18" t="n">
        <x:f>N281-O281</x:f>
        <x:v>0</x:v>
      </x:c>
      <x:c r="Q281" s="18" t="n">
        <x:f>E281*G281</x:f>
        <x:v>0.0039999999999999975</x:v>
      </x:c>
      <x:c r="R281" s="18" t="n">
        <x:f>E281*H281</x:f>
        <x:v>0</x:v>
      </x:c>
      <x:c r="S281" s="2" t="n">
        <x:v>118</x:v>
      </x:c>
    </x:row>
    <x:row r="282" ht="21" customHeight="1">
      <x:c r="A282" s="36" t="n">
        <x:v>45659.21875166667</x:v>
      </x:c>
      <x:c r="B282" s="36" t="n">
        <x:v>45659.219045625</x:v>
      </x:c>
      <x:c r="C282" s="36" t="n">
        <x:v>45659.21875</x:v>
      </x:c>
      <x:c r="D282" s="2" t="str">
        <x:v>u</x:v>
      </x:c>
      <x:c r="E282" s="18" t="n">
        <x:v>0.0070550000000000005</x:v>
      </x:c>
      <x:c r="F282" s="18" t="n">
        <x:f>IF(D282="d",'两日价格与决策'!K124-'两日价格与决策'!N124,IF(D282="u",'两日价格与决策'!K124+'两日价格与决策'!M124,'两日价格与决策'!K124))</x:f>
        <x:v>17.00000000000007</x:v>
      </x:c>
      <x:c r="G282" s="18" t="n">
        <x:f>MAX(-F282,0)</x:f>
        <x:v>0</x:v>
      </x:c>
      <x:c r="H282" s="18" t="n">
        <x:f>MAX(F282,0)</x:f>
        <x:v>17.00000000000007</x:v>
      </x:c>
      <x:c r="I282" s="18" t="n">
        <x:f>J281</x:f>
        <x:v>126.39451926956521</x:v>
      </x:c>
      <x:c r="J282" s="18" t="n">
        <x:f>I282+E282*(G282*'原始输入与口径'!$D$5-H282/'原始输入与口径'!$D$5)</x:f>
        <x:v>126.26415513913042</x:v>
      </x:c>
      <x:c r="K282" s="18" t="n">
        <x:v>126.39451926956521</x:v>
      </x:c>
      <x:c r="L282" s="18" t="n">
        <x:v>126.26415513913042</x:v>
      </x:c>
      <x:c r="M282" s="18" t="n">
        <x:f>J282-L282</x:f>
        <x:v>0</x:v>
      </x:c>
      <x:c r="N282" s="18" t="n">
        <x:f>E282*(G282*'原始输入与口径'!$D$5+H282/'原始输入与口径'!$D$5)/'原始输入与口径'!$H$5</x:f>
        <x:v>0.0003621225845410643</x:v>
      </x:c>
      <x:c r="O282" s="18" t="n">
        <x:v>0.0003621225845410643</x:v>
      </x:c>
      <x:c r="P282" s="18" t="n">
        <x:f>N282-O282</x:f>
        <x:v>0</x:v>
      </x:c>
      <x:c r="Q282" s="18" t="n">
        <x:f>E282*G282</x:f>
        <x:v>0</x:v>
      </x:c>
      <x:c r="R282" s="18" t="n">
        <x:f>E282*H282</x:f>
        <x:v>0.11993500000000051</x:v>
      </x:c>
      <x:c r="S282" s="2" t="n">
        <x:v>118</x:v>
      </x:c>
    </x:row>
    <x:row r="283" ht="21" customHeight="1">
      <x:c r="A283" s="36" t="n">
        <x:v>45659.219045625</x:v>
      </x:c>
      <x:c r="B283" s="36" t="n">
        <x:v>45659.229166666664</x:v>
      </x:c>
      <x:c r="C283" s="36" t="n">
        <x:v>45659.21875</x:v>
      </x:c>
      <x:c r="D283" s="2" t="str">
        <x:v>0</x:v>
      </x:c>
      <x:c r="E283" s="18" t="n">
        <x:v>0.24290499999999998</x:v>
      </x:c>
      <x:c r="F283" s="18" t="n">
        <x:f>IF(D283="d",'两日价格与决策'!K124-'两日价格与决策'!N124,IF(D283="u",'两日价格与决策'!K124+'两日价格与决策'!M124,'两日价格与决策'!K124))</x:f>
        <x:v>-82.99999999999993</x:v>
      </x:c>
      <x:c r="G283" s="18" t="n">
        <x:f>MAX(-F283,0)</x:f>
        <x:v>82.99999999999993</x:v>
      </x:c>
      <x:c r="H283" s="18" t="n">
        <x:f>MAX(F283,0)</x:f>
        <x:v>0</x:v>
      </x:c>
      <x:c r="I283" s="18" t="n">
        <x:f>J282</x:f>
        <x:v>126.26415513913042</x:v>
      </x:c>
      <x:c r="J283" s="18" t="n">
        <x:f>I283+E283*(G283*'原始输入与口径'!$D$5-H283/'原始输入与口径'!$D$5)</x:f>
        <x:v>144.8123809391304</x:v>
      </x:c>
      <x:c r="K283" s="18" t="n">
        <x:v>126.26415513913042</x:v>
      </x:c>
      <x:c r="L283" s="18" t="n">
        <x:v>144.8123809391304</x:v>
      </x:c>
      <x:c r="M283" s="18" t="n">
        <x:f>J283-L283</x:f>
        <x:v>0</x:v>
      </x:c>
      <x:c r="N283" s="18" t="n">
        <x:f>E283*(G283*'原始输入与口径'!$D$5+H283/'原始输入与口径'!$D$5)/'原始输入与口径'!$H$5</x:f>
        <x:v>0.0515228494444444</x:v>
      </x:c>
      <x:c r="O283" s="18" t="n">
        <x:v>0.0515228494444444</x:v>
      </x:c>
      <x:c r="P283" s="18" t="n">
        <x:f>N283-O283</x:f>
        <x:v>0</x:v>
      </x:c>
      <x:c r="Q283" s="18" t="n">
        <x:f>E283*G283</x:f>
        <x:v>20.16111499999998</x:v>
      </x:c>
      <x:c r="R283" s="18" t="n">
        <x:f>E283*H283</x:f>
        <x:v>0</x:v>
      </x:c>
      <x:c r="S283" s="2" t="n">
        <x:v>118</x:v>
      </x:c>
    </x:row>
    <x:row r="284" ht="21" customHeight="1">
      <x:c r="A284" s="36" t="n">
        <x:v>45659.229166666664</x:v>
      </x:c>
      <x:c r="B284" s="36" t="n">
        <x:v>45659.22960229166</x:v>
      </x:c>
      <x:c r="C284" s="36" t="n">
        <x:v>45659.229166666664</x:v>
      </x:c>
      <x:c r="D284" s="2" t="str">
        <x:v>u</x:v>
      </x:c>
      <x:c r="E284" s="18" t="n">
        <x:v>0.010455</x:v>
      </x:c>
      <x:c r="F284" s="18" t="n">
        <x:f>IF(D284="d",'两日价格与决策'!K125-'两日价格与决策'!N125,IF(D284="u",'两日价格与决策'!K125+'两日价格与决策'!M125,'两日价格与决策'!K125))</x:f>
        <x:v>17.00000000000007</x:v>
      </x:c>
      <x:c r="G284" s="18" t="n">
        <x:f>MAX(-F284,0)</x:f>
        <x:v>0</x:v>
      </x:c>
      <x:c r="H284" s="18" t="n">
        <x:f>MAX(F284,0)</x:f>
        <x:v>17.00000000000007</x:v>
      </x:c>
      <x:c r="I284" s="18" t="n">
        <x:f>J283</x:f>
        <x:v>144.8123809391304</x:v>
      </x:c>
      <x:c r="J284" s="18" t="n">
        <x:f>I284+E284*(G284*'原始输入与口径'!$D$5-H284/'原始输入与口径'!$D$5)</x:f>
        <x:v>144.6191907217391</x:v>
      </x:c>
      <x:c r="K284" s="18" t="n">
        <x:v>144.8123809391304</x:v>
      </x:c>
      <x:c r="L284" s="18" t="n">
        <x:v>144.6191907217391</x:v>
      </x:c>
      <x:c r="M284" s="18" t="n">
        <x:f>J284-L284</x:f>
        <x:v>0</x:v>
      </x:c>
      <x:c r="N284" s="18" t="n">
        <x:f>E284*(G284*'原始输入与口径'!$D$5+H284/'原始输入与口径'!$D$5)/'原始输入与口径'!$H$5</x:f>
        <x:v>0.0005366394927536254</x:v>
      </x:c>
      <x:c r="O284" s="18" t="n">
        <x:v>0.0005366394927536254</x:v>
      </x:c>
      <x:c r="P284" s="18" t="n">
        <x:f>N284-O284</x:f>
        <x:v>0</x:v>
      </x:c>
      <x:c r="Q284" s="18" t="n">
        <x:f>E284*G284</x:f>
        <x:v>0</x:v>
      </x:c>
      <x:c r="R284" s="18" t="n">
        <x:f>E284*H284</x:f>
        <x:v>0.17773500000000075</x:v>
      </x:c>
      <x:c r="S284" s="2" t="n">
        <x:v>119</x:v>
      </x:c>
    </x:row>
    <x:row r="285" ht="21" customHeight="1">
      <x:c r="A285" s="36" t="n">
        <x:v>45659.22960229166</x:v>
      </x:c>
      <x:c r="B285" s="36" t="n">
        <x:v>45659.23958333333</x:v>
      </x:c>
      <x:c r="C285" s="36" t="n">
        <x:v>45659.229166666664</x:v>
      </x:c>
      <x:c r="D285" s="2" t="str">
        <x:v>0</x:v>
      </x:c>
      <x:c r="E285" s="18" t="n">
        <x:v>0.239545</x:v>
      </x:c>
      <x:c r="F285" s="18" t="n">
        <x:f>IF(D285="d",'两日价格与决策'!K125-'两日价格与决策'!N125,IF(D285="u",'两日价格与决策'!K125+'两日价格与决策'!M125,'两日价格与决策'!K125))</x:f>
        <x:v>-82.99999999999993</x:v>
      </x:c>
      <x:c r="G285" s="18" t="n">
        <x:f>MAX(-F285,0)</x:f>
        <x:v>82.99999999999993</x:v>
      </x:c>
      <x:c r="H285" s="18" t="n">
        <x:f>MAX(F285,0)</x:f>
        <x:v>0</x:v>
      </x:c>
      <x:c r="I285" s="18" t="n">
        <x:f>J284</x:f>
        <x:v>144.6191907217391</x:v>
      </x:c>
      <x:c r="J285" s="18" t="n">
        <x:f>I285+E285*(G285*'原始输入与口径'!$D$5-H285/'原始输入与口径'!$D$5)</x:f>
        <x:v>162.91084692173908</x:v>
      </x:c>
      <x:c r="K285" s="18" t="n">
        <x:v>144.6191907217391</x:v>
      </x:c>
      <x:c r="L285" s="18" t="n">
        <x:v>162.91084692173908</x:v>
      </x:c>
      <x:c r="M285" s="18" t="n">
        <x:f>J285-L285</x:f>
        <x:v>0</x:v>
      </x:c>
      <x:c r="N285" s="18" t="n">
        <x:f>E285*(G285*'原始输入与口径'!$D$5+H285/'原始输入与口径'!$D$5)/'原始输入与口径'!$H$5</x:f>
        <x:v>0.050810156111111074</x:v>
      </x:c>
      <x:c r="O285" s="18" t="n">
        <x:v>0.05081015611111107</x:v>
      </x:c>
      <x:c r="P285" s="18" t="n">
        <x:f>N285-O285</x:f>
        <x:v>6.938893903907228e-18</x:v>
      </x:c>
      <x:c r="Q285" s="18" t="n">
        <x:f>E285*G285</x:f>
        <x:v>19.882234999999984</x:v>
      </x:c>
      <x:c r="R285" s="18" t="n">
        <x:f>E285*H285</x:f>
        <x:v>0</x:v>
      </x:c>
      <x:c r="S285" s="2" t="n">
        <x:v>119</x:v>
      </x:c>
    </x:row>
    <x:row r="286" ht="21" customHeight="1">
      <x:c r="A286" s="36" t="n">
        <x:v>45659.239583333336</x:v>
      </x:c>
      <x:c r="B286" s="36" t="n">
        <x:v>45659.23961520834</x:v>
      </x:c>
      <x:c r="C286" s="36" t="n">
        <x:v>45659.239583333336</x:v>
      </x:c>
      <x:c r="D286" s="2" t="str">
        <x:v>d</x:v>
      </x:c>
      <x:c r="E286" s="18" t="n">
        <x:v>0.000765</x:v>
      </x:c>
      <x:c r="F286" s="18" t="n">
        <x:f>IF(D286="d",'两日价格与决策'!K126-'两日价格与决策'!N126,IF(D286="u",'两日价格与决策'!K126+'两日价格与决策'!M126,'两日价格与决策'!K126))</x:f>
        <x:v>-99.99999999999993</x:v>
      </x:c>
      <x:c r="G286" s="18" t="n">
        <x:f>MAX(-F286,0)</x:f>
        <x:v>99.99999999999993</x:v>
      </x:c>
      <x:c r="H286" s="18" t="n">
        <x:f>MAX(F286,0)</x:f>
        <x:v>0</x:v>
      </x:c>
      <x:c r="I286" s="18" t="n">
        <x:f>J285</x:f>
        <x:v>162.91084692173908</x:v>
      </x:c>
      <x:c r="J286" s="18" t="n">
        <x:f>I286+E286*(G286*'原始输入与口径'!$D$5-H286/'原始输入与口径'!$D$5)</x:f>
        <x:v>162.98122692173908</x:v>
      </x:c>
      <x:c r="K286" s="18" t="n">
        <x:v>162.91084692173908</x:v>
      </x:c>
      <x:c r="L286" s="18" t="n">
        <x:v>162.98122692173908</x:v>
      </x:c>
      <x:c r="M286" s="18" t="n">
        <x:f>J286-L286</x:f>
        <x:v>0</x:v>
      </x:c>
      <x:c r="N286" s="18" t="n">
        <x:f>E286*(G286*'原始输入与口径'!$D$5+H286/'原始输入与口径'!$D$5)/'原始输入与口径'!$H$5</x:f>
        <x:v>0.00019549999999999987</x:v>
      </x:c>
      <x:c r="O286" s="18" t="n">
        <x:v>0.00019549999999999987</x:v>
      </x:c>
      <x:c r="P286" s="18" t="n">
        <x:f>N286-O286</x:f>
        <x:v>0</x:v>
      </x:c>
      <x:c r="Q286" s="18" t="n">
        <x:f>E286*G286</x:f>
        <x:v>0.07649999999999994</x:v>
      </x:c>
      <x:c r="R286" s="18" t="n">
        <x:f>E286*H286</x:f>
        <x:v>0</x:v>
      </x:c>
      <x:c r="S286" s="2" t="n">
        <x:v>120</x:v>
      </x:c>
    </x:row>
    <x:row r="287" ht="21" customHeight="1">
      <x:c r="A287" s="36" t="n">
        <x:v>45659.23961520834</x:v>
      </x:c>
      <x:c r="B287" s="36" t="n">
        <x:v>45659.24018479167</x:v>
      </x:c>
      <x:c r="C287" s="36" t="n">
        <x:v>45659.239583333336</x:v>
      </x:c>
      <x:c r="D287" s="2" t="str">
        <x:v>u</x:v>
      </x:c>
      <x:c r="E287" s="18" t="n">
        <x:v>0.01367</x:v>
      </x:c>
      <x:c r="F287" s="18" t="n">
        <x:f>IF(D287="d",'两日价格与决策'!K126-'两日价格与决策'!N126,IF(D287="u",'两日价格与决策'!K126+'两日价格与决策'!M126,'两日价格与决策'!K126))</x:f>
        <x:v>17.00000000000007</x:v>
      </x:c>
      <x:c r="G287" s="18" t="n">
        <x:f>MAX(-F287,0)</x:f>
        <x:v>0</x:v>
      </x:c>
      <x:c r="H287" s="18" t="n">
        <x:f>MAX(F287,0)</x:f>
        <x:v>17.00000000000007</x:v>
      </x:c>
      <x:c r="I287" s="18" t="n">
        <x:f>J286</x:f>
        <x:v>162.98122692173908</x:v>
      </x:c>
      <x:c r="J287" s="18" t="n">
        <x:f>I287+E287*(G287*'原始输入与口径'!$D$5-H287/'原始输入与口径'!$D$5)</x:f>
        <x:v>162.7286290956521</x:v>
      </x:c>
      <x:c r="K287" s="18" t="n">
        <x:v>162.98122692173908</x:v>
      </x:c>
      <x:c r="L287" s="18" t="n">
        <x:v>162.7286290956521</x:v>
      </x:c>
      <x:c r="M287" s="18" t="n">
        <x:f>J287-L287</x:f>
        <x:v>0</x:v>
      </x:c>
      <x:c r="N287" s="18" t="n">
        <x:f>E287*(G287*'原始输入与口径'!$D$5+H287/'原始输入与口径'!$D$5)/'原始输入与口径'!$H$5</x:f>
        <x:v>0.0007016606280193266</x:v>
      </x:c>
      <x:c r="O287" s="18" t="n">
        <x:v>0.0007016606280193266</x:v>
      </x:c>
      <x:c r="P287" s="18" t="n">
        <x:f>N287-O287</x:f>
        <x:v>0</x:v>
      </x:c>
      <x:c r="Q287" s="18" t="n">
        <x:f>E287*G287</x:f>
        <x:v>0</x:v>
      </x:c>
      <x:c r="R287" s="18" t="n">
        <x:f>E287*H287</x:f>
        <x:v>0.23239000000000096</x:v>
      </x:c>
      <x:c r="S287" s="2" t="n">
        <x:v>120</x:v>
      </x:c>
    </x:row>
    <x:row r="288" ht="21" customHeight="1">
      <x:c r="A288" s="36" t="n">
        <x:v>45659.24018479167</x:v>
      </x:c>
      <x:c r="B288" s="36" t="n">
        <x:v>45659.25</x:v>
      </x:c>
      <x:c r="C288" s="36" t="n">
        <x:v>45659.239583333336</x:v>
      </x:c>
      <x:c r="D288" s="2" t="str">
        <x:v>0</x:v>
      </x:c>
      <x:c r="E288" s="18" t="n">
        <x:v>0.23556500000000002</x:v>
      </x:c>
      <x:c r="F288" s="18" t="n">
        <x:f>IF(D288="d",'两日价格与决策'!K126-'两日价格与决策'!N126,IF(D288="u",'两日价格与决策'!K126+'两日价格与决策'!M126,'两日价格与决策'!K126))</x:f>
        <x:v>-82.99999999999993</x:v>
      </x:c>
      <x:c r="G288" s="18" t="n">
        <x:f>MAX(-F288,0)</x:f>
        <x:v>82.99999999999993</x:v>
      </x:c>
      <x:c r="H288" s="18" t="n">
        <x:f>MAX(F288,0)</x:f>
        <x:v>0</x:v>
      </x:c>
      <x:c r="I288" s="18" t="n">
        <x:f>J287</x:f>
        <x:v>162.7286290956521</x:v>
      </x:c>
      <x:c r="J288" s="18" t="n">
        <x:f>I288+E288*(G288*'原始输入与口径'!$D$5-H288/'原始输入与口径'!$D$5)</x:f>
        <x:v>180.7163724956521</x:v>
      </x:c>
      <x:c r="K288" s="18" t="n">
        <x:v>162.7286290956521</x:v>
      </x:c>
      <x:c r="L288" s="18" t="n">
        <x:v>180.71637249565208</x:v>
      </x:c>
      <x:c r="M288" s="18" t="n">
        <x:f>J288-L288</x:f>
        <x:v>2.842170943040401e-14</x:v>
      </x:c>
      <x:c r="N288" s="18" t="n">
        <x:f>E288*(G288*'原始输入与口径'!$D$5+H288/'原始输入与口径'!$D$5)/'原始输入与口径'!$H$5</x:f>
        <x:v>0.04996595388888886</x:v>
      </x:c>
      <x:c r="O288" s="18" t="n">
        <x:v>0.049965953888888845</x:v>
      </x:c>
      <x:c r="P288" s="18" t="n">
        <x:f>N288-O288</x:f>
        <x:v>1.3877787807814457e-17</x:v>
      </x:c>
      <x:c r="Q288" s="18" t="n">
        <x:f>E288*G288</x:f>
        <x:v>19.551894999999984</x:v>
      </x:c>
      <x:c r="R288" s="18" t="n">
        <x:f>E288*H288</x:f>
        <x:v>0</x:v>
      </x:c>
      <x:c r="S288" s="2" t="n">
        <x:v>120</x:v>
      </x:c>
    </x:row>
    <x:row r="289" ht="21" customHeight="1">
      <x:c r="A289" s="36" t="n">
        <x:v>45659.25</x:v>
      </x:c>
      <x:c r="B289" s="36" t="n">
        <x:v>45659.25185916667</x:v>
      </x:c>
      <x:c r="C289" s="36" t="n">
        <x:v>45659.25</x:v>
      </x:c>
      <x:c r="D289" s="2" t="str">
        <x:v>d</x:v>
      </x:c>
      <x:c r="E289" s="18" t="n">
        <x:v>0.04462</x:v>
      </x:c>
      <x:c r="F289" s="18" t="n">
        <x:f>IF(D289="d",'两日价格与决策'!K127-'两日价格与决策'!N127,IF(D289="u",'两日价格与决策'!K127+'两日价格与决策'!M127,'两日价格与决策'!K127))</x:f>
        <x:v>-100</x:v>
      </x:c>
      <x:c r="G289" s="18" t="n">
        <x:f>MAX(-F289,0)</x:f>
        <x:v>100</x:v>
      </x:c>
      <x:c r="H289" s="18" t="n">
        <x:f>MAX(F289,0)</x:f>
        <x:v>0</x:v>
      </x:c>
      <x:c r="I289" s="18" t="n">
        <x:f>J288</x:f>
        <x:v>180.7163724956521</x:v>
      </x:c>
      <x:c r="J289" s="18" t="n">
        <x:f>I289+E289*(G289*'原始输入与口径'!$D$5-H289/'原始输入与口径'!$D$5)</x:f>
        <x:v>184.8214124956521</x:v>
      </x:c>
      <x:c r="K289" s="18" t="n">
        <x:v>180.71637249565208</x:v>
      </x:c>
      <x:c r="L289" s="18" t="n">
        <x:v>184.82141249565208</x:v>
      </x:c>
      <x:c r="M289" s="18" t="n">
        <x:f>J289-L289</x:f>
        <x:v>2.842170943040401e-14</x:v>
      </x:c>
      <x:c r="N289" s="18" t="n">
        <x:f>E289*(G289*'原始输入与口径'!$D$5+H289/'原始输入与口径'!$D$5)/'原始输入与口径'!$H$5</x:f>
        <x:v>0.011402888888888888</x:v>
      </x:c>
      <x:c r="O289" s="18" t="n">
        <x:v>0.011402888888888888</x:v>
      </x:c>
      <x:c r="P289" s="18" t="n">
        <x:f>N289-O289</x:f>
        <x:v>0</x:v>
      </x:c>
      <x:c r="Q289" s="18" t="n">
        <x:f>E289*G289</x:f>
        <x:v>4.462</x:v>
      </x:c>
      <x:c r="R289" s="18" t="n">
        <x:f>E289*H289</x:f>
        <x:v>0</x:v>
      </x:c>
      <x:c r="S289" s="2" t="n">
        <x:v>121</x:v>
      </x:c>
    </x:row>
    <x:row r="290" ht="21" customHeight="1">
      <x:c r="A290" s="36" t="n">
        <x:v>45659.25185916667</x:v>
      </x:c>
      <x:c r="B290" s="36" t="n">
        <x:v>45659.260416666664</x:v>
      </x:c>
      <x:c r="C290" s="36" t="n">
        <x:v>45659.25</x:v>
      </x:c>
      <x:c r="D290" s="2" t="str">
        <x:v>0</x:v>
      </x:c>
      <x:c r="E290" s="18" t="n">
        <x:v>0.20538</x:v>
      </x:c>
      <x:c r="F290" s="18" t="n">
        <x:f>IF(D290="d",'两日价格与决策'!K127-'两日价格与决策'!N127,IF(D290="u",'两日价格与决策'!K127+'两日价格与决策'!M127,'两日价格与决策'!K127))</x:f>
        <x:v>0</x:v>
      </x:c>
      <x:c r="G290" s="18" t="n">
        <x:f>MAX(-F290,0)</x:f>
        <x:v>0</x:v>
      </x:c>
      <x:c r="H290" s="18" t="n">
        <x:f>MAX(F290,0)</x:f>
        <x:v>0</x:v>
      </x:c>
      <x:c r="I290" s="18" t="n">
        <x:f>J289</x:f>
        <x:v>184.8214124956521</x:v>
      </x:c>
      <x:c r="J290" s="18" t="n">
        <x:f>I290+E290*(G290*'原始输入与口径'!$D$5-H290/'原始输入与口径'!$D$5)</x:f>
        <x:v>184.8214124956521</x:v>
      </x:c>
      <x:c r="K290" s="18" t="n">
        <x:v>184.82141249565208</x:v>
      </x:c>
      <x:c r="L290" s="18" t="n">
        <x:v>184.82141249565208</x:v>
      </x:c>
      <x:c r="M290" s="18" t="n">
        <x:f>J290-L290</x:f>
        <x:v>2.842170943040401e-14</x:v>
      </x:c>
      <x:c r="N290" s="18" t="n">
        <x:f>E290*(G290*'原始输入与口径'!$D$5+H290/'原始输入与口径'!$D$5)/'原始输入与口径'!$H$5</x:f>
        <x:v>0</x:v>
      </x:c>
      <x:c r="O290" s="18" t="n">
        <x:v>0</x:v>
      </x:c>
      <x:c r="P290" s="18" t="n">
        <x:f>N290-O290</x:f>
        <x:v>0</x:v>
      </x:c>
      <x:c r="Q290" s="18" t="n">
        <x:f>E290*G290</x:f>
        <x:v>0</x:v>
      </x:c>
      <x:c r="R290" s="18" t="n">
        <x:f>E290*H290</x:f>
        <x:v>0</x:v>
      </x:c>
      <x:c r="S290" s="2" t="n">
        <x:v>121</x:v>
      </x:c>
    </x:row>
    <x:row r="291" ht="21" customHeight="1">
      <x:c r="A291" s="36" t="n">
        <x:v>45659.260416666664</x:v>
      </x:c>
      <x:c r="B291" s="36" t="n">
        <x:v>45659.26246708333</x:v>
      </x:c>
      <x:c r="C291" s="36" t="n">
        <x:v>45659.260416666664</x:v>
      </x:c>
      <x:c r="D291" s="2" t="str">
        <x:v>d</x:v>
      </x:c>
      <x:c r="E291" s="18" t="n">
        <x:v>0.049210000000000004</x:v>
      </x:c>
      <x:c r="F291" s="18" t="n">
        <x:f>IF(D291="d",'两日价格与决策'!K128-'两日价格与决策'!N128,IF(D291="u",'两日价格与决策'!K128+'两日价格与决策'!M128,'两日价格与决策'!K128))</x:f>
        <x:v>-100</x:v>
      </x:c>
      <x:c r="G291" s="18" t="n">
        <x:f>MAX(-F291,0)</x:f>
        <x:v>100</x:v>
      </x:c>
      <x:c r="H291" s="18" t="n">
        <x:f>MAX(F291,0)</x:f>
        <x:v>0</x:v>
      </x:c>
      <x:c r="I291" s="18" t="n">
        <x:f>J290</x:f>
        <x:v>184.8214124956521</x:v>
      </x:c>
      <x:c r="J291" s="18" t="n">
        <x:f>I291+E291*(G291*'原始输入与口径'!$D$5-H291/'原始输入与口径'!$D$5)</x:f>
        <x:v>189.34873249565211</x:v>
      </x:c>
      <x:c r="K291" s="18" t="n">
        <x:v>184.82141249565208</x:v>
      </x:c>
      <x:c r="L291" s="18" t="n">
        <x:v>189.3487324956521</x:v>
      </x:c>
      <x:c r="M291" s="18" t="n">
        <x:f>J291-L291</x:f>
        <x:v>2.842170943040401e-14</x:v>
      </x:c>
      <x:c r="N291" s="18" t="n">
        <x:f>E291*(G291*'原始输入与口径'!$D$5+H291/'原始输入与口径'!$D$5)/'原始输入与口径'!$H$5</x:f>
        <x:v>0.01257588888888889</x:v>
      </x:c>
      <x:c r="O291" s="18" t="n">
        <x:v>0.01257588888888889</x:v>
      </x:c>
      <x:c r="P291" s="18" t="n">
        <x:f>N291-O291</x:f>
        <x:v>0</x:v>
      </x:c>
      <x:c r="Q291" s="18" t="n">
        <x:f>E291*G291</x:f>
        <x:v>4.921</x:v>
      </x:c>
      <x:c r="R291" s="18" t="n">
        <x:f>E291*H291</x:f>
        <x:v>0</x:v>
      </x:c>
      <x:c r="S291" s="2" t="n">
        <x:v>122</x:v>
      </x:c>
    </x:row>
    <x:row r="292" ht="21" customHeight="1">
      <x:c r="A292" s="36" t="n">
        <x:v>45659.26246708333</x:v>
      </x:c>
      <x:c r="B292" s="36" t="n">
        <x:v>45659.27083333333</x:v>
      </x:c>
      <x:c r="C292" s="36" t="n">
        <x:v>45659.260416666664</x:v>
      </x:c>
      <x:c r="D292" s="2" t="str">
        <x:v>0</x:v>
      </x:c>
      <x:c r="E292" s="18" t="n">
        <x:v>0.20079</x:v>
      </x:c>
      <x:c r="F292" s="18" t="n">
        <x:f>IF(D292="d",'两日价格与决策'!K128-'两日价格与决策'!N128,IF(D292="u",'两日价格与决策'!K128+'两日价格与决策'!M128,'两日价格与决策'!K128))</x:f>
        <x:v>0</x:v>
      </x:c>
      <x:c r="G292" s="18" t="n">
        <x:f>MAX(-F292,0)</x:f>
        <x:v>0</x:v>
      </x:c>
      <x:c r="H292" s="18" t="n">
        <x:f>MAX(F292,0)</x:f>
        <x:v>0</x:v>
      </x:c>
      <x:c r="I292" s="18" t="n">
        <x:f>J291</x:f>
        <x:v>189.34873249565211</x:v>
      </x:c>
      <x:c r="J292" s="18" t="n">
        <x:f>I292+E292*(G292*'原始输入与口径'!$D$5-H292/'原始输入与口径'!$D$5)</x:f>
        <x:v>189.34873249565211</x:v>
      </x:c>
      <x:c r="K292" s="18" t="n">
        <x:v>189.3487324956521</x:v>
      </x:c>
      <x:c r="L292" s="18" t="n">
        <x:v>189.3487324956521</x:v>
      </x:c>
      <x:c r="M292" s="18" t="n">
        <x:f>J292-L292</x:f>
        <x:v>2.842170943040401e-14</x:v>
      </x:c>
      <x:c r="N292" s="18" t="n">
        <x:f>E292*(G292*'原始输入与口径'!$D$5+H292/'原始输入与口径'!$D$5)/'原始输入与口径'!$H$5</x:f>
        <x:v>0</x:v>
      </x:c>
      <x:c r="O292" s="18" t="n">
        <x:v>0</x:v>
      </x:c>
      <x:c r="P292" s="18" t="n">
        <x:f>N292-O292</x:f>
        <x:v>0</x:v>
      </x:c>
      <x:c r="Q292" s="18" t="n">
        <x:f>E292*G292</x:f>
        <x:v>0</x:v>
      </x:c>
      <x:c r="R292" s="18" t="n">
        <x:f>E292*H292</x:f>
        <x:v>0</x:v>
      </x:c>
      <x:c r="S292" s="2" t="n">
        <x:v>122</x:v>
      </x:c>
    </x:row>
    <x:row r="293" ht="21" customHeight="1">
      <x:c r="A293" s="36" t="n">
        <x:v>45659.270833333336</x:v>
      </x:c>
      <x:c r="B293" s="36" t="n">
        <x:v>45659.27107854167</x:v>
      </x:c>
      <x:c r="C293" s="36" t="n">
        <x:v>45659.270833333336</x:v>
      </x:c>
      <x:c r="D293" s="2" t="str">
        <x:v>d</x:v>
      </x:c>
      <x:c r="E293" s="18" t="n">
        <x:v>0.0058850000000000005</x:v>
      </x:c>
      <x:c r="F293" s="18" t="n">
        <x:f>IF(D293="d",'两日价格与决策'!K129-'两日价格与决策'!N129,IF(D293="u",'两日价格与决策'!K129+'两日价格与决策'!M129,'两日价格与决策'!K129))</x:f>
        <x:v>-100</x:v>
      </x:c>
      <x:c r="G293" s="18" t="n">
        <x:f>MAX(-F293,0)</x:f>
        <x:v>100</x:v>
      </x:c>
      <x:c r="H293" s="18" t="n">
        <x:f>MAX(F293,0)</x:f>
        <x:v>0</x:v>
      </x:c>
      <x:c r="I293" s="18" t="n">
        <x:f>J292</x:f>
        <x:v>189.34873249565211</x:v>
      </x:c>
      <x:c r="J293" s="18" t="n">
        <x:f>I293+E293*(G293*'原始输入与口径'!$D$5-H293/'原始输入与口径'!$D$5)</x:f>
        <x:v>189.8901524956521</x:v>
      </x:c>
      <x:c r="K293" s="18" t="n">
        <x:v>189.3487324956521</x:v>
      </x:c>
      <x:c r="L293" s="18" t="n">
        <x:v>189.89015249565207</x:v>
      </x:c>
      <x:c r="M293" s="18" t="n">
        <x:f>J293-L293</x:f>
        <x:v>2.842170943040401e-14</x:v>
      </x:c>
      <x:c r="N293" s="18" t="n">
        <x:f>E293*(G293*'原始输入与口径'!$D$5+H293/'原始输入与口径'!$D$5)/'原始输入与口径'!$H$5</x:f>
        <x:v>0.0015039444444444445</x:v>
      </x:c>
      <x:c r="O293" s="18" t="n">
        <x:v>0.0015039444444444445</x:v>
      </x:c>
      <x:c r="P293" s="18" t="n">
        <x:f>N293-O293</x:f>
        <x:v>0</x:v>
      </x:c>
      <x:c r="Q293" s="18" t="n">
        <x:f>E293*G293</x:f>
        <x:v>0.5885</x:v>
      </x:c>
      <x:c r="R293" s="18" t="n">
        <x:f>E293*H293</x:f>
        <x:v>0</x:v>
      </x:c>
      <x:c r="S293" s="2" t="n">
        <x:v>123</x:v>
      </x:c>
    </x:row>
    <x:row r="294" ht="21" customHeight="1">
      <x:c r="A294" s="36" t="n">
        <x:v>45659.27107854167</x:v>
      </x:c>
      <x:c r="B294" s="36" t="n">
        <x:v>45659.28125</x:v>
      </x:c>
      <x:c r="C294" s="36" t="n">
        <x:v>45659.270833333336</x:v>
      </x:c>
      <x:c r="D294" s="2" t="str">
        <x:v>0</x:v>
      </x:c>
      <x:c r="E294" s="18" t="n">
        <x:v>0.244115</x:v>
      </x:c>
      <x:c r="F294" s="18" t="n">
        <x:f>IF(D294="d",'两日价格与决策'!K129-'两日价格与决策'!N129,IF(D294="u",'两日价格与决策'!K129+'两日价格与决策'!M129,'两日价格与决策'!K129))</x:f>
        <x:v>0</x:v>
      </x:c>
      <x:c r="G294" s="18" t="n">
        <x:f>MAX(-F294,0)</x:f>
        <x:v>0</x:v>
      </x:c>
      <x:c r="H294" s="18" t="n">
        <x:f>MAX(F294,0)</x:f>
        <x:v>0</x:v>
      </x:c>
      <x:c r="I294" s="18" t="n">
        <x:f>J293</x:f>
        <x:v>189.8901524956521</x:v>
      </x:c>
      <x:c r="J294" s="18" t="n">
        <x:f>I294+E294*(G294*'原始输入与口径'!$D$5-H294/'原始输入与口径'!$D$5)</x:f>
        <x:v>189.8901524956521</x:v>
      </x:c>
      <x:c r="K294" s="18" t="n">
        <x:v>189.89015249565207</x:v>
      </x:c>
      <x:c r="L294" s="18" t="n">
        <x:v>189.89015249565207</x:v>
      </x:c>
      <x:c r="M294" s="18" t="n">
        <x:f>J294-L294</x:f>
        <x:v>2.842170943040401e-14</x:v>
      </x:c>
      <x:c r="N294" s="18" t="n">
        <x:f>E294*(G294*'原始输入与口径'!$D$5+H294/'原始输入与口径'!$D$5)/'原始输入与口径'!$H$5</x:f>
        <x:v>0</x:v>
      </x:c>
      <x:c r="O294" s="18" t="n">
        <x:v>0</x:v>
      </x:c>
      <x:c r="P294" s="18" t="n">
        <x:f>N294-O294</x:f>
        <x:v>0</x:v>
      </x:c>
      <x:c r="Q294" s="18" t="n">
        <x:f>E294*G294</x:f>
        <x:v>0</x:v>
      </x:c>
      <x:c r="R294" s="18" t="n">
        <x:f>E294*H294</x:f>
        <x:v>0</x:v>
      </x:c>
      <x:c r="S294" s="2" t="n">
        <x:v>123</x:v>
      </x:c>
    </x:row>
    <x:row r="295" ht="21" customHeight="1">
      <x:c r="A295" s="36" t="n">
        <x:v>45659.28125</x:v>
      </x:c>
      <x:c r="B295" s="36" t="n">
        <x:v>45659.28126</x:v>
      </x:c>
      <x:c r="C295" s="36" t="n">
        <x:v>45659.28125</x:v>
      </x:c>
      <x:c r="D295" s="2" t="str">
        <x:v>d</x:v>
      </x:c>
      <x:c r="E295" s="18" t="n">
        <x:v>0.00024</x:v>
      </x:c>
      <x:c r="F295" s="18" t="n">
        <x:f>IF(D295="d",'两日价格与决策'!K130-'两日价格与决策'!N130,IF(D295="u",'两日价格与决策'!K130+'两日价格与决策'!M130,'两日价格与决策'!K130))</x:f>
        <x:v>-100</x:v>
      </x:c>
      <x:c r="G295" s="18" t="n">
        <x:f>MAX(-F295,0)</x:f>
        <x:v>100</x:v>
      </x:c>
      <x:c r="H295" s="18" t="n">
        <x:f>MAX(F295,0)</x:f>
        <x:v>0</x:v>
      </x:c>
      <x:c r="I295" s="18" t="n">
        <x:f>J294</x:f>
        <x:v>189.8901524956521</x:v>
      </x:c>
      <x:c r="J295" s="18" t="n">
        <x:f>I295+E295*(G295*'原始输入与口径'!$D$5-H295/'原始输入与口径'!$D$5)</x:f>
        <x:v>189.9122324956521</x:v>
      </x:c>
      <x:c r="K295" s="18" t="n">
        <x:v>189.89015249565207</x:v>
      </x:c>
      <x:c r="L295" s="18" t="n">
        <x:v>189.91223249565206</x:v>
      </x:c>
      <x:c r="M295" s="18" t="n">
        <x:f>J295-L295</x:f>
        <x:v>2.842170943040401e-14</x:v>
      </x:c>
      <x:c r="N295" s="18" t="n">
        <x:f>E295*(G295*'原始输入与口径'!$D$5+H295/'原始输入与口径'!$D$5)/'原始输入与口径'!$H$5</x:f>
        <x:v>0.00006133333333333332</x:v>
      </x:c>
      <x:c r="O295" s="18" t="n">
        <x:v>0.00006133333333333334</x:v>
      </x:c>
      <x:c r="P295" s="18" t="n">
        <x:f>N295-O295</x:f>
        <x:v>-1.3552527156068805e-20</x:v>
      </x:c>
      <x:c r="Q295" s="18" t="n">
        <x:f>E295*G295</x:f>
        <x:v>0.024</x:v>
      </x:c>
      <x:c r="R295" s="18" t="n">
        <x:f>E295*H295</x:f>
        <x:v>0</x:v>
      </x:c>
      <x:c r="S295" s="2" t="n">
        <x:v>124</x:v>
      </x:c>
    </x:row>
    <x:row r="296" ht="21" customHeight="1">
      <x:c r="A296" s="36" t="n">
        <x:v>45659.28126</x:v>
      </x:c>
      <x:c r="B296" s="36" t="n">
        <x:v>45659.28213435233</x:v>
      </x:c>
      <x:c r="C296" s="36" t="n">
        <x:v>45659.28125</x:v>
      </x:c>
      <x:c r="D296" s="2" t="str">
        <x:v>u</x:v>
      </x:c>
      <x:c r="E296" s="18" t="n">
        <x:v>0.02098445595854922</x:v>
      </x:c>
      <x:c r="F296" s="18" t="n">
        <x:f>IF(D296="d",'两日价格与决策'!K130-'两日价格与决策'!N130,IF(D296="u",'两日价格与决策'!K130+'两日价格与决策'!M130,'两日价格与决策'!K130))</x:f>
        <x:v>100</x:v>
      </x:c>
      <x:c r="G296" s="18" t="n">
        <x:f>MAX(-F296,0)</x:f>
        <x:v>0</x:v>
      </x:c>
      <x:c r="H296" s="18" t="n">
        <x:f>MAX(F296,0)</x:f>
        <x:v>100</x:v>
      </x:c>
      <x:c r="I296" s="18" t="n">
        <x:f>J295</x:f>
        <x:v>189.9122324956521</x:v>
      </x:c>
      <x:c r="J296" s="18" t="n">
        <x:f>I296+E296*(G296*'原始输入与口径'!$D$5-H296/'原始输入与口径'!$D$5)</x:f>
        <x:v>187.63131336972282</x:v>
      </x:c>
      <x:c r="K296" s="18" t="n">
        <x:v>189.91223249565206</x:v>
      </x:c>
      <x:c r="L296" s="18" t="n">
        <x:v>187.6313133697228</x:v>
      </x:c>
      <x:c r="M296" s="18" t="n">
        <x:f>J296-L296</x:f>
        <x:v>2.842170943040401e-14</x:v>
      </x:c>
      <x:c r="N296" s="18" t="n">
        <x:f>E296*(G296*'原始输入与口径'!$D$5+H296/'原始输入与口径'!$D$5)/'原始输入与口径'!$H$5</x:f>
        <x:v>0.00633588646091462</x:v>
      </x:c>
      <x:c r="O296" s="18" t="n">
        <x:v>0.00633588646091462</x:v>
      </x:c>
      <x:c r="P296" s="18" t="n">
        <x:f>N296-O296</x:f>
        <x:v>0</x:v>
      </x:c>
      <x:c r="Q296" s="18" t="n">
        <x:f>E296*G296</x:f>
        <x:v>0</x:v>
      </x:c>
      <x:c r="R296" s="18" t="n">
        <x:f>E296*H296</x:f>
        <x:v>2.098445595854922</x:v>
      </x:c>
      <x:c r="S296" s="2" t="n">
        <x:v>124</x:v>
      </x:c>
    </x:row>
    <x:row r="297" ht="21" customHeight="1">
      <x:c r="A297" s="36" t="n">
        <x:v>45659.28213435233</x:v>
      </x:c>
      <x:c r="B297" s="36" t="n">
        <x:v>45659.291666666664</x:v>
      </x:c>
      <x:c r="C297" s="36" t="n">
        <x:v>45659.28125</x:v>
      </x:c>
      <x:c r="D297" s="2" t="str">
        <x:v>0</x:v>
      </x:c>
      <x:c r="E297" s="18" t="n">
        <x:v>0.22877554404145078</x:v>
      </x:c>
      <x:c r="F297" s="18" t="n">
        <x:f>IF(D297="d",'两日价格与决策'!K130-'两日价格与决策'!N130,IF(D297="u",'两日价格与决策'!K130+'两日价格与决策'!M130,'两日价格与决策'!K130))</x:f>
        <x:v>0</x:v>
      </x:c>
      <x:c r="G297" s="18" t="n">
        <x:f>MAX(-F297,0)</x:f>
        <x:v>0</x:v>
      </x:c>
      <x:c r="H297" s="18" t="n">
        <x:f>MAX(F297,0)</x:f>
        <x:v>0</x:v>
      </x:c>
      <x:c r="I297" s="18" t="n">
        <x:f>J296</x:f>
        <x:v>187.63131336972282</x:v>
      </x:c>
      <x:c r="J297" s="18" t="n">
        <x:f>I297+E297*(G297*'原始输入与口径'!$D$5-H297/'原始输入与口径'!$D$5)</x:f>
        <x:v>187.63131336972282</x:v>
      </x:c>
      <x:c r="K297" s="18" t="n">
        <x:v>187.6313133697228</x:v>
      </x:c>
      <x:c r="L297" s="18" t="n">
        <x:v>187.6313133697228</x:v>
      </x:c>
      <x:c r="M297" s="18" t="n">
        <x:f>J297-L297</x:f>
        <x:v>2.842170943040401e-14</x:v>
      </x:c>
      <x:c r="N297" s="18" t="n">
        <x:f>E297*(G297*'原始输入与口径'!$D$5+H297/'原始输入与口径'!$D$5)/'原始输入与口径'!$H$5</x:f>
        <x:v>0</x:v>
      </x:c>
      <x:c r="O297" s="18" t="n">
        <x:v>0</x:v>
      </x:c>
      <x:c r="P297" s="18" t="n">
        <x:f>N297-O297</x:f>
        <x:v>0</x:v>
      </x:c>
      <x:c r="Q297" s="18" t="n">
        <x:f>E297*G297</x:f>
        <x:v>0</x:v>
      </x:c>
      <x:c r="R297" s="18" t="n">
        <x:f>E297*H297</x:f>
        <x:v>0</x:v>
      </x:c>
      <x:c r="S297" s="2" t="n">
        <x:v>124</x:v>
      </x:c>
    </x:row>
    <x:row r="298" ht="21" customHeight="1">
      <x:c r="A298" s="36" t="n">
        <x:v>45659.291666666664</x:v>
      </x:c>
      <x:c r="B298" s="36" t="n">
        <x:v>45659.29273916667</x:v>
      </x:c>
      <x:c r="C298" s="36" t="n">
        <x:v>45659.291666666664</x:v>
      </x:c>
      <x:c r="D298" s="2" t="str">
        <x:v>d</x:v>
      </x:c>
      <x:c r="E298" s="18" t="n">
        <x:v>0.02574</x:v>
      </x:c>
      <x:c r="F298" s="18" t="n">
        <x:f>IF(D298="d",'两日价格与决策'!K131-'两日价格与决策'!N131,IF(D298="u",'两日价格与决策'!K131+'两日价格与决策'!M131,'两日价格与决策'!K131))</x:f>
        <x:v>-86.57989211386952</x:v>
      </x:c>
      <x:c r="G298" s="18" t="n">
        <x:f>MAX(-F298,0)</x:f>
        <x:v>86.57989211386952</x:v>
      </x:c>
      <x:c r="H298" s="18" t="n">
        <x:f>MAX(F298,0)</x:f>
        <x:v>0</x:v>
      </x:c>
      <x:c r="I298" s="18" t="n">
        <x:f>J297</x:f>
        <x:v>187.63131336972282</x:v>
      </x:c>
      <x:c r="J298" s="18" t="n">
        <x:f>I298+E298*(G298*'原始输入与口径'!$D$5-H298/'原始输入与口径'!$D$5)</x:f>
        <x:v>189.68159447889295</x:v>
      </x:c>
      <x:c r="K298" s="18" t="n">
        <x:v>187.6313133697228</x:v>
      </x:c>
      <x:c r="L298" s="18" t="n">
        <x:v>189.68159447889292</x:v>
      </x:c>
      <x:c r="M298" s="18" t="n">
        <x:f>J298-L298</x:f>
        <x:v>2.842170943040401e-14</x:v>
      </x:c>
      <x:c r="N298" s="18" t="n">
        <x:f>E298*(G298*'原始输入与口径'!$D$5+H298/'原始输入与口径'!$D$5)/'原始输入与口径'!$H$5</x:f>
        <x:v>0.005695225303250337</x:v>
      </x:c>
      <x:c r="O298" s="18" t="n">
        <x:v>0.005695225303250336</x:v>
      </x:c>
      <x:c r="P298" s="18" t="n">
        <x:f>N298-O298</x:f>
        <x:v>8.673617379884035e-19</x:v>
      </x:c>
      <x:c r="Q298" s="18" t="n">
        <x:f>E298*G298</x:f>
        <x:v>2.228566423011001</x:v>
      </x:c>
      <x:c r="R298" s="18" t="n">
        <x:f>E298*H298</x:f>
        <x:v>0</x:v>
      </x:c>
      <x:c r="S298" s="2" t="n">
        <x:v>125</x:v>
      </x:c>
    </x:row>
    <x:row r="299" ht="21" customHeight="1">
      <x:c r="A299" s="36" t="n">
        <x:v>45659.29273916667</x:v>
      </x:c>
      <x:c r="B299" s="36" t="n">
        <x:v>45659.292775208334</x:v>
      </x:c>
      <x:c r="C299" s="36" t="n">
        <x:v>45659.291666666664</x:v>
      </x:c>
      <x:c r="D299" s="2" t="str">
        <x:v>u</x:v>
      </x:c>
      <x:c r="E299" s="18" t="n">
        <x:v>0.0008649999999999999</x:v>
      </x:c>
      <x:c r="F299" s="18" t="n">
        <x:f>IF(D299="d",'两日价格与决策'!K131-'两日价格与决策'!N131,IF(D299="u",'两日价格与决策'!K131+'两日价格与决策'!M131,'两日价格与决策'!K131))</x:f>
        <x:v>99.42010788613048</x:v>
      </x:c>
      <x:c r="G299" s="18" t="n">
        <x:f>MAX(-F299,0)</x:f>
        <x:v>0</x:v>
      </x:c>
      <x:c r="H299" s="18" t="n">
        <x:f>MAX(F299,0)</x:f>
        <x:v>99.42010788613048</x:v>
      </x:c>
      <x:c r="I299" s="18" t="n">
        <x:f>J298</x:f>
        <x:v>189.68159447889295</x:v>
      </x:c>
      <x:c r="J299" s="18" t="n">
        <x:f>I299+E299*(G299*'原始输入与口径'!$D$5-H299/'原始输入与口径'!$D$5)</x:f>
        <x:v>189.58811796441304</x:v>
      </x:c>
      <x:c r="K299" s="18" t="n">
        <x:v>189.68159447889292</x:v>
      </x:c>
      <x:c r="L299" s="18" t="n">
        <x:v>189.58811796441302</x:v>
      </x:c>
      <x:c r="M299" s="18" t="n">
        <x:f>J299-L299</x:f>
        <x:v>2.842170943040401e-14</x:v>
      </x:c>
      <x:c r="N299" s="18" t="n">
        <x:f>E299*(G299*'原始输入与口径'!$D$5+H299/'原始输入与口径'!$D$5)/'原始输入与口径'!$H$5</x:f>
        <x:v>0.0002596569846663733</x:v>
      </x:c>
      <x:c r="O299" s="18" t="n">
        <x:v>0.0002596569846663734</x:v>
      </x:c>
      <x:c r="P299" s="18" t="n">
        <x:f>N299-O299</x:f>
        <x:v>-5.421010862427522e-20</x:v>
      </x:c>
      <x:c r="Q299" s="18" t="n">
        <x:f>E299*G299</x:f>
        <x:v>0</x:v>
      </x:c>
      <x:c r="R299" s="18" t="n">
        <x:f>E299*H299</x:f>
        <x:v>0.08599839332150286</x:v>
      </x:c>
      <x:c r="S299" s="2" t="n">
        <x:v>125</x:v>
      </x:c>
    </x:row>
    <x:row r="300" ht="21" customHeight="1">
      <x:c r="A300" s="36" t="n">
        <x:v>45659.292775208334</x:v>
      </x:c>
      <x:c r="B300" s="36" t="n">
        <x:v>45659.30208333333</x:v>
      </x:c>
      <x:c r="C300" s="36" t="n">
        <x:v>45659.291666666664</x:v>
      </x:c>
      <x:c r="D300" s="2" t="str">
        <x:v>0</x:v>
      </x:c>
      <x:c r="E300" s="18" t="n">
        <x:v>0.223395</x:v>
      </x:c>
      <x:c r="F300" s="18" t="n">
        <x:f>IF(D300="d",'两日价格与决策'!K131-'两日价格与决策'!N131,IF(D300="u",'两日价格与决策'!K131+'两日价格与决策'!M131,'两日价格与决策'!K131))</x:f>
        <x:v>13.420107886130486</x:v>
      </x:c>
      <x:c r="G300" s="18" t="n">
        <x:f>MAX(-F300,0)</x:f>
        <x:v>0</x:v>
      </x:c>
      <x:c r="H300" s="18" t="n">
        <x:f>MAX(F300,0)</x:f>
        <x:v>13.420107886130486</x:v>
      </x:c>
      <x:c r="I300" s="18" t="n">
        <x:f>J299</x:f>
        <x:v>189.58811796441304</x:v>
      </x:c>
      <x:c r="J300" s="18" t="n">
        <x:f>I300+E300*(G300*'原始输入与口径'!$D$5-H300/'原始输入与口径'!$D$5)</x:f>
        <x:v>186.32943861525857</x:v>
      </x:c>
      <x:c r="K300" s="18" t="n">
        <x:v>189.58811796441302</x:v>
      </x:c>
      <x:c r="L300" s="18" t="n">
        <x:v>186.32943861525854</x:v>
      </x:c>
      <x:c r="M300" s="18" t="n">
        <x:f>J300-L300</x:f>
        <x:v>2.842170943040401e-14</x:v>
      </x:c>
      <x:c r="N300" s="18" t="n">
        <x:f>E300*(G300*'原始输入与口径'!$D$5+H300/'原始输入与口径'!$D$5)/'原始输入与口径'!$H$5</x:f>
        <x:v>0.009051887080984661</x:v>
      </x:c>
      <x:c r="O300" s="18" t="n">
        <x:v>0.009051887080984661</x:v>
      </x:c>
      <x:c r="P300" s="18" t="n">
        <x:f>N300-O300</x:f>
        <x:v>0</x:v>
      </x:c>
      <x:c r="Q300" s="18" t="n">
        <x:f>E300*G300</x:f>
        <x:v>0</x:v>
      </x:c>
      <x:c r="R300" s="18" t="n">
        <x:f>E300*H300</x:f>
        <x:v>2.99798500122212</x:v>
      </x:c>
      <x:c r="S300" s="2" t="n">
        <x:v>125</x:v>
      </x:c>
    </x:row>
    <x:row r="301" ht="21" customHeight="1">
      <x:c r="A301" s="36" t="n">
        <x:v>45659.302083333336</x:v>
      </x:c>
      <x:c r="B301" s="36" t="n">
        <x:v>45659.30246229167</x:v>
      </x:c>
      <x:c r="C301" s="36" t="n">
        <x:v>45659.302083333336</x:v>
      </x:c>
      <x:c r="D301" s="2" t="str">
        <x:v>d</x:v>
      </x:c>
      <x:c r="E301" s="18" t="n">
        <x:v>0.009094999999999999</x:v>
      </x:c>
      <x:c r="F301" s="18" t="n">
        <x:f>IF(D301="d",'两日价格与决策'!K132-'两日价格与决策'!N132,IF(D301="u",'两日价格与决策'!K132+'两日价格与决策'!M132,'两日价格与决策'!K132))</x:f>
        <x:v>-86.57989211386952</x:v>
      </x:c>
      <x:c r="G301" s="18" t="n">
        <x:f>MAX(-F301,0)</x:f>
        <x:v>86.57989211386952</x:v>
      </x:c>
      <x:c r="H301" s="18" t="n">
        <x:f>MAX(F301,0)</x:f>
        <x:v>0</x:v>
      </x:c>
      <x:c r="I301" s="18" t="n">
        <x:f>J300</x:f>
        <x:v>186.32943861525857</x:v>
      </x:c>
      <x:c r="J301" s="18" t="n">
        <x:f>I301+E301*(G301*'原始输入与口径'!$D$5-H301/'原始输入与口径'!$D$5)</x:f>
        <x:v>187.05388720453215</x:v>
      </x:c>
      <x:c r="K301" s="18" t="n">
        <x:v>186.32943861525854</x:v>
      </x:c>
      <x:c r="L301" s="18" t="n">
        <x:v>187.05388720453212</x:v>
      </x:c>
      <x:c r="M301" s="18" t="n">
        <x:f>J301-L301</x:f>
        <x:v>2.842170943040401e-14</x:v>
      </x:c>
      <x:c r="N301" s="18" t="n">
        <x:f>E301*(G301*'原始输入与口径'!$D$5+H301/'原始输入与口径'!$D$5)/'原始输入与口径'!$H$5</x:f>
        <x:v>0.002012357192426644</x:v>
      </x:c>
      <x:c r="O301" s="18" t="n">
        <x:v>0.0020123571924266434</x:v>
      </x:c>
      <x:c r="P301" s="18" t="n">
        <x:f>N301-O301</x:f>
        <x:v>4.336808689942018e-19</x:v>
      </x:c>
      <x:c r="Q301" s="18" t="n">
        <x:f>E301*G301</x:f>
        <x:v>0.7874441187756431</x:v>
      </x:c>
      <x:c r="R301" s="18" t="n">
        <x:f>E301*H301</x:f>
        <x:v>0</x:v>
      </x:c>
      <x:c r="S301" s="2" t="n">
        <x:v>126</x:v>
      </x:c>
    </x:row>
    <x:row r="302" ht="21" customHeight="1">
      <x:c r="A302" s="36" t="n">
        <x:v>45659.30246229167</x:v>
      </x:c>
      <x:c r="B302" s="36" t="n">
        <x:v>45659.3125</x:v>
      </x:c>
      <x:c r="C302" s="36" t="n">
        <x:v>45659.302083333336</x:v>
      </x:c>
      <x:c r="D302" s="2" t="str">
        <x:v>0</x:v>
      </x:c>
      <x:c r="E302" s="18" t="n">
        <x:v>0.240905</x:v>
      </x:c>
      <x:c r="F302" s="18" t="n">
        <x:f>IF(D302="d",'两日价格与决策'!K132-'两日价格与决策'!N132,IF(D302="u",'两日价格与决策'!K132+'两日价格与决策'!M132,'两日价格与决策'!K132))</x:f>
        <x:v>13.420107886130486</x:v>
      </x:c>
      <x:c r="G302" s="18" t="n">
        <x:f>MAX(-F302,0)</x:f>
        <x:v>0</x:v>
      </x:c>
      <x:c r="H302" s="18" t="n">
        <x:f>MAX(F302,0)</x:f>
        <x:v>13.420107886130486</x:v>
      </x:c>
      <x:c r="I302" s="18" t="n">
        <x:f>J301</x:f>
        <x:v>187.05388720453215</x:v>
      </x:c>
      <x:c r="J302" s="18" t="n">
        <x:f>I302+E302*(G302*'原始输入与口径'!$D$5-H302/'原始输入与口径'!$D$5)</x:f>
        <x:v>183.5397881933275</x:v>
      </x:c>
      <x:c r="K302" s="18" t="n">
        <x:v>187.05388720453212</x:v>
      </x:c>
      <x:c r="L302" s="18" t="n">
        <x:v>183.53978819332747</x:v>
      </x:c>
      <x:c r="M302" s="18" t="n">
        <x:f>J302-L302</x:f>
        <x:v>2.842170943040401e-14</x:v>
      </x:c>
      <x:c r="N302" s="18" t="n">
        <x:f>E302*(G302*'原始输入与口径'!$D$5+H302/'原始输入与口径'!$D$5)/'原始输入与口径'!$H$5</x:f>
        <x:v>0.009761386142235099</x:v>
      </x:c>
      <x:c r="O302" s="18" t="n">
        <x:v>0.009761386142235099</x:v>
      </x:c>
      <x:c r="P302" s="18" t="n">
        <x:f>N302-O302</x:f>
        <x:v>0</x:v>
      </x:c>
      <x:c r="Q302" s="18" t="n">
        <x:f>E302*G302</x:f>
        <x:v>0</x:v>
      </x:c>
      <x:c r="R302" s="18" t="n">
        <x:f>E302*H302</x:f>
        <x:v>3.232971090308265</x:v>
      </x:c>
      <x:c r="S302" s="2" t="n">
        <x:v>126</x:v>
      </x:c>
    </x:row>
    <x:row r="303" ht="21" customHeight="1">
      <x:c r="A303" s="36" t="n">
        <x:v>45659.3125</x:v>
      </x:c>
      <x:c r="B303" s="36" t="n">
        <x:v>45659.31354229167</x:v>
      </x:c>
      <x:c r="C303" s="36" t="n">
        <x:v>45659.3125</x:v>
      </x:c>
      <x:c r="D303" s="2" t="str">
        <x:v>d</x:v>
      </x:c>
      <x:c r="E303" s="18" t="n">
        <x:v>0.025015</x:v>
      </x:c>
      <x:c r="F303" s="18" t="n">
        <x:f>IF(D303="d",'两日价格与决策'!K133-'两日价格与决策'!N133,IF(D303="u",'两日价格与决策'!K133+'两日价格与决策'!M133,'两日价格与决策'!K133))</x:f>
        <x:v>-86.57989211386952</x:v>
      </x:c>
      <x:c r="G303" s="18" t="n">
        <x:f>MAX(-F303,0)</x:f>
        <x:v>86.57989211386952</x:v>
      </x:c>
      <x:c r="H303" s="18" t="n">
        <x:f>MAX(F303,0)</x:f>
        <x:v>0</x:v>
      </x:c>
      <x:c r="I303" s="18" t="n">
        <x:f>J302</x:f>
        <x:v>183.5397881933275</x:v>
      </x:c>
      <x:c r="J303" s="18" t="n">
        <x:f>I303+E303*(G303*'原始输入与口径'!$D$5-H303/'原始输入与口径'!$D$5)</x:f>
        <x:v>185.53232051445767</x:v>
      </x:c>
      <x:c r="K303" s="18" t="n">
        <x:v>183.53978819332747</x:v>
      </x:c>
      <x:c r="L303" s="18" t="n">
        <x:v>185.53232051445764</x:v>
      </x:c>
      <x:c r="M303" s="18" t="n">
        <x:f>J303-L303</x:f>
        <x:v>2.842170943040401e-14</x:v>
      </x:c>
      <x:c r="N303" s="18" t="n">
        <x:f>E303*(G303*'原始输入与口径'!$D$5+H303/'原始输入与口径'!$D$5)/'原始输入与口径'!$H$5</x:f>
        <x:v>0.005534812003139362</x:v>
      </x:c>
      <x:c r="O303" s="18" t="n">
        <x:v>0.005534812003139362</x:v>
      </x:c>
      <x:c r="P303" s="18" t="n">
        <x:f>N303-O303</x:f>
        <x:v>0</x:v>
      </x:c>
      <x:c r="Q303" s="18" t="n">
        <x:f>E303*G303</x:f>
        <x:v>2.165796001228446</x:v>
      </x:c>
      <x:c r="R303" s="18" t="n">
        <x:f>E303*H303</x:f>
        <x:v>0</x:v>
      </x:c>
      <x:c r="S303" s="2" t="n">
        <x:v>127</x:v>
      </x:c>
    </x:row>
    <x:row r="304" ht="21" customHeight="1">
      <x:c r="A304" s="36" t="n">
        <x:v>45659.31354229167</x:v>
      </x:c>
      <x:c r="B304" s="36" t="n">
        <x:v>45659.322916666664</x:v>
      </x:c>
      <x:c r="C304" s="36" t="n">
        <x:v>45659.3125</x:v>
      </x:c>
      <x:c r="D304" s="2" t="str">
        <x:v>0</x:v>
      </x:c>
      <x:c r="E304" s="18" t="n">
        <x:v>0.224985</x:v>
      </x:c>
      <x:c r="F304" s="18" t="n">
        <x:f>IF(D304="d",'两日价格与决策'!K133-'两日价格与决策'!N133,IF(D304="u",'两日价格与决策'!K133+'两日价格与决策'!M133,'两日价格与决策'!K133))</x:f>
        <x:v>13.420107886130486</x:v>
      </x:c>
      <x:c r="G304" s="18" t="n">
        <x:f>MAX(-F304,0)</x:f>
        <x:v>0</x:v>
      </x:c>
      <x:c r="H304" s="18" t="n">
        <x:f>MAX(F304,0)</x:f>
        <x:v>13.420107886130486</x:v>
      </x:c>
      <x:c r="I304" s="18" t="n">
        <x:f>J303</x:f>
        <x:v>185.53232051445767</x:v>
      </x:c>
      <x:c r="J304" s="18" t="n">
        <x:f>I304+E304*(G304*'原始输入与口径'!$D$5-H304/'原始输入与口径'!$D$5)</x:f>
        <x:v>182.25044771797823</x:v>
      </x:c>
      <x:c r="K304" s="18" t="n">
        <x:v>185.53232051445764</x:v>
      </x:c>
      <x:c r="L304" s="18" t="n">
        <x:v>182.2504477179782</x:v>
      </x:c>
      <x:c r="M304" s="18" t="n">
        <x:f>J304-L304</x:f>
        <x:v>2.842170943040401e-14</x:v>
      </x:c>
      <x:c r="N304" s="18" t="n">
        <x:f>E304*(G304*'原始输入与口径'!$D$5+H304/'原始输入与口径'!$D$5)/'原始输入与口径'!$H$5</x:f>
        <x:v>0.009116313323553947</x:v>
      </x:c>
      <x:c r="O304" s="18" t="n">
        <x:v>0.009116313323553947</x:v>
      </x:c>
      <x:c r="P304" s="18" t="n">
        <x:f>N304-O304</x:f>
        <x:v>0</x:v>
      </x:c>
      <x:c r="Q304" s="18" t="n">
        <x:f>E304*G304</x:f>
        <x:v>0</x:v>
      </x:c>
      <x:c r="R304" s="18" t="n">
        <x:f>E304*H304</x:f>
        <x:v>3.019322972761067</x:v>
      </x:c>
      <x:c r="S304" s="2" t="n">
        <x:v>127</x:v>
      </x:c>
    </x:row>
    <x:row r="305" ht="21" customHeight="1">
      <x:c r="A305" s="36" t="n">
        <x:v>45659.322916666664</x:v>
      </x:c>
      <x:c r="B305" s="36" t="n">
        <x:v>45659.32567875</x:v>
      </x:c>
      <x:c r="C305" s="36" t="n">
        <x:v>45659.322916666664</x:v>
      </x:c>
      <x:c r="D305" s="2" t="str">
        <x:v>d</x:v>
      </x:c>
      <x:c r="E305" s="18" t="n">
        <x:v>0.06629</x:v>
      </x:c>
      <x:c r="F305" s="18" t="n">
        <x:f>IF(D305="d",'两日价格与决策'!K134-'两日价格与决策'!N134,IF(D305="u",'两日价格与决策'!K134+'两日价格与决策'!M134,'两日价格与决策'!K134))</x:f>
        <x:v>-86.57989211386952</x:v>
      </x:c>
      <x:c r="G305" s="18" t="n">
        <x:f>MAX(-F305,0)</x:f>
        <x:v>86.57989211386952</x:v>
      </x:c>
      <x:c r="H305" s="18" t="n">
        <x:f>MAX(F305,0)</x:f>
        <x:v>0</x:v>
      </x:c>
      <x:c r="I305" s="18" t="n">
        <x:f>J304</x:f>
        <x:v>182.25044771797823</x:v>
      </x:c>
      <x:c r="J305" s="18" t="n">
        <x:f>I305+E305*(G305*'原始输入与口径'!$D$5-H305/'原始输入与口径'!$D$5)</x:f>
        <x:v>187.53067828234836</x:v>
      </x:c>
      <x:c r="K305" s="18" t="n">
        <x:v>182.2504477179782</x:v>
      </x:c>
      <x:c r="L305" s="18" t="n">
        <x:v>187.53067828234833</x:v>
      </x:c>
      <x:c r="M305" s="18" t="n">
        <x:f>J305-L305</x:f>
        <x:v>2.842170943040401e-14</x:v>
      </x:c>
      <x:c r="N305" s="18" t="n">
        <x:f>E305*(G305*'原始输入与口径'!$D$5+H305/'原始输入与口径'!$D$5)/'原始输入与口径'!$H$5</x:f>
        <x:v>0.014667307123250385</x:v>
      </x:c>
      <x:c r="O305" s="18" t="n">
        <x:v>0.014667307123250383</x:v>
      </x:c>
      <x:c r="P305" s="18" t="n">
        <x:f>N305-O305</x:f>
        <x:v>1.734723475976807e-18</x:v>
      </x:c>
      <x:c r="Q305" s="18" t="n">
        <x:f>E305*G305</x:f>
        <x:v>5.73938104822841</x:v>
      </x:c>
      <x:c r="R305" s="18" t="n">
        <x:f>E305*H305</x:f>
        <x:v>0</x:v>
      </x:c>
      <x:c r="S305" s="2" t="n">
        <x:v>128</x:v>
      </x:c>
    </x:row>
    <x:row r="306" ht="21" customHeight="1">
      <x:c r="A306" s="36" t="n">
        <x:v>45659.32567875</x:v>
      </x:c>
      <x:c r="B306" s="36" t="n">
        <x:v>45659.33333333333</x:v>
      </x:c>
      <x:c r="C306" s="36" t="n">
        <x:v>45659.322916666664</x:v>
      </x:c>
      <x:c r="D306" s="2" t="str">
        <x:v>0</x:v>
      </x:c>
      <x:c r="E306" s="18" t="n">
        <x:v>0.18370999999999998</x:v>
      </x:c>
      <x:c r="F306" s="18" t="n">
        <x:f>IF(D306="d",'两日价格与决策'!K134-'两日价格与决策'!N134,IF(D306="u",'两日价格与决策'!K134+'两日价格与决策'!M134,'两日价格与决策'!K134))</x:f>
        <x:v>13.420107886130486</x:v>
      </x:c>
      <x:c r="G306" s="18" t="n">
        <x:f>MAX(-F306,0)</x:f>
        <x:v>0</x:v>
      </x:c>
      <x:c r="H306" s="18" t="n">
        <x:f>MAX(F306,0)</x:f>
        <x:v>13.420107886130486</x:v>
      </x:c>
      <x:c r="I306" s="18" t="n">
        <x:f>J305</x:f>
        <x:v>187.53067828234836</x:v>
      </x:c>
      <x:c r="J306" s="18" t="n">
        <x:f>I306+E306*(G306*'原始输入与口径'!$D$5-H306/'原始输入与口径'!$D$5)</x:f>
        <x:v>184.85088695652115</x:v>
      </x:c>
      <x:c r="K306" s="18" t="n">
        <x:v>187.53067828234833</x:v>
      </x:c>
      <x:c r="L306" s="18" t="n">
        <x:v>184.85088695652112</x:v>
      </x:c>
      <x:c r="M306" s="18" t="n">
        <x:f>J306-L306</x:f>
        <x:v>2.842170943040401e-14</x:v>
      </x:c>
      <x:c r="N306" s="18" t="n">
        <x:f>E306*(G306*'原始输入与口径'!$D$5+H306/'原始输入与口径'!$D$5)/'原始输入与口径'!$H$5</x:f>
        <x:v>0.007443864793964467</x:v>
      </x:c>
      <x:c r="O306" s="18" t="n">
        <x:v>0.007443864793964467</x:v>
      </x:c>
      <x:c r="P306" s="18" t="n">
        <x:f>N306-O306</x:f>
        <x:v>0</x:v>
      </x:c>
      <x:c r="Q306" s="18" t="n">
        <x:f>E306*G306</x:f>
        <x:v>0</x:v>
      </x:c>
      <x:c r="R306" s="18" t="n">
        <x:f>E306*H306</x:f>
        <x:v>2.4654080197610315</x:v>
      </x:c>
      <x:c r="S306" s="2" t="n">
        <x:v>128</x:v>
      </x:c>
    </x:row>
    <x:row r="307" ht="21" customHeight="1">
      <x:c r="A307" s="36" t="n">
        <x:v>45659.333333333336</x:v>
      </x:c>
      <x:c r="B307" s="36" t="n">
        <x:v>45659.337866458336</x:v>
      </x:c>
      <x:c r="C307" s="36" t="n">
        <x:v>45659.333333333336</x:v>
      </x:c>
      <x:c r="D307" s="2" t="str">
        <x:v>d</x:v>
      </x:c>
      <x:c r="E307" s="18" t="n">
        <x:v>0.108795</x:v>
      </x:c>
      <x:c r="F307" s="18" t="n">
        <x:f>IF(D307="d",'两日价格与决策'!K135-'两日价格与决策'!N135,IF(D307="u",'两日价格与决策'!K135+'两日价格与决策'!M135,'两日价格与决策'!K135))</x:f>
        <x:v>-50.000000000000014</x:v>
      </x:c>
      <x:c r="G307" s="18" t="n">
        <x:f>MAX(-F307,0)</x:f>
        <x:v>50.000000000000014</x:v>
      </x:c>
      <x:c r="H307" s="18" t="n">
        <x:f>MAX(F307,0)</x:f>
        <x:v>0</x:v>
      </x:c>
      <x:c r="I307" s="18" t="n">
        <x:f>J306</x:f>
        <x:v>184.85088695652115</x:v>
      </x:c>
      <x:c r="J307" s="18" t="n">
        <x:f>I307+E307*(G307*'原始输入与口径'!$D$5-H307/'原始输入与口径'!$D$5)</x:f>
        <x:v>189.85545695652115</x:v>
      </x:c>
      <x:c r="K307" s="18" t="n">
        <x:v>184.85088695652112</x:v>
      </x:c>
      <x:c r="L307" s="18" t="n">
        <x:v>189.85545695652112</x:v>
      </x:c>
      <x:c r="M307" s="18" t="n">
        <x:f>J307-L307</x:f>
        <x:v>2.842170943040401e-14</x:v>
      </x:c>
      <x:c r="N307" s="18" t="n">
        <x:f>E307*(G307*'原始输入与口径'!$D$5+H307/'原始输入与口径'!$D$5)/'原始输入与口径'!$H$5</x:f>
        <x:v>0.013901583333333339</x:v>
      </x:c>
      <x:c r="O307" s="18" t="n">
        <x:v>0.013901583333333339</x:v>
      </x:c>
      <x:c r="P307" s="18" t="n">
        <x:f>N307-O307</x:f>
        <x:v>0</x:v>
      </x:c>
      <x:c r="Q307" s="18" t="n">
        <x:f>E307*G307</x:f>
        <x:v>5.439750000000002</x:v>
      </x:c>
      <x:c r="R307" s="18" t="n">
        <x:f>E307*H307</x:f>
        <x:v>0</x:v>
      </x:c>
      <x:c r="S307" s="2" t="n">
        <x:v>129</x:v>
      </x:c>
    </x:row>
    <x:row r="308" ht="21" customHeight="1">
      <x:c r="A308" s="36" t="n">
        <x:v>45659.337866458336</x:v>
      </x:c>
      <x:c r="B308" s="36" t="n">
        <x:v>45659.34375</x:v>
      </x:c>
      <x:c r="C308" s="36" t="n">
        <x:v>45659.333333333336</x:v>
      </x:c>
      <x:c r="D308" s="2" t="str">
        <x:v>0</x:v>
      </x:c>
      <x:c r="E308" s="18" t="n">
        <x:v>0.141205</x:v>
      </x:c>
      <x:c r="F308" s="18" t="n">
        <x:f>IF(D308="d",'两日价格与决策'!K135-'两日价格与决策'!N135,IF(D308="u",'两日价格与决策'!K135+'两日价格与决策'!M135,'两日价格与决策'!K135))</x:f>
        <x:v>49.999999999999986</x:v>
      </x:c>
      <x:c r="G308" s="18" t="n">
        <x:f>MAX(-F308,0)</x:f>
        <x:v>0</x:v>
      </x:c>
      <x:c r="H308" s="18" t="n">
        <x:f>MAX(F308,0)</x:f>
        <x:v>49.999999999999986</x:v>
      </x:c>
      <x:c r="I308" s="18" t="n">
        <x:f>J307</x:f>
        <x:v>189.85545695652115</x:v>
      </x:c>
      <x:c r="J308" s="18" t="n">
        <x:f>I308+E308*(G308*'原始输入与口径'!$D$5-H308/'原始输入与口径'!$D$5)</x:f>
        <x:v>182.18127217391245</x:v>
      </x:c>
      <x:c r="K308" s="18" t="n">
        <x:v>189.85545695652112</x:v>
      </x:c>
      <x:c r="L308" s="18" t="n">
        <x:v>182.18127217391242</x:v>
      </x:c>
      <x:c r="M308" s="18" t="n">
        <x:f>J308-L308</x:f>
        <x:v>2.842170943040401e-14</x:v>
      </x:c>
      <x:c r="N308" s="18" t="n">
        <x:f>E308*(G308*'原始输入与口径'!$D$5+H308/'原始输入与口径'!$D$5)/'原始输入与口径'!$H$5</x:f>
        <x:v>0.021317179951690815</x:v>
      </x:c>
      <x:c r="O308" s="18" t="n">
        <x:v>0.021317179951690815</x:v>
      </x:c>
      <x:c r="P308" s="18" t="n">
        <x:f>N308-O308</x:f>
        <x:v>0</x:v>
      </x:c>
      <x:c r="Q308" s="18" t="n">
        <x:f>E308*G308</x:f>
        <x:v>0</x:v>
      </x:c>
      <x:c r="R308" s="18" t="n">
        <x:f>E308*H308</x:f>
        <x:v>7.060249999999998</x:v>
      </x:c>
      <x:c r="S308" s="2" t="n">
        <x:v>129</x:v>
      </x:c>
    </x:row>
    <x:row r="309" ht="21" customHeight="1">
      <x:c r="A309" s="36" t="n">
        <x:v>45659.34375</x:v>
      </x:c>
      <x:c r="B309" s="36" t="n">
        <x:v>45659.346645</x:v>
      </x:c>
      <x:c r="C309" s="36" t="n">
        <x:v>45659.34375</x:v>
      </x:c>
      <x:c r="D309" s="2" t="str">
        <x:v>d</x:v>
      </x:c>
      <x:c r="E309" s="18" t="n">
        <x:v>0.06948</x:v>
      </x:c>
      <x:c r="F309" s="18" t="n">
        <x:f>IF(D309="d",'两日价格与决策'!K136-'两日价格与决策'!N136,IF(D309="u",'两日价格与决策'!K136+'两日价格与决策'!M136,'两日价格与决策'!K136))</x:f>
        <x:v>-50.000000000000014</x:v>
      </x:c>
      <x:c r="G309" s="18" t="n">
        <x:f>MAX(-F309,0)</x:f>
        <x:v>50.000000000000014</x:v>
      </x:c>
      <x:c r="H309" s="18" t="n">
        <x:f>MAX(F309,0)</x:f>
        <x:v>0</x:v>
      </x:c>
      <x:c r="I309" s="18" t="n">
        <x:f>J308</x:f>
        <x:v>182.18127217391245</x:v>
      </x:c>
      <x:c r="J309" s="18" t="n">
        <x:f>I309+E309*(G309*'原始输入与口径'!$D$5-H309/'原始输入与口径'!$D$5)</x:f>
        <x:v>185.37735217391244</x:v>
      </x:c>
      <x:c r="K309" s="18" t="n">
        <x:v>182.18127217391242</x:v>
      </x:c>
      <x:c r="L309" s="18" t="n">
        <x:v>185.3773521739124</x:v>
      </x:c>
      <x:c r="M309" s="18" t="n">
        <x:f>J309-L309</x:f>
        <x:v>2.842170943040401e-14</x:v>
      </x:c>
      <x:c r="N309" s="18" t="n">
        <x:f>E309*(G309*'原始输入与口径'!$D$5+H309/'原始输入与口径'!$D$5)/'原始输入与口径'!$H$5</x:f>
        <x:v>0.008878000000000004</x:v>
      </x:c>
      <x:c r="O309" s="18" t="n">
        <x:v>0.008878000000000004</x:v>
      </x:c>
      <x:c r="P309" s="18" t="n">
        <x:f>N309-O309</x:f>
        <x:v>0</x:v>
      </x:c>
      <x:c r="Q309" s="18" t="n">
        <x:f>E309*G309</x:f>
        <x:v>3.474000000000001</x:v>
      </x:c>
      <x:c r="R309" s="18" t="n">
        <x:f>E309*H309</x:f>
        <x:v>0</x:v>
      </x:c>
      <x:c r="S309" s="2" t="n">
        <x:v>130</x:v>
      </x:c>
    </x:row>
    <x:row r="310" ht="21" customHeight="1">
      <x:c r="A310" s="36" t="n">
        <x:v>45659.346645</x:v>
      </x:c>
      <x:c r="B310" s="36" t="n">
        <x:v>45659.354166666664</x:v>
      </x:c>
      <x:c r="C310" s="36" t="n">
        <x:v>45659.34375</x:v>
      </x:c>
      <x:c r="D310" s="2" t="str">
        <x:v>0</x:v>
      </x:c>
      <x:c r="E310" s="18" t="n">
        <x:v>0.18052</x:v>
      </x:c>
      <x:c r="F310" s="18" t="n">
        <x:f>IF(D310="d",'两日价格与决策'!K136-'两日价格与决策'!N136,IF(D310="u",'两日价格与决策'!K136+'两日价格与决策'!M136,'两日价格与决策'!K136))</x:f>
        <x:v>49.999999999999986</x:v>
      </x:c>
      <x:c r="G310" s="18" t="n">
        <x:f>MAX(-F310,0)</x:f>
        <x:v>0</x:v>
      </x:c>
      <x:c r="H310" s="18" t="n">
        <x:f>MAX(F310,0)</x:f>
        <x:v>49.999999999999986</x:v>
      </x:c>
      <x:c r="I310" s="18" t="n">
        <x:f>J309</x:f>
        <x:v>185.37735217391244</x:v>
      </x:c>
      <x:c r="J310" s="18" t="n">
        <x:f>I310+E310*(G310*'原始输入与口径'!$D$5-H310/'原始输入与口径'!$D$5)</x:f>
        <x:v>175.56648260869505</x:v>
      </x:c>
      <x:c r="K310" s="18" t="n">
        <x:v>185.3773521739124</x:v>
      </x:c>
      <x:c r="L310" s="18" t="n">
        <x:v>175.56648260869503</x:v>
      </x:c>
      <x:c r="M310" s="18" t="n">
        <x:f>J310-L310</x:f>
        <x:v>2.842170943040401e-14</x:v>
      </x:c>
      <x:c r="N310" s="18" t="n">
        <x:f>E310*(G310*'原始输入与口径'!$D$5+H310/'原始输入与口径'!$D$5)/'原始输入与口径'!$H$5</x:f>
        <x:v>0.02725241545893719</x:v>
      </x:c>
      <x:c r="O310" s="18" t="n">
        <x:v>0.02725241545893719</x:v>
      </x:c>
      <x:c r="P310" s="18" t="n">
        <x:f>N310-O310</x:f>
        <x:v>0</x:v>
      </x:c>
      <x:c r="Q310" s="18" t="n">
        <x:f>E310*G310</x:f>
        <x:v>0</x:v>
      </x:c>
      <x:c r="R310" s="18" t="n">
        <x:f>E310*H310</x:f>
        <x:v>9.025999999999998</x:v>
      </x:c>
      <x:c r="S310" s="2" t="n">
        <x:v>130</x:v>
      </x:c>
    </x:row>
    <x:row r="311" ht="21" customHeight="1">
      <x:c r="A311" s="36" t="n">
        <x:v>45659.354166666664</x:v>
      </x:c>
      <x:c r="B311" s="36" t="n">
        <x:v>45659.354811875</x:v>
      </x:c>
      <x:c r="C311" s="36" t="n">
        <x:v>45659.354166666664</x:v>
      </x:c>
      <x:c r="D311" s="2" t="str">
        <x:v>d</x:v>
      </x:c>
      <x:c r="E311" s="18" t="n">
        <x:v>0.015485</x:v>
      </x:c>
      <x:c r="F311" s="18" t="n">
        <x:f>IF(D311="d",'两日价格与决策'!K137-'两日价格与决策'!N137,IF(D311="u",'两日价格与决策'!K137+'两日价格与决策'!M137,'两日价格与决策'!K137))</x:f>
        <x:v>-50.000000000000014</x:v>
      </x:c>
      <x:c r="G311" s="18" t="n">
        <x:f>MAX(-F311,0)</x:f>
        <x:v>50.000000000000014</x:v>
      </x:c>
      <x:c r="H311" s="18" t="n">
        <x:f>MAX(F311,0)</x:f>
        <x:v>0</x:v>
      </x:c>
      <x:c r="I311" s="18" t="n">
        <x:f>J310</x:f>
        <x:v>175.56648260869505</x:v>
      </x:c>
      <x:c r="J311" s="18" t="n">
        <x:f>I311+E311*(G311*'原始输入与口径'!$D$5-H311/'原始输入与口径'!$D$5)</x:f>
        <x:v>176.27879260869506</x:v>
      </x:c>
      <x:c r="K311" s="18" t="n">
        <x:v>175.56648260869503</x:v>
      </x:c>
      <x:c r="L311" s="18" t="n">
        <x:v>176.27879260869503</x:v>
      </x:c>
      <x:c r="M311" s="18" t="n">
        <x:f>J311-L311</x:f>
        <x:v>2.842170943040401e-14</x:v>
      </x:c>
      <x:c r="N311" s="18" t="n">
        <x:f>E311*(G311*'原始输入与口径'!$D$5+H311/'原始输入与口径'!$D$5)/'原始输入与口径'!$H$5</x:f>
        <x:v>0.0019786388888888896</x:v>
      </x:c>
      <x:c r="O311" s="18" t="n">
        <x:v>0.0019786388888888896</x:v>
      </x:c>
      <x:c r="P311" s="18" t="n">
        <x:f>N311-O311</x:f>
        <x:v>0</x:v>
      </x:c>
      <x:c r="Q311" s="18" t="n">
        <x:f>E311*G311</x:f>
        <x:v>0.7742500000000002</x:v>
      </x:c>
      <x:c r="R311" s="18" t="n">
        <x:f>E311*H311</x:f>
        <x:v>0</x:v>
      </x:c>
      <x:c r="S311" s="2" t="n">
        <x:v>131</x:v>
      </x:c>
    </x:row>
    <x:row r="312" ht="21" customHeight="1">
      <x:c r="A312" s="36" t="n">
        <x:v>45659.354811875</x:v>
      </x:c>
      <x:c r="B312" s="36" t="n">
        <x:v>45659.36458333333</x:v>
      </x:c>
      <x:c r="C312" s="36" t="n">
        <x:v>45659.354166666664</x:v>
      </x:c>
      <x:c r="D312" s="2" t="str">
        <x:v>0</x:v>
      </x:c>
      <x:c r="E312" s="18" t="n">
        <x:v>0.234515</x:v>
      </x:c>
      <x:c r="F312" s="18" t="n">
        <x:f>IF(D312="d",'两日价格与决策'!K137-'两日价格与决策'!N137,IF(D312="u",'两日价格与决策'!K137+'两日价格与决策'!M137,'两日价格与决策'!K137))</x:f>
        <x:v>49.999999999999986</x:v>
      </x:c>
      <x:c r="G312" s="18" t="n">
        <x:f>MAX(-F312,0)</x:f>
        <x:v>0</x:v>
      </x:c>
      <x:c r="H312" s="18" t="n">
        <x:f>MAX(F312,0)</x:f>
        <x:v>49.999999999999986</x:v>
      </x:c>
      <x:c r="I312" s="18" t="n">
        <x:f>J311</x:f>
        <x:v>176.27879260869506</x:v>
      </x:c>
      <x:c r="J312" s="18" t="n">
        <x:f>I312+E312*(G312*'原始输入与口径'!$D$5-H312/'原始输入与口径'!$D$5)</x:f>
        <x:v>163.53341217391244</x:v>
      </x:c>
      <x:c r="K312" s="18" t="n">
        <x:v>176.27879260869503</x:v>
      </x:c>
      <x:c r="L312" s="18" t="n">
        <x:v>163.53341217391244</x:v>
      </x:c>
      <x:c r="M312" s="18" t="n">
        <x:f>J312-L312</x:f>
        <x:v>0</x:v>
      </x:c>
      <x:c r="N312" s="18" t="n">
        <x:f>E312*(G312*'原始输入与口径'!$D$5+H312/'原始输入与口径'!$D$5)/'原始输入与口径'!$H$5</x:f>
        <x:v>0.03540383454106279</x:v>
      </x:c>
      <x:c r="O312" s="18" t="n">
        <x:v>0.03540383454106279</x:v>
      </x:c>
      <x:c r="P312" s="18" t="n">
        <x:f>N312-O312</x:f>
        <x:v>0</x:v>
      </x:c>
      <x:c r="Q312" s="18" t="n">
        <x:f>E312*G312</x:f>
        <x:v>0</x:v>
      </x:c>
      <x:c r="R312" s="18" t="n">
        <x:f>E312*H312</x:f>
        <x:v>11.725749999999996</x:v>
      </x:c>
      <x:c r="S312" s="2" t="n">
        <x:v>131</x:v>
      </x:c>
    </x:row>
    <x:row r="313" ht="21" customHeight="1">
      <x:c r="A313" s="36" t="n">
        <x:v>45659.364583333336</x:v>
      </x:c>
      <x:c r="B313" s="36" t="n">
        <x:v>45659.36464604167</x:v>
      </x:c>
      <x:c r="C313" s="36" t="n">
        <x:v>45659.364583333336</x:v>
      </x:c>
      <x:c r="D313" s="2" t="str">
        <x:v>d</x:v>
      </x:c>
      <x:c r="E313" s="18" t="n">
        <x:v>0.001505</x:v>
      </x:c>
      <x:c r="F313" s="18" t="n">
        <x:f>IF(D313="d",'两日价格与决策'!K138-'两日价格与决策'!N138,IF(D313="u",'两日价格与决策'!K138+'两日价格与决策'!M138,'两日价格与决策'!K138))</x:f>
        <x:v>-50.000000000000014</x:v>
      </x:c>
      <x:c r="G313" s="18" t="n">
        <x:f>MAX(-F313,0)</x:f>
        <x:v>50.000000000000014</x:v>
      </x:c>
      <x:c r="H313" s="18" t="n">
        <x:f>MAX(F313,0)</x:f>
        <x:v>0</x:v>
      </x:c>
      <x:c r="I313" s="18" t="n">
        <x:f>J312</x:f>
        <x:v>163.53341217391244</x:v>
      </x:c>
      <x:c r="J313" s="18" t="n">
        <x:f>I313+E313*(G313*'原始输入与口径'!$D$5-H313/'原始输入与口径'!$D$5)</x:f>
        <x:v>163.60264217391244</x:v>
      </x:c>
      <x:c r="K313" s="18" t="n">
        <x:v>163.53341217391244</x:v>
      </x:c>
      <x:c r="L313" s="18" t="n">
        <x:v>163.60264217391244</x:v>
      </x:c>
      <x:c r="M313" s="18" t="n">
        <x:f>J313-L313</x:f>
        <x:v>0</x:v>
      </x:c>
      <x:c r="N313" s="18" t="n">
        <x:f>E313*(G313*'原始输入与口径'!$D$5+H313/'原始输入与口径'!$D$5)/'原始输入与口径'!$H$5</x:f>
        <x:v>0.00019230555555555564</x:v>
      </x:c>
      <x:c r="O313" s="18" t="n">
        <x:v>0.00019230555555555564</x:v>
      </x:c>
      <x:c r="P313" s="18" t="n">
        <x:f>N313-O313</x:f>
        <x:v>0</x:v>
      </x:c>
      <x:c r="Q313" s="18" t="n">
        <x:f>E313*G313</x:f>
        <x:v>0.07525000000000003</x:v>
      </x:c>
      <x:c r="R313" s="18" t="n">
        <x:f>E313*H313</x:f>
        <x:v>0</x:v>
      </x:c>
      <x:c r="S313" s="2" t="n">
        <x:v>132</x:v>
      </x:c>
    </x:row>
    <x:row r="314" ht="21" customHeight="1">
      <x:c r="A314" s="36" t="n">
        <x:v>45659.36464604167</x:v>
      </x:c>
      <x:c r="B314" s="36" t="n">
        <x:v>45659.36464979167</x:v>
      </x:c>
      <x:c r="C314" s="36" t="n">
        <x:v>45659.364583333336</x:v>
      </x:c>
      <x:c r="D314" s="2" t="str">
        <x:v>u</x:v>
      </x:c>
      <x:c r="E314" s="18" t="n">
        <x:v>0.00008999999999999999</x:v>
      </x:c>
      <x:c r="F314" s="18" t="n">
        <x:f>IF(D314="d",'两日价格与决策'!K138-'两日价格与决策'!N138,IF(D314="u",'两日价格与决策'!K138+'两日价格与决策'!M138,'两日价格与决策'!K138))</x:f>
        <x:v>99.99999999999999</x:v>
      </x:c>
      <x:c r="G314" s="18" t="n">
        <x:f>MAX(-F314,0)</x:f>
        <x:v>0</x:v>
      </x:c>
      <x:c r="H314" s="18" t="n">
        <x:f>MAX(F314,0)</x:f>
        <x:v>99.99999999999999</x:v>
      </x:c>
      <x:c r="I314" s="18" t="n">
        <x:f>J313</x:f>
        <x:v>163.60264217391244</x:v>
      </x:c>
      <x:c r="J314" s="18" t="n">
        <x:f>I314+E314*(G314*'原始输入与口径'!$D$5-H314/'原始输入与口径'!$D$5)</x:f>
        <x:v>163.5928595652168</x:v>
      </x:c>
      <x:c r="K314" s="18" t="n">
        <x:v>163.60264217391244</x:v>
      </x:c>
      <x:c r="L314" s="18" t="n">
        <x:v>163.5928595652168</x:v>
      </x:c>
      <x:c r="M314" s="18" t="n">
        <x:f>J314-L314</x:f>
        <x:v>0</x:v>
      </x:c>
      <x:c r="N314" s="18" t="n">
        <x:f>E314*(G314*'原始输入与口径'!$D$5+H314/'原始输入与口径'!$D$5)/'原始输入与口径'!$H$5</x:f>
        <x:v>0.000027173913043478252</x:v>
      </x:c>
      <x:c r="O314" s="18" t="n">
        <x:v>0.000027173913043478252</x:v>
      </x:c>
      <x:c r="P314" s="18" t="n">
        <x:f>N314-O314</x:f>
        <x:v>0</x:v>
      </x:c>
      <x:c r="Q314" s="18" t="n">
        <x:f>E314*G314</x:f>
        <x:v>0</x:v>
      </x:c>
      <x:c r="R314" s="18" t="n">
        <x:f>E314*H314</x:f>
        <x:v>0.008999999999999998</x:v>
      </x:c>
      <x:c r="S314" s="2" t="n">
        <x:v>132</x:v>
      </x:c>
    </x:row>
    <x:row r="315" ht="21" customHeight="1">
      <x:c r="A315" s="36" t="n">
        <x:v>45659.36464979167</x:v>
      </x:c>
      <x:c r="B315" s="36" t="n">
        <x:v>45659.375</x:v>
      </x:c>
      <x:c r="C315" s="36" t="n">
        <x:v>45659.364583333336</x:v>
      </x:c>
      <x:c r="D315" s="2" t="str">
        <x:v>0</x:v>
      </x:c>
      <x:c r="E315" s="18" t="n">
        <x:v>0.248405</x:v>
      </x:c>
      <x:c r="F315" s="18" t="n">
        <x:f>IF(D315="d",'两日价格与决策'!K138-'两日价格与决策'!N138,IF(D315="u",'两日价格与决策'!K138+'两日价格与决策'!M138,'两日价格与决策'!K138))</x:f>
        <x:v>49.999999999999986</x:v>
      </x:c>
      <x:c r="G315" s="18" t="n">
        <x:f>MAX(-F315,0)</x:f>
        <x:v>0</x:v>
      </x:c>
      <x:c r="H315" s="18" t="n">
        <x:f>MAX(F315,0)</x:f>
        <x:v>49.999999999999986</x:v>
      </x:c>
      <x:c r="I315" s="18" t="n">
        <x:f>J314</x:f>
        <x:v>163.5928595652168</x:v>
      </x:c>
      <x:c r="J315" s="18" t="n">
        <x:f>I315+E315*(G315*'原始输入与口径'!$D$5-H315/'原始输入与口径'!$D$5)</x:f>
        <x:v>150.09258782608637</x:v>
      </x:c>
      <x:c r="K315" s="18" t="n">
        <x:v>163.5928595652168</x:v>
      </x:c>
      <x:c r="L315" s="18" t="n">
        <x:v>150.09258782608637</x:v>
      </x:c>
      <x:c r="M315" s="18" t="n">
        <x:f>J315-L315</x:f>
        <x:v>0</x:v>
      </x:c>
      <x:c r="N315" s="18" t="n">
        <x:f>E315*(G315*'原始输入与口径'!$D$5+H315/'原始输入与口径'!$D$5)/'原始输入与口径'!$H$5</x:f>
        <x:v>0.03750075483091786</x:v>
      </x:c>
      <x:c r="O315" s="18" t="n">
        <x:v>0.03750075483091786</x:v>
      </x:c>
      <x:c r="P315" s="18" t="n">
        <x:f>N315-O315</x:f>
        <x:v>0</x:v>
      </x:c>
      <x:c r="Q315" s="18" t="n">
        <x:f>E315*G315</x:f>
        <x:v>0</x:v>
      </x:c>
      <x:c r="R315" s="18" t="n">
        <x:f>E315*H315</x:f>
        <x:v>12.420249999999996</x:v>
      </x:c>
      <x:c r="S315" s="2" t="n">
        <x:v>132</x:v>
      </x:c>
    </x:row>
    <x:row r="316" ht="21" customHeight="1">
      <x:c r="A316" s="36" t="n">
        <x:v>45659.375</x:v>
      </x:c>
      <x:c r="B316" s="36" t="n">
        <x:v>45659.37501354166</x:v>
      </x:c>
      <x:c r="C316" s="36" t="n">
        <x:v>45659.375</x:v>
      </x:c>
      <x:c r="D316" s="2" t="str">
        <x:v>d</x:v>
      </x:c>
      <x:c r="E316" s="18" t="n">
        <x:v>0.000325</x:v>
      </x:c>
      <x:c r="F316" s="18" t="n">
        <x:f>IF(D316="d",'两日价格与决策'!K139-'两日价格与决策'!N139,IF(D316="u",'两日价格与决策'!K139+'两日价格与决策'!M139,'两日价格与决策'!K139))</x:f>
        <x:v>-100</x:v>
      </x:c>
      <x:c r="G316" s="18" t="n">
        <x:f>MAX(-F316,0)</x:f>
        <x:v>100</x:v>
      </x:c>
      <x:c r="H316" s="18" t="n">
        <x:f>MAX(F316,0)</x:f>
        <x:v>0</x:v>
      </x:c>
      <x:c r="I316" s="18" t="n">
        <x:f>J315</x:f>
        <x:v>150.09258782608637</x:v>
      </x:c>
      <x:c r="J316" s="18" t="n">
        <x:f>I316+E316*(G316*'原始输入与口径'!$D$5-H316/'原始输入与口径'!$D$5)</x:f>
        <x:v>150.12248782608637</x:v>
      </x:c>
      <x:c r="K316" s="18" t="n">
        <x:v>150.09258782608637</x:v>
      </x:c>
      <x:c r="L316" s="18" t="n">
        <x:v>150.12248782608637</x:v>
      </x:c>
      <x:c r="M316" s="18" t="n">
        <x:f>J316-L316</x:f>
        <x:v>0</x:v>
      </x:c>
      <x:c r="N316" s="18" t="n">
        <x:f>E316*(G316*'原始输入与口径'!$D$5+H316/'原始输入与口径'!$D$5)/'原始输入与口径'!$H$5</x:f>
        <x:v>0.00008305555555555555</x:v>
      </x:c>
      <x:c r="O316" s="18" t="n">
        <x:v>0.00008305555555555556</x:v>
      </x:c>
      <x:c r="P316" s="18" t="n">
        <x:f>N316-O316</x:f>
        <x:v>-1.3552527156068805e-20</x:v>
      </x:c>
      <x:c r="Q316" s="18" t="n">
        <x:f>E316*G316</x:f>
        <x:v>0.0325</x:v>
      </x:c>
      <x:c r="R316" s="18" t="n">
        <x:f>E316*H316</x:f>
        <x:v>0</x:v>
      </x:c>
      <x:c r="S316" s="2" t="n">
        <x:v>133</x:v>
      </x:c>
    </x:row>
    <x:row r="317" ht="21" customHeight="1">
      <x:c r="A317" s="36" t="n">
        <x:v>45659.37501354166</x:v>
      </x:c>
      <x:c r="B317" s="36" t="n">
        <x:v>45659.37505458333</x:v>
      </x:c>
      <x:c r="C317" s="36" t="n">
        <x:v>45659.375</x:v>
      </x:c>
      <x:c r="D317" s="2" t="str">
        <x:v>u</x:v>
      </x:c>
      <x:c r="E317" s="18" t="n">
        <x:v>0.000985</x:v>
      </x:c>
      <x:c r="F317" s="18" t="n">
        <x:f>IF(D317="d",'两日价格与决策'!K139-'两日价格与决策'!N139,IF(D317="u",'两日价格与决策'!K139+'两日价格与决策'!M139,'两日价格与决策'!K139))</x:f>
        <x:v>100</x:v>
      </x:c>
      <x:c r="G317" s="18" t="n">
        <x:f>MAX(-F317,0)</x:f>
        <x:v>0</x:v>
      </x:c>
      <x:c r="H317" s="18" t="n">
        <x:f>MAX(F317,0)</x:f>
        <x:v>100</x:v>
      </x:c>
      <x:c r="I317" s="18" t="n">
        <x:f>J316</x:f>
        <x:v>150.12248782608637</x:v>
      </x:c>
      <x:c r="J317" s="18" t="n">
        <x:f>I317+E317*(G317*'原始输入与口径'!$D$5-H317/'原始输入与口径'!$D$5)</x:f>
        <x:v>150.01542260869508</x:v>
      </x:c>
      <x:c r="K317" s="18" t="n">
        <x:v>150.12248782608637</x:v>
      </x:c>
      <x:c r="L317" s="18" t="n">
        <x:v>150.01542260869508</x:v>
      </x:c>
      <x:c r="M317" s="18" t="n">
        <x:f>J317-L317</x:f>
        <x:v>0</x:v>
      </x:c>
      <x:c r="N317" s="18" t="n">
        <x:f>E317*(G317*'原始输入与口径'!$D$5+H317/'原始输入与口径'!$D$5)/'原始输入与口径'!$H$5</x:f>
        <x:v>0.00029740338164251204</x:v>
      </x:c>
      <x:c r="O317" s="18" t="n">
        <x:v>0.0002974033816425121</x:v>
      </x:c>
      <x:c r="P317" s="18" t="n">
        <x:f>N317-O317</x:f>
        <x:v>-5.421010862427522e-20</x:v>
      </x:c>
      <x:c r="Q317" s="18" t="n">
        <x:f>E317*G317</x:f>
        <x:v>0</x:v>
      </x:c>
      <x:c r="R317" s="18" t="n">
        <x:f>E317*H317</x:f>
        <x:v>0.0985</x:v>
      </x:c>
      <x:c r="S317" s="2" t="n">
        <x:v>133</x:v>
      </x:c>
    </x:row>
    <x:row r="318" ht="21" customHeight="1">
      <x:c r="A318" s="36" t="n">
        <x:v>45659.37505458333</x:v>
      </x:c>
      <x:c r="B318" s="36" t="n">
        <x:v>45659.385416666664</x:v>
      </x:c>
      <x:c r="C318" s="36" t="n">
        <x:v>45659.375</x:v>
      </x:c>
      <x:c r="D318" s="2" t="str">
        <x:v>0</x:v>
      </x:c>
      <x:c r="E318" s="18" t="n">
        <x:v>0.24869</x:v>
      </x:c>
      <x:c r="F318" s="18" t="n">
        <x:f>IF(D318="d",'两日价格与决策'!K139-'两日价格与决策'!N139,IF(D318="u",'两日价格与决策'!K139+'两日价格与决策'!M139,'两日价格与决策'!K139))</x:f>
        <x:v>0</x:v>
      </x:c>
      <x:c r="G318" s="18" t="n">
        <x:f>MAX(-F318,0)</x:f>
        <x:v>0</x:v>
      </x:c>
      <x:c r="H318" s="18" t="n">
        <x:f>MAX(F318,0)</x:f>
        <x:v>0</x:v>
      </x:c>
      <x:c r="I318" s="18" t="n">
        <x:f>J317</x:f>
        <x:v>150.01542260869508</x:v>
      </x:c>
      <x:c r="J318" s="18" t="n">
        <x:f>I318+E318*(G318*'原始输入与口径'!$D$5-H318/'原始输入与口径'!$D$5)</x:f>
        <x:v>150.01542260869508</x:v>
      </x:c>
      <x:c r="K318" s="18" t="n">
        <x:v>150.01542260869508</x:v>
      </x:c>
      <x:c r="L318" s="18" t="n">
        <x:v>150.01542260869508</x:v>
      </x:c>
      <x:c r="M318" s="18" t="n">
        <x:f>J318-L318</x:f>
        <x:v>0</x:v>
      </x:c>
      <x:c r="N318" s="18" t="n">
        <x:f>E318*(G318*'原始输入与口径'!$D$5+H318/'原始输入与口径'!$D$5)/'原始输入与口径'!$H$5</x:f>
        <x:v>0</x:v>
      </x:c>
      <x:c r="O318" s="18" t="n">
        <x:v>0</x:v>
      </x:c>
      <x:c r="P318" s="18" t="n">
        <x:f>N318-O318</x:f>
        <x:v>0</x:v>
      </x:c>
      <x:c r="Q318" s="18" t="n">
        <x:f>E318*G318</x:f>
        <x:v>0</x:v>
      </x:c>
      <x:c r="R318" s="18" t="n">
        <x:f>E318*H318</x:f>
        <x:v>0</x:v>
      </x:c>
      <x:c r="S318" s="2" t="n">
        <x:v>133</x:v>
      </x:c>
    </x:row>
    <x:row r="319" ht="21" customHeight="1">
      <x:c r="A319" s="36" t="n">
        <x:v>45659.385416666664</x:v>
      </x:c>
      <x:c r="B319" s="36" t="n">
        <x:v>45659.38546208333</x:v>
      </x:c>
      <x:c r="C319" s="36" t="n">
        <x:v>45659.385416666664</x:v>
      </x:c>
      <x:c r="D319" s="2" t="str">
        <x:v>d</x:v>
      </x:c>
      <x:c r="E319" s="18" t="n">
        <x:v>0.00109</x:v>
      </x:c>
      <x:c r="F319" s="18" t="n">
        <x:f>IF(D319="d",'两日价格与决策'!K140-'两日价格与决策'!N140,IF(D319="u",'两日价格与决策'!K140+'两日价格与决策'!M140,'两日价格与决策'!K140))</x:f>
        <x:v>-100</x:v>
      </x:c>
      <x:c r="G319" s="18" t="n">
        <x:f>MAX(-F319,0)</x:f>
        <x:v>100</x:v>
      </x:c>
      <x:c r="H319" s="18" t="n">
        <x:f>MAX(F319,0)</x:f>
        <x:v>0</x:v>
      </x:c>
      <x:c r="I319" s="18" t="n">
        <x:f>J318</x:f>
        <x:v>150.01542260869508</x:v>
      </x:c>
      <x:c r="J319" s="18" t="n">
        <x:f>I319+E319*(G319*'原始输入与口径'!$D$5-H319/'原始输入与口径'!$D$5)</x:f>
        <x:v>150.11570260869507</x:v>
      </x:c>
      <x:c r="K319" s="18" t="n">
        <x:v>150.01542260869508</x:v>
      </x:c>
      <x:c r="L319" s="18" t="n">
        <x:v>150.11570260869507</x:v>
      </x:c>
      <x:c r="M319" s="18" t="n">
        <x:f>J319-L319</x:f>
        <x:v>0</x:v>
      </x:c>
      <x:c r="N319" s="18" t="n">
        <x:f>E319*(G319*'原始输入与口径'!$D$5+H319/'原始输入与口径'!$D$5)/'原始输入与口径'!$H$5</x:f>
        <x:v>0.0002785555555555556</x:v>
      </x:c>
      <x:c r="O319" s="18" t="n">
        <x:v>0.0002785555555555556</x:v>
      </x:c>
      <x:c r="P319" s="18" t="n">
        <x:f>N319-O319</x:f>
        <x:v>0</x:v>
      </x:c>
      <x:c r="Q319" s="18" t="n">
        <x:f>E319*G319</x:f>
        <x:v>0.109</x:v>
      </x:c>
      <x:c r="R319" s="18" t="n">
        <x:f>E319*H319</x:f>
        <x:v>0</x:v>
      </x:c>
      <x:c r="S319" s="2" t="n">
        <x:v>134</x:v>
      </x:c>
    </x:row>
    <x:row r="320" ht="21" customHeight="1">
      <x:c r="A320" s="36" t="n">
        <x:v>45659.38546208333</x:v>
      </x:c>
      <x:c r="B320" s="36" t="n">
        <x:v>45659.38547770833</x:v>
      </x:c>
      <x:c r="C320" s="36" t="n">
        <x:v>45659.385416666664</x:v>
      </x:c>
      <x:c r="D320" s="2" t="str">
        <x:v>u</x:v>
      </x:c>
      <x:c r="E320" s="18" t="n">
        <x:v>0.000375</x:v>
      </x:c>
      <x:c r="F320" s="18" t="n">
        <x:f>IF(D320="d",'两日价格与决策'!K140-'两日价格与决策'!N140,IF(D320="u",'两日价格与决策'!K140+'两日价格与决策'!M140,'两日价格与决策'!K140))</x:f>
        <x:v>100</x:v>
      </x:c>
      <x:c r="G320" s="18" t="n">
        <x:f>MAX(-F320,0)</x:f>
        <x:v>0</x:v>
      </x:c>
      <x:c r="H320" s="18" t="n">
        <x:f>MAX(F320,0)</x:f>
        <x:v>100</x:v>
      </x:c>
      <x:c r="I320" s="18" t="n">
        <x:f>J319</x:f>
        <x:v>150.11570260869507</x:v>
      </x:c>
      <x:c r="J320" s="18" t="n">
        <x:f>I320+E320*(G320*'原始输入与口径'!$D$5-H320/'原始输入与口径'!$D$5)</x:f>
        <x:v>150.07494173912986</x:v>
      </x:c>
      <x:c r="K320" s="18" t="n">
        <x:v>150.11570260869507</x:v>
      </x:c>
      <x:c r="L320" s="18" t="n">
        <x:v>150.07494173912986</x:v>
      </x:c>
      <x:c r="M320" s="18" t="n">
        <x:f>J320-L320</x:f>
        <x:v>0</x:v>
      </x:c>
      <x:c r="N320" s="18" t="n">
        <x:f>E320*(G320*'原始输入与口径'!$D$5+H320/'原始输入与口径'!$D$5)/'原始输入与口径'!$H$5</x:f>
        <x:v>0.00011322463768115941</x:v>
      </x:c>
      <x:c r="O320" s="18" t="n">
        <x:v>0.00011322463768115941</x:v>
      </x:c>
      <x:c r="P320" s="18" t="n">
        <x:f>N320-O320</x:f>
        <x:v>0</x:v>
      </x:c>
      <x:c r="Q320" s="18" t="n">
        <x:f>E320*G320</x:f>
        <x:v>0</x:v>
      </x:c>
      <x:c r="R320" s="18" t="n">
        <x:f>E320*H320</x:f>
        <x:v>0.0375</x:v>
      </x:c>
      <x:c r="S320" s="2" t="n">
        <x:v>134</x:v>
      </x:c>
    </x:row>
    <x:row r="321" ht="21" customHeight="1">
      <x:c r="A321" s="36" t="n">
        <x:v>45659.38547770833</x:v>
      </x:c>
      <x:c r="B321" s="36" t="n">
        <x:v>45659.39583333333</x:v>
      </x:c>
      <x:c r="C321" s="36" t="n">
        <x:v>45659.385416666664</x:v>
      </x:c>
      <x:c r="D321" s="2" t="str">
        <x:v>0</x:v>
      </x:c>
      <x:c r="E321" s="18" t="n">
        <x:v>0.248535</x:v>
      </x:c>
      <x:c r="F321" s="18" t="n">
        <x:f>IF(D321="d",'两日价格与决策'!K140-'两日价格与决策'!N140,IF(D321="u",'两日价格与决策'!K140+'两日价格与决策'!M140,'两日价格与决策'!K140))</x:f>
        <x:v>0</x:v>
      </x:c>
      <x:c r="G321" s="18" t="n">
        <x:f>MAX(-F321,0)</x:f>
        <x:v>0</x:v>
      </x:c>
      <x:c r="H321" s="18" t="n">
        <x:f>MAX(F321,0)</x:f>
        <x:v>0</x:v>
      </x:c>
      <x:c r="I321" s="18" t="n">
        <x:f>J320</x:f>
        <x:v>150.07494173912986</x:v>
      </x:c>
      <x:c r="J321" s="18" t="n">
        <x:f>I321+E321*(G321*'原始输入与口径'!$D$5-H321/'原始输入与口径'!$D$5)</x:f>
        <x:v>150.07494173912986</x:v>
      </x:c>
      <x:c r="K321" s="18" t="n">
        <x:v>150.07494173912986</x:v>
      </x:c>
      <x:c r="L321" s="18" t="n">
        <x:v>150.07494173912986</x:v>
      </x:c>
      <x:c r="M321" s="18" t="n">
        <x:f>J321-L321</x:f>
        <x:v>0</x:v>
      </x:c>
      <x:c r="N321" s="18" t="n">
        <x:f>E321*(G321*'原始输入与口径'!$D$5+H321/'原始输入与口径'!$D$5)/'原始输入与口径'!$H$5</x:f>
        <x:v>0</x:v>
      </x:c>
      <x:c r="O321" s="18" t="n">
        <x:v>0</x:v>
      </x:c>
      <x:c r="P321" s="18" t="n">
        <x:f>N321-O321</x:f>
        <x:v>0</x:v>
      </x:c>
      <x:c r="Q321" s="18" t="n">
        <x:f>E321*G321</x:f>
        <x:v>0</x:v>
      </x:c>
      <x:c r="R321" s="18" t="n">
        <x:f>E321*H321</x:f>
        <x:v>0</x:v>
      </x:c>
      <x:c r="S321" s="2" t="n">
        <x:v>134</x:v>
      </x:c>
    </x:row>
    <x:row r="322" ht="21" customHeight="1">
      <x:c r="A322" s="36" t="n">
        <x:v>45659.395833333336</x:v>
      </x:c>
      <x:c r="B322" s="36" t="n">
        <x:v>45659.398487708335</x:v>
      </x:c>
      <x:c r="C322" s="36" t="n">
        <x:v>45659.395833333336</x:v>
      </x:c>
      <x:c r="D322" s="2" t="str">
        <x:v>d</x:v>
      </x:c>
      <x:c r="E322" s="18" t="n">
        <x:v>0.063705</x:v>
      </x:c>
      <x:c r="F322" s="18" t="n">
        <x:f>IF(D322="d",'两日价格与决策'!K141-'两日价格与决策'!N141,IF(D322="u",'两日价格与决策'!K141+'两日价格与决策'!M141,'两日价格与决策'!K141))</x:f>
        <x:v>-100</x:v>
      </x:c>
      <x:c r="G322" s="18" t="n">
        <x:f>MAX(-F322,0)</x:f>
        <x:v>100</x:v>
      </x:c>
      <x:c r="H322" s="18" t="n">
        <x:f>MAX(F322,0)</x:f>
        <x:v>0</x:v>
      </x:c>
      <x:c r="I322" s="18" t="n">
        <x:f>J321</x:f>
        <x:v>150.07494173912986</x:v>
      </x:c>
      <x:c r="J322" s="18" t="n">
        <x:f>I322+E322*(G322*'原始输入与口径'!$D$5-H322/'原始输入与口径'!$D$5)</x:f>
        <x:v>155.93580173912986</x:v>
      </x:c>
      <x:c r="K322" s="18" t="n">
        <x:v>150.07494173912986</x:v>
      </x:c>
      <x:c r="L322" s="18" t="n">
        <x:v>155.93580173912986</x:v>
      </x:c>
      <x:c r="M322" s="18" t="n">
        <x:f>J322-L322</x:f>
        <x:v>0</x:v>
      </x:c>
      <x:c r="N322" s="18" t="n">
        <x:f>E322*(G322*'原始输入与口径'!$D$5+H322/'原始输入与口径'!$D$5)/'原始输入与口径'!$H$5</x:f>
        <x:v>0.016280166666666665</x:v>
      </x:c>
      <x:c r="O322" s="18" t="n">
        <x:v>0.016280166666666665</x:v>
      </x:c>
      <x:c r="P322" s="18" t="n">
        <x:f>N322-O322</x:f>
        <x:v>0</x:v>
      </x:c>
      <x:c r="Q322" s="18" t="n">
        <x:f>E322*G322</x:f>
        <x:v>6.3705</x:v>
      </x:c>
      <x:c r="R322" s="18" t="n">
        <x:f>E322*H322</x:f>
        <x:v>0</x:v>
      </x:c>
      <x:c r="S322" s="2" t="n">
        <x:v>135</x:v>
      </x:c>
    </x:row>
    <x:row r="323" ht="21" customHeight="1">
      <x:c r="A323" s="36" t="n">
        <x:v>45659.398487708335</x:v>
      </x:c>
      <x:c r="B323" s="36" t="n">
        <x:v>45659.40625</x:v>
      </x:c>
      <x:c r="C323" s="36" t="n">
        <x:v>45659.395833333336</x:v>
      </x:c>
      <x:c r="D323" s="2" t="str">
        <x:v>0</x:v>
      </x:c>
      <x:c r="E323" s="18" t="n">
        <x:v>0.186295</x:v>
      </x:c>
      <x:c r="F323" s="18" t="n">
        <x:f>IF(D323="d",'两日价格与决策'!K141-'两日价格与决策'!N141,IF(D323="u",'两日价格与决策'!K141+'两日价格与决策'!M141,'两日价格与决策'!K141))</x:f>
        <x:v>0</x:v>
      </x:c>
      <x:c r="G323" s="18" t="n">
        <x:f>MAX(-F323,0)</x:f>
        <x:v>0</x:v>
      </x:c>
      <x:c r="H323" s="18" t="n">
        <x:f>MAX(F323,0)</x:f>
        <x:v>0</x:v>
      </x:c>
      <x:c r="I323" s="18" t="n">
        <x:f>J322</x:f>
        <x:v>155.93580173912986</x:v>
      </x:c>
      <x:c r="J323" s="18" t="n">
        <x:f>I323+E323*(G323*'原始输入与口径'!$D$5-H323/'原始输入与口径'!$D$5)</x:f>
        <x:v>155.93580173912986</x:v>
      </x:c>
      <x:c r="K323" s="18" t="n">
        <x:v>155.93580173912986</x:v>
      </x:c>
      <x:c r="L323" s="18" t="n">
        <x:v>155.93580173912986</x:v>
      </x:c>
      <x:c r="M323" s="18" t="n">
        <x:f>J323-L323</x:f>
        <x:v>0</x:v>
      </x:c>
      <x:c r="N323" s="18" t="n">
        <x:f>E323*(G323*'原始输入与口径'!$D$5+H323/'原始输入与口径'!$D$5)/'原始输入与口径'!$H$5</x:f>
        <x:v>0</x:v>
      </x:c>
      <x:c r="O323" s="18" t="n">
        <x:v>0</x:v>
      </x:c>
      <x:c r="P323" s="18" t="n">
        <x:f>N323-O323</x:f>
        <x:v>0</x:v>
      </x:c>
      <x:c r="Q323" s="18" t="n">
        <x:f>E323*G323</x:f>
        <x:v>0</x:v>
      </x:c>
      <x:c r="R323" s="18" t="n">
        <x:f>E323*H323</x:f>
        <x:v>0</x:v>
      </x:c>
      <x:c r="S323" s="2" t="n">
        <x:v>135</x:v>
      </x:c>
    </x:row>
    <x:row r="324" ht="21" customHeight="1">
      <x:c r="A324" s="36" t="n">
        <x:v>45659.40625</x:v>
      </x:c>
      <x:c r="B324" s="36" t="n">
        <x:v>45659.41294229167</x:v>
      </x:c>
      <x:c r="C324" s="36" t="n">
        <x:v>45659.40625</x:v>
      </x:c>
      <x:c r="D324" s="2" t="str">
        <x:v>d</x:v>
      </x:c>
      <x:c r="E324" s="18" t="n">
        <x:v>0.16061499999999998</x:v>
      </x:c>
      <x:c r="F324" s="18" t="n">
        <x:f>IF(D324="d",'两日价格与决策'!K142-'两日价格与决策'!N142,IF(D324="u",'两日价格与决策'!K142+'两日价格与决策'!M142,'两日价格与决策'!K142))</x:f>
        <x:v>-100</x:v>
      </x:c>
      <x:c r="G324" s="18" t="n">
        <x:f>MAX(-F324,0)</x:f>
        <x:v>100</x:v>
      </x:c>
      <x:c r="H324" s="18" t="n">
        <x:f>MAX(F324,0)</x:f>
        <x:v>0</x:v>
      </x:c>
      <x:c r="I324" s="18" t="n">
        <x:f>J323</x:f>
        <x:v>155.93580173912986</x:v>
      </x:c>
      <x:c r="J324" s="18" t="n">
        <x:f>I324+E324*(G324*'原始输入与口径'!$D$5-H324/'原始输入与口径'!$D$5)</x:f>
        <x:v>170.71238173912985</x:v>
      </x:c>
      <x:c r="K324" s="18" t="n">
        <x:v>155.93580173912986</x:v>
      </x:c>
      <x:c r="L324" s="18" t="n">
        <x:v>170.71238173912985</x:v>
      </x:c>
      <x:c r="M324" s="18" t="n">
        <x:f>J324-L324</x:f>
        <x:v>0</x:v>
      </x:c>
      <x:c r="N324" s="18" t="n">
        <x:f>E324*(G324*'原始输入与口径'!$D$5+H324/'原始输入与口径'!$D$5)/'原始输入与口径'!$H$5</x:f>
        <x:v>0.04104605555555555</x:v>
      </x:c>
      <x:c r="O324" s="18" t="n">
        <x:v>0.04104605555555555</x:v>
      </x:c>
      <x:c r="P324" s="18" t="n">
        <x:f>N324-O324</x:f>
        <x:v>0</x:v>
      </x:c>
      <x:c r="Q324" s="18" t="n">
        <x:f>E324*G324</x:f>
        <x:v>16.0615</x:v>
      </x:c>
      <x:c r="R324" s="18" t="n">
        <x:f>E324*H324</x:f>
        <x:v>0</x:v>
      </x:c>
      <x:c r="S324" s="2" t="n">
        <x:v>136</x:v>
      </x:c>
    </x:row>
    <x:row r="325" ht="21" customHeight="1">
      <x:c r="A325" s="36" t="n">
        <x:v>45659.41294229167</x:v>
      </x:c>
      <x:c r="B325" s="36" t="n">
        <x:v>45659.416666666664</x:v>
      </x:c>
      <x:c r="C325" s="36" t="n">
        <x:v>45659.40625</x:v>
      </x:c>
      <x:c r="D325" s="2" t="str">
        <x:v>0</x:v>
      </x:c>
      <x:c r="E325" s="18" t="n">
        <x:v>0.08938500000000002</x:v>
      </x:c>
      <x:c r="F325" s="18" t="n">
        <x:f>IF(D325="d",'两日价格与决策'!K142-'两日价格与决策'!N142,IF(D325="u",'两日价格与决策'!K142+'两日价格与决策'!M142,'两日价格与决策'!K142))</x:f>
        <x:v>0</x:v>
      </x:c>
      <x:c r="G325" s="18" t="n">
        <x:f>MAX(-F325,0)</x:f>
        <x:v>0</x:v>
      </x:c>
      <x:c r="H325" s="18" t="n">
        <x:f>MAX(F325,0)</x:f>
        <x:v>0</x:v>
      </x:c>
      <x:c r="I325" s="18" t="n">
        <x:f>J324</x:f>
        <x:v>170.71238173912985</x:v>
      </x:c>
      <x:c r="J325" s="18" t="n">
        <x:f>I325+E325*(G325*'原始输入与口径'!$D$5-H325/'原始输入与口径'!$D$5)</x:f>
        <x:v>170.71238173912985</x:v>
      </x:c>
      <x:c r="K325" s="18" t="n">
        <x:v>170.71238173912985</x:v>
      </x:c>
      <x:c r="L325" s="18" t="n">
        <x:v>170.71238173912985</x:v>
      </x:c>
      <x:c r="M325" s="18" t="n">
        <x:f>J325-L325</x:f>
        <x:v>0</x:v>
      </x:c>
      <x:c r="N325" s="18" t="n">
        <x:f>E325*(G325*'原始输入与口径'!$D$5+H325/'原始输入与口径'!$D$5)/'原始输入与口径'!$H$5</x:f>
        <x:v>0</x:v>
      </x:c>
      <x:c r="O325" s="18" t="n">
        <x:v>0</x:v>
      </x:c>
      <x:c r="P325" s="18" t="n">
        <x:f>N325-O325</x:f>
        <x:v>0</x:v>
      </x:c>
      <x:c r="Q325" s="18" t="n">
        <x:f>E325*G325</x:f>
        <x:v>0</x:v>
      </x:c>
      <x:c r="R325" s="18" t="n">
        <x:f>E325*H325</x:f>
        <x:v>0</x:v>
      </x:c>
      <x:c r="S325" s="2" t="n">
        <x:v>136</x:v>
      </x:c>
    </x:row>
    <x:row r="326" ht="21" customHeight="1">
      <x:c r="A326" s="36" t="n">
        <x:v>45659.416666666664</x:v>
      </x:c>
      <x:c r="B326" s="36" t="n">
        <x:v>45659.418140625</x:v>
      </x:c>
      <x:c r="C326" s="36" t="n">
        <x:v>45659.416666666664</x:v>
      </x:c>
      <x:c r="D326" s="2" t="str">
        <x:v>d</x:v>
      </x:c>
      <x:c r="E326" s="18" t="n">
        <x:v>0.035375000000000004</x:v>
      </x:c>
      <x:c r="F326" s="18" t="n">
        <x:f>IF(D326="d",'两日价格与决策'!K143-'两日价格与决策'!N143,IF(D326="u",'两日价格与决策'!K143+'两日价格与决策'!M143,'两日价格与决策'!K143))</x:f>
        <x:v>-100</x:v>
      </x:c>
      <x:c r="G326" s="18" t="n">
        <x:f>MAX(-F326,0)</x:f>
        <x:v>100</x:v>
      </x:c>
      <x:c r="H326" s="18" t="n">
        <x:f>MAX(F326,0)</x:f>
        <x:v>0</x:v>
      </x:c>
      <x:c r="I326" s="18" t="n">
        <x:f>J325</x:f>
        <x:v>170.71238173912985</x:v>
      </x:c>
      <x:c r="J326" s="18" t="n">
        <x:f>I326+E326*(G326*'原始输入与口径'!$D$5-H326/'原始输入与口径'!$D$5)</x:f>
        <x:v>173.96688173912986</x:v>
      </x:c>
      <x:c r="K326" s="18" t="n">
        <x:v>170.71238173912985</x:v>
      </x:c>
      <x:c r="L326" s="18" t="n">
        <x:v>173.96688173912986</x:v>
      </x:c>
      <x:c r="M326" s="18" t="n">
        <x:f>J326-L326</x:f>
        <x:v>0</x:v>
      </x:c>
      <x:c r="N326" s="18" t="n">
        <x:f>E326*(G326*'原始输入与口径'!$D$5+H326/'原始输入与口径'!$D$5)/'原始输入与口径'!$H$5</x:f>
        <x:v>0.009040277777777779</x:v>
      </x:c>
      <x:c r="O326" s="18" t="n">
        <x:v>0.009040277777777779</x:v>
      </x:c>
      <x:c r="P326" s="18" t="n">
        <x:f>N326-O326</x:f>
        <x:v>0</x:v>
      </x:c>
      <x:c r="Q326" s="18" t="n">
        <x:f>E326*G326</x:f>
        <x:v>3.5375000000000005</x:v>
      </x:c>
      <x:c r="R326" s="18" t="n">
        <x:f>E326*H326</x:f>
        <x:v>0</x:v>
      </x:c>
      <x:c r="S326" s="2" t="n">
        <x:v>137</x:v>
      </x:c>
    </x:row>
    <x:row r="327" ht="21" customHeight="1">
      <x:c r="A327" s="36" t="n">
        <x:v>45659.418140625</x:v>
      </x:c>
      <x:c r="B327" s="36" t="n">
        <x:v>45659.42708333333</x:v>
      </x:c>
      <x:c r="C327" s="36" t="n">
        <x:v>45659.416666666664</x:v>
      </x:c>
      <x:c r="D327" s="2" t="str">
        <x:v>0</x:v>
      </x:c>
      <x:c r="E327" s="18" t="n">
        <x:v>0.214625</x:v>
      </x:c>
      <x:c r="F327" s="18" t="n">
        <x:f>IF(D327="d",'两日价格与决策'!K143-'两日价格与决策'!N143,IF(D327="u",'两日价格与决策'!K143+'两日价格与决策'!M143,'两日价格与决策'!K143))</x:f>
        <x:v>0</x:v>
      </x:c>
      <x:c r="G327" s="18" t="n">
        <x:f>MAX(-F327,0)</x:f>
        <x:v>0</x:v>
      </x:c>
      <x:c r="H327" s="18" t="n">
        <x:f>MAX(F327,0)</x:f>
        <x:v>0</x:v>
      </x:c>
      <x:c r="I327" s="18" t="n">
        <x:f>J326</x:f>
        <x:v>173.96688173912986</x:v>
      </x:c>
      <x:c r="J327" s="18" t="n">
        <x:f>I327+E327*(G327*'原始输入与口径'!$D$5-H327/'原始输入与口径'!$D$5)</x:f>
        <x:v>173.96688173912986</x:v>
      </x:c>
      <x:c r="K327" s="18" t="n">
        <x:v>173.96688173912986</x:v>
      </x:c>
      <x:c r="L327" s="18" t="n">
        <x:v>173.96688173912986</x:v>
      </x:c>
      <x:c r="M327" s="18" t="n">
        <x:f>J327-L327</x:f>
        <x:v>0</x:v>
      </x:c>
      <x:c r="N327" s="18" t="n">
        <x:f>E327*(G327*'原始输入与口径'!$D$5+H327/'原始输入与口径'!$D$5)/'原始输入与口径'!$H$5</x:f>
        <x:v>0</x:v>
      </x:c>
      <x:c r="O327" s="18" t="n">
        <x:v>0</x:v>
      </x:c>
      <x:c r="P327" s="18" t="n">
        <x:f>N327-O327</x:f>
        <x:v>0</x:v>
      </x:c>
      <x:c r="Q327" s="18" t="n">
        <x:f>E327*G327</x:f>
        <x:v>0</x:v>
      </x:c>
      <x:c r="R327" s="18" t="n">
        <x:f>E327*H327</x:f>
        <x:v>0</x:v>
      </x:c>
      <x:c r="S327" s="2" t="n">
        <x:v>137</x:v>
      </x:c>
    </x:row>
    <x:row r="328" ht="21" customHeight="1">
      <x:c r="A328" s="36" t="n">
        <x:v>45659.427083333336</x:v>
      </x:c>
      <x:c r="B328" s="36" t="n">
        <x:v>45659.427493333336</x:v>
      </x:c>
      <x:c r="C328" s="36" t="n">
        <x:v>45659.427083333336</x:v>
      </x:c>
      <x:c r="D328" s="2" t="str">
        <x:v>d</x:v>
      </x:c>
      <x:c r="E328" s="18" t="n">
        <x:v>0.00984</x:v>
      </x:c>
      <x:c r="F328" s="18" t="n">
        <x:f>IF(D328="d",'两日价格与决策'!K144-'两日价格与决策'!N144,IF(D328="u",'两日价格与决策'!K144+'两日价格与决策'!M144,'两日价格与决策'!K144))</x:f>
        <x:v>-100</x:v>
      </x:c>
      <x:c r="G328" s="18" t="n">
        <x:f>MAX(-F328,0)</x:f>
        <x:v>100</x:v>
      </x:c>
      <x:c r="H328" s="18" t="n">
        <x:f>MAX(F328,0)</x:f>
        <x:v>0</x:v>
      </x:c>
      <x:c r="I328" s="18" t="n">
        <x:f>J327</x:f>
        <x:v>173.96688173912986</x:v>
      </x:c>
      <x:c r="J328" s="18" t="n">
        <x:f>I328+E328*(G328*'原始输入与口径'!$D$5-H328/'原始输入与口径'!$D$5)</x:f>
        <x:v>174.87216173912987</x:v>
      </x:c>
      <x:c r="K328" s="18" t="n">
        <x:v>173.96688173912986</x:v>
      </x:c>
      <x:c r="L328" s="18" t="n">
        <x:v>174.87216173912987</x:v>
      </x:c>
      <x:c r="M328" s="18" t="n">
        <x:f>J328-L328</x:f>
        <x:v>0</x:v>
      </x:c>
      <x:c r="N328" s="18" t="n">
        <x:f>E328*(G328*'原始输入与口径'!$D$5+H328/'原始输入与口径'!$D$5)/'原始输入与口径'!$H$5</x:f>
        <x:v>0.002514666666666667</x:v>
      </x:c>
      <x:c r="O328" s="18" t="n">
        <x:v>0.002514666666666667</x:v>
      </x:c>
      <x:c r="P328" s="18" t="n">
        <x:f>N328-O328</x:f>
        <x:v>0</x:v>
      </x:c>
      <x:c r="Q328" s="18" t="n">
        <x:f>E328*G328</x:f>
        <x:v>0.984</x:v>
      </x:c>
      <x:c r="R328" s="18" t="n">
        <x:f>E328*H328</x:f>
        <x:v>0</x:v>
      </x:c>
      <x:c r="S328" s="2" t="n">
        <x:v>138</x:v>
      </x:c>
    </x:row>
    <x:row r="329" ht="21" customHeight="1">
      <x:c r="A329" s="36" t="n">
        <x:v>45659.427493333336</x:v>
      </x:c>
      <x:c r="B329" s="36" t="n">
        <x:v>45659.4375</x:v>
      </x:c>
      <x:c r="C329" s="36" t="n">
        <x:v>45659.427083333336</x:v>
      </x:c>
      <x:c r="D329" s="2" t="str">
        <x:v>0</x:v>
      </x:c>
      <x:c r="E329" s="18" t="n">
        <x:v>0.24016</x:v>
      </x:c>
      <x:c r="F329" s="18" t="n">
        <x:f>IF(D329="d",'两日价格与决策'!K144-'两日价格与决策'!N144,IF(D329="u",'两日价格与决策'!K144+'两日价格与决策'!M144,'两日价格与决策'!K144))</x:f>
        <x:v>0</x:v>
      </x:c>
      <x:c r="G329" s="18" t="n">
        <x:f>MAX(-F329,0)</x:f>
        <x:v>0</x:v>
      </x:c>
      <x:c r="H329" s="18" t="n">
        <x:f>MAX(F329,0)</x:f>
        <x:v>0</x:v>
      </x:c>
      <x:c r="I329" s="18" t="n">
        <x:f>J328</x:f>
        <x:v>174.87216173912987</x:v>
      </x:c>
      <x:c r="J329" s="18" t="n">
        <x:f>I329+E329*(G329*'原始输入与口径'!$D$5-H329/'原始输入与口径'!$D$5)</x:f>
        <x:v>174.87216173912987</x:v>
      </x:c>
      <x:c r="K329" s="18" t="n">
        <x:v>174.87216173912987</x:v>
      </x:c>
      <x:c r="L329" s="18" t="n">
        <x:v>174.87216173912987</x:v>
      </x:c>
      <x:c r="M329" s="18" t="n">
        <x:f>J329-L329</x:f>
        <x:v>0</x:v>
      </x:c>
      <x:c r="N329" s="18" t="n">
        <x:f>E329*(G329*'原始输入与口径'!$D$5+H329/'原始输入与口径'!$D$5)/'原始输入与口径'!$H$5</x:f>
        <x:v>0</x:v>
      </x:c>
      <x:c r="O329" s="18" t="n">
        <x:v>0</x:v>
      </x:c>
      <x:c r="P329" s="18" t="n">
        <x:f>N329-O329</x:f>
        <x:v>0</x:v>
      </x:c>
      <x:c r="Q329" s="18" t="n">
        <x:f>E329*G329</x:f>
        <x:v>0</x:v>
      </x:c>
      <x:c r="R329" s="18" t="n">
        <x:f>E329*H329</x:f>
        <x:v>0</x:v>
      </x:c>
      <x:c r="S329" s="2" t="n">
        <x:v>138</x:v>
      </x:c>
    </x:row>
    <x:row r="330" ht="21" customHeight="1">
      <x:c r="A330" s="36" t="n">
        <x:v>45659.4375</x:v>
      </x:c>
      <x:c r="B330" s="36" t="n">
        <x:v>45659.438288125</x:v>
      </x:c>
      <x:c r="C330" s="36" t="n">
        <x:v>45659.4375</x:v>
      </x:c>
      <x:c r="D330" s="2" t="str">
        <x:v>d</x:v>
      </x:c>
      <x:c r="E330" s="18" t="n">
        <x:v>0.018915</x:v>
      </x:c>
      <x:c r="F330" s="18" t="n">
        <x:f>IF(D330="d",'两日价格与决策'!K145-'两日价格与决策'!N145,IF(D330="u",'两日价格与决策'!K145+'两日价格与决策'!M145,'两日价格与决策'!K145))</x:f>
        <x:v>-100</x:v>
      </x:c>
      <x:c r="G330" s="18" t="n">
        <x:f>MAX(-F330,0)</x:f>
        <x:v>100</x:v>
      </x:c>
      <x:c r="H330" s="18" t="n">
        <x:f>MAX(F330,0)</x:f>
        <x:v>0</x:v>
      </x:c>
      <x:c r="I330" s="18" t="n">
        <x:f>J329</x:f>
        <x:v>174.87216173912987</x:v>
      </x:c>
      <x:c r="J330" s="18" t="n">
        <x:f>I330+E330*(G330*'原始输入与口径'!$D$5-H330/'原始输入与口径'!$D$5)</x:f>
        <x:v>176.61234173912987</x:v>
      </x:c>
      <x:c r="K330" s="18" t="n">
        <x:v>174.87216173912987</x:v>
      </x:c>
      <x:c r="L330" s="18" t="n">
        <x:v>176.61234173912987</x:v>
      </x:c>
      <x:c r="M330" s="18" t="n">
        <x:f>J330-L330</x:f>
        <x:v>0</x:v>
      </x:c>
      <x:c r="N330" s="18" t="n">
        <x:f>E330*(G330*'原始输入与口径'!$D$5+H330/'原始输入与口径'!$D$5)/'原始输入与口径'!$H$5</x:f>
        <x:v>0.004833833333333333</x:v>
      </x:c>
      <x:c r="O330" s="18" t="n">
        <x:v>0.004833833333333334</x:v>
      </x:c>
      <x:c r="P330" s="18" t="n">
        <x:f>N330-O330</x:f>
        <x:v>-8.673617379884035e-19</x:v>
      </x:c>
      <x:c r="Q330" s="18" t="n">
        <x:f>E330*G330</x:f>
        <x:v>1.8915000000000002</x:v>
      </x:c>
      <x:c r="R330" s="18" t="n">
        <x:f>E330*H330</x:f>
        <x:v>0</x:v>
      </x:c>
      <x:c r="S330" s="2" t="n">
        <x:v>139</x:v>
      </x:c>
    </x:row>
    <x:row r="331" ht="21" customHeight="1">
      <x:c r="A331" s="36" t="n">
        <x:v>45659.438288125</x:v>
      </x:c>
      <x:c r="B331" s="36" t="n">
        <x:v>45659.447916666664</x:v>
      </x:c>
      <x:c r="C331" s="36" t="n">
        <x:v>45659.4375</x:v>
      </x:c>
      <x:c r="D331" s="2" t="str">
        <x:v>0</x:v>
      </x:c>
      <x:c r="E331" s="18" t="n">
        <x:v>0.23108499999999998</x:v>
      </x:c>
      <x:c r="F331" s="18" t="n">
        <x:f>IF(D331="d",'两日价格与决策'!K145-'两日价格与决策'!N145,IF(D331="u",'两日价格与决策'!K145+'两日价格与决策'!M145,'两日价格与决策'!K145))</x:f>
        <x:v>0</x:v>
      </x:c>
      <x:c r="G331" s="18" t="n">
        <x:f>MAX(-F331,0)</x:f>
        <x:v>0</x:v>
      </x:c>
      <x:c r="H331" s="18" t="n">
        <x:f>MAX(F331,0)</x:f>
        <x:v>0</x:v>
      </x:c>
      <x:c r="I331" s="18" t="n">
        <x:f>J330</x:f>
        <x:v>176.61234173912987</x:v>
      </x:c>
      <x:c r="J331" s="18" t="n">
        <x:f>I331+E331*(G331*'原始输入与口径'!$D$5-H331/'原始输入与口径'!$D$5)</x:f>
        <x:v>176.61234173912987</x:v>
      </x:c>
      <x:c r="K331" s="18" t="n">
        <x:v>176.61234173912987</x:v>
      </x:c>
      <x:c r="L331" s="18" t="n">
        <x:v>176.61234173912987</x:v>
      </x:c>
      <x:c r="M331" s="18" t="n">
        <x:f>J331-L331</x:f>
        <x:v>0</x:v>
      </x:c>
      <x:c r="N331" s="18" t="n">
        <x:f>E331*(G331*'原始输入与口径'!$D$5+H331/'原始输入与口径'!$D$5)/'原始输入与口径'!$H$5</x:f>
        <x:v>0</x:v>
      </x:c>
      <x:c r="O331" s="18" t="n">
        <x:v>0</x:v>
      </x:c>
      <x:c r="P331" s="18" t="n">
        <x:f>N331-O331</x:f>
        <x:v>0</x:v>
      </x:c>
      <x:c r="Q331" s="18" t="n">
        <x:f>E331*G331</x:f>
        <x:v>0</x:v>
      </x:c>
      <x:c r="R331" s="18" t="n">
        <x:f>E331*H331</x:f>
        <x:v>0</x:v>
      </x:c>
      <x:c r="S331" s="2" t="n">
        <x:v>139</x:v>
      </x:c>
    </x:row>
    <x:row r="332" ht="21" customHeight="1">
      <x:c r="A332" s="36" t="n">
        <x:v>45659.447916666664</x:v>
      </x:c>
      <x:c r="B332" s="36" t="n">
        <x:v>45659.44875229166</x:v>
      </x:c>
      <x:c r="C332" s="36" t="n">
        <x:v>45659.447916666664</x:v>
      </x:c>
      <x:c r="D332" s="2" t="str">
        <x:v>d</x:v>
      </x:c>
      <x:c r="E332" s="18" t="n">
        <x:v>0.020055</x:v>
      </x:c>
      <x:c r="F332" s="18" t="n">
        <x:f>IF(D332="d",'两日价格与决策'!K146-'两日价格与决策'!N146,IF(D332="u",'两日价格与决策'!K146+'两日价格与决策'!M146,'两日价格与决策'!K146))</x:f>
        <x:v>-100</x:v>
      </x:c>
      <x:c r="G332" s="18" t="n">
        <x:f>MAX(-F332,0)</x:f>
        <x:v>100</x:v>
      </x:c>
      <x:c r="H332" s="18" t="n">
        <x:f>MAX(F332,0)</x:f>
        <x:v>0</x:v>
      </x:c>
      <x:c r="I332" s="18" t="n">
        <x:f>J331</x:f>
        <x:v>176.61234173912987</x:v>
      </x:c>
      <x:c r="J332" s="18" t="n">
        <x:f>I332+E332*(G332*'原始输入与口径'!$D$5-H332/'原始输入与口径'!$D$5)</x:f>
        <x:v>178.45740173912986</x:v>
      </x:c>
      <x:c r="K332" s="18" t="n">
        <x:v>176.61234173912987</x:v>
      </x:c>
      <x:c r="L332" s="18" t="n">
        <x:v>178.45740173912986</x:v>
      </x:c>
      <x:c r="M332" s="18" t="n">
        <x:f>J332-L332</x:f>
        <x:v>0</x:v>
      </x:c>
      <x:c r="N332" s="18" t="n">
        <x:f>E332*(G332*'原始输入与口径'!$D$5+H332/'原始输入与口径'!$D$5)/'原始输入与口径'!$H$5</x:f>
        <x:v>0.005125166666666667</x:v>
      </x:c>
      <x:c r="O332" s="18" t="n">
        <x:v>0.005125166666666667</x:v>
      </x:c>
      <x:c r="P332" s="18" t="n">
        <x:f>N332-O332</x:f>
        <x:v>0</x:v>
      </x:c>
      <x:c r="Q332" s="18" t="n">
        <x:f>E332*G332</x:f>
        <x:v>2.0055</x:v>
      </x:c>
      <x:c r="R332" s="18" t="n">
        <x:f>E332*H332</x:f>
        <x:v>0</x:v>
      </x:c>
      <x:c r="S332" s="2" t="n">
        <x:v>140</x:v>
      </x:c>
    </x:row>
    <x:row r="333" ht="21" customHeight="1">
      <x:c r="A333" s="36" t="n">
        <x:v>45659.44875229166</x:v>
      </x:c>
      <x:c r="B333" s="36" t="n">
        <x:v>45659.45833333333</x:v>
      </x:c>
      <x:c r="C333" s="36" t="n">
        <x:v>45659.447916666664</x:v>
      </x:c>
      <x:c r="D333" s="2" t="str">
        <x:v>0</x:v>
      </x:c>
      <x:c r="E333" s="18" t="n">
        <x:v>0.229945</x:v>
      </x:c>
      <x:c r="F333" s="18" t="n">
        <x:f>IF(D333="d",'两日价格与决策'!K146-'两日价格与决策'!N146,IF(D333="u",'两日价格与决策'!K146+'两日价格与决策'!M146,'两日价格与决策'!K146))</x:f>
        <x:v>0</x:v>
      </x:c>
      <x:c r="G333" s="18" t="n">
        <x:f>MAX(-F333,0)</x:f>
        <x:v>0</x:v>
      </x:c>
      <x:c r="H333" s="18" t="n">
        <x:f>MAX(F333,0)</x:f>
        <x:v>0</x:v>
      </x:c>
      <x:c r="I333" s="18" t="n">
        <x:f>J332</x:f>
        <x:v>178.45740173912986</x:v>
      </x:c>
      <x:c r="J333" s="18" t="n">
        <x:f>I333+E333*(G333*'原始输入与口径'!$D$5-H333/'原始输入与口径'!$D$5)</x:f>
        <x:v>178.45740173912986</x:v>
      </x:c>
      <x:c r="K333" s="18" t="n">
        <x:v>178.45740173912986</x:v>
      </x:c>
      <x:c r="L333" s="18" t="n">
        <x:v>178.45740173912986</x:v>
      </x:c>
      <x:c r="M333" s="18" t="n">
        <x:f>J333-L333</x:f>
        <x:v>0</x:v>
      </x:c>
      <x:c r="N333" s="18" t="n">
        <x:f>E333*(G333*'原始输入与口径'!$D$5+H333/'原始输入与口径'!$D$5)/'原始输入与口径'!$H$5</x:f>
        <x:v>0</x:v>
      </x:c>
      <x:c r="O333" s="18" t="n">
        <x:v>0</x:v>
      </x:c>
      <x:c r="P333" s="18" t="n">
        <x:f>N333-O333</x:f>
        <x:v>0</x:v>
      </x:c>
      <x:c r="Q333" s="18" t="n">
        <x:f>E333*G333</x:f>
        <x:v>0</x:v>
      </x:c>
      <x:c r="R333" s="18" t="n">
        <x:f>E333*H333</x:f>
        <x:v>0</x:v>
      </x:c>
      <x:c r="S333" s="2" t="n">
        <x:v>140</x:v>
      </x:c>
    </x:row>
    <x:row r="334" ht="21" customHeight="1">
      <x:c r="A334" s="36" t="n">
        <x:v>45659.458333333336</x:v>
      </x:c>
      <x:c r="B334" s="36" t="n">
        <x:v>45659.45858791667</x:v>
      </x:c>
      <x:c r="C334" s="36" t="n">
        <x:v>45659.458333333336</x:v>
      </x:c>
      <x:c r="D334" s="2" t="str">
        <x:v>u</x:v>
      </x:c>
      <x:c r="E334" s="18" t="n">
        <x:v>0.00611</x:v>
      </x:c>
      <x:c r="F334" s="18" t="n">
        <x:f>IF(D334="d",'两日价格与决策'!K147-'两日价格与决策'!N147,IF(D334="u",'两日价格与决策'!K147+'两日价格与决策'!M147,'两日价格与决策'!K147))</x:f>
        <x:v>100</x:v>
      </x:c>
      <x:c r="G334" s="18" t="n">
        <x:f>MAX(-F334,0)</x:f>
        <x:v>0</x:v>
      </x:c>
      <x:c r="H334" s="18" t="n">
        <x:f>MAX(F334,0)</x:f>
        <x:v>100</x:v>
      </x:c>
      <x:c r="I334" s="18" t="n">
        <x:f>J333</x:f>
        <x:v>178.45740173912986</x:v>
      </x:c>
      <x:c r="J334" s="18" t="n">
        <x:f>I334+E334*(G334*'原始输入与口径'!$D$5-H334/'原始输入与口径'!$D$5)</x:f>
        <x:v>177.79327130434726</x:v>
      </x:c>
      <x:c r="K334" s="18" t="n">
        <x:v>178.45740173912986</x:v>
      </x:c>
      <x:c r="L334" s="18" t="n">
        <x:v>177.79327130434726</x:v>
      </x:c>
      <x:c r="M334" s="18" t="n">
        <x:f>J334-L334</x:f>
        <x:v>0</x:v>
      </x:c>
      <x:c r="N334" s="18" t="n">
        <x:f>E334*(G334*'原始输入与口径'!$D$5+H334/'原始输入与口径'!$D$5)/'原始输入与口径'!$H$5</x:f>
        <x:v>0.0018448067632850238</x:v>
      </x:c>
      <x:c r="O334" s="18" t="n">
        <x:v>0.0018448067632850242</x:v>
      </x:c>
      <x:c r="P334" s="18" t="n">
        <x:f>N334-O334</x:f>
        <x:v>-4.336808689942018e-19</x:v>
      </x:c>
      <x:c r="Q334" s="18" t="n">
        <x:f>E334*G334</x:f>
        <x:v>0</x:v>
      </x:c>
      <x:c r="R334" s="18" t="n">
        <x:f>E334*H334</x:f>
        <x:v>0.611</x:v>
      </x:c>
      <x:c r="S334" s="2" t="n">
        <x:v>141</x:v>
      </x:c>
    </x:row>
    <x:row r="335" ht="21" customHeight="1">
      <x:c r="A335" s="36" t="n">
        <x:v>45659.45858791667</x:v>
      </x:c>
      <x:c r="B335" s="36" t="n">
        <x:v>45659.46875</x:v>
      </x:c>
      <x:c r="C335" s="36" t="n">
        <x:v>45659.458333333336</x:v>
      </x:c>
      <x:c r="D335" s="2" t="str">
        <x:v>0</x:v>
      </x:c>
      <x:c r="E335" s="18" t="n">
        <x:v>0.24389</x:v>
      </x:c>
      <x:c r="F335" s="18" t="n">
        <x:f>IF(D335="d",'两日价格与决策'!K147-'两日价格与决策'!N147,IF(D335="u",'两日价格与决策'!K147+'两日价格与决策'!M147,'两日价格与决策'!K147))</x:f>
        <x:v>0</x:v>
      </x:c>
      <x:c r="G335" s="18" t="n">
        <x:f>MAX(-F335,0)</x:f>
        <x:v>0</x:v>
      </x:c>
      <x:c r="H335" s="18" t="n">
        <x:f>MAX(F335,0)</x:f>
        <x:v>0</x:v>
      </x:c>
      <x:c r="I335" s="18" t="n">
        <x:f>J334</x:f>
        <x:v>177.79327130434726</x:v>
      </x:c>
      <x:c r="J335" s="18" t="n">
        <x:f>I335+E335*(G335*'原始输入与口径'!$D$5-H335/'原始输入与口径'!$D$5)</x:f>
        <x:v>177.79327130434726</x:v>
      </x:c>
      <x:c r="K335" s="18" t="n">
        <x:v>177.79327130434726</x:v>
      </x:c>
      <x:c r="L335" s="18" t="n">
        <x:v>177.79327130434726</x:v>
      </x:c>
      <x:c r="M335" s="18" t="n">
        <x:f>J335-L335</x:f>
        <x:v>0</x:v>
      </x:c>
      <x:c r="N335" s="18" t="n">
        <x:f>E335*(G335*'原始输入与口径'!$D$5+H335/'原始输入与口径'!$D$5)/'原始输入与口径'!$H$5</x:f>
        <x:v>0</x:v>
      </x:c>
      <x:c r="O335" s="18" t="n">
        <x:v>0</x:v>
      </x:c>
      <x:c r="P335" s="18" t="n">
        <x:f>N335-O335</x:f>
        <x:v>0</x:v>
      </x:c>
      <x:c r="Q335" s="18" t="n">
        <x:f>E335*G335</x:f>
        <x:v>0</x:v>
      </x:c>
      <x:c r="R335" s="18" t="n">
        <x:f>E335*H335</x:f>
        <x:v>0</x:v>
      </x:c>
      <x:c r="S335" s="2" t="n">
        <x:v>141</x:v>
      </x:c>
    </x:row>
    <x:row r="336" ht="21" customHeight="1">
      <x:c r="A336" s="36" t="n">
        <x:v>45659.46875</x:v>
      </x:c>
      <x:c r="B336" s="36" t="n">
        <x:v>45659.46898770834</x:v>
      </x:c>
      <x:c r="C336" s="36" t="n">
        <x:v>45659.46875</x:v>
      </x:c>
      <x:c r="D336" s="2" t="str">
        <x:v>d</x:v>
      </x:c>
      <x:c r="E336" s="18" t="n">
        <x:v>0.005705</x:v>
      </x:c>
      <x:c r="F336" s="18" t="n">
        <x:f>IF(D336="d",'两日价格与决策'!K148-'两日价格与决策'!N148,IF(D336="u",'两日价格与决策'!K148+'两日价格与决策'!M148,'两日价格与决策'!K148))</x:f>
        <x:v>-100</x:v>
      </x:c>
      <x:c r="G336" s="18" t="n">
        <x:f>MAX(-F336,0)</x:f>
        <x:v>100</x:v>
      </x:c>
      <x:c r="H336" s="18" t="n">
        <x:f>MAX(F336,0)</x:f>
        <x:v>0</x:v>
      </x:c>
      <x:c r="I336" s="18" t="n">
        <x:f>J335</x:f>
        <x:v>177.79327130434726</x:v>
      </x:c>
      <x:c r="J336" s="18" t="n">
        <x:f>I336+E336*(G336*'原始输入与口径'!$D$5-H336/'原始输入与口径'!$D$5)</x:f>
        <x:v>178.31813130434725</x:v>
      </x:c>
      <x:c r="K336" s="18" t="n">
        <x:v>177.79327130434726</x:v>
      </x:c>
      <x:c r="L336" s="18" t="n">
        <x:v>178.31813130434725</x:v>
      </x:c>
      <x:c r="M336" s="18" t="n">
        <x:f>J336-L336</x:f>
        <x:v>0</x:v>
      </x:c>
      <x:c r="N336" s="18" t="n">
        <x:f>E336*(G336*'原始输入与口径'!$D$5+H336/'原始输入与口径'!$D$5)/'原始输入与口径'!$H$5</x:f>
        <x:v>0.0014579444444444444</x:v>
      </x:c>
      <x:c r="O336" s="18" t="n">
        <x:v>0.0014579444444444444</x:v>
      </x:c>
      <x:c r="P336" s="18" t="n">
        <x:f>N336-O336</x:f>
        <x:v>0</x:v>
      </x:c>
      <x:c r="Q336" s="18" t="n">
        <x:f>E336*G336</x:f>
        <x:v>0.5705</x:v>
      </x:c>
      <x:c r="R336" s="18" t="n">
        <x:f>E336*H336</x:f>
        <x:v>0</x:v>
      </x:c>
      <x:c r="S336" s="2" t="n">
        <x:v>142</x:v>
      </x:c>
    </x:row>
    <x:row r="337" ht="21" customHeight="1">
      <x:c r="A337" s="36" t="n">
        <x:v>45659.46898770834</x:v>
      </x:c>
      <x:c r="B337" s="36" t="n">
        <x:v>45659.479166666664</x:v>
      </x:c>
      <x:c r="C337" s="36" t="n">
        <x:v>45659.46875</x:v>
      </x:c>
      <x:c r="D337" s="2" t="str">
        <x:v>0</x:v>
      </x:c>
      <x:c r="E337" s="18" t="n">
        <x:v>0.244295</x:v>
      </x:c>
      <x:c r="F337" s="18" t="n">
        <x:f>IF(D337="d",'两日价格与决策'!K148-'两日价格与决策'!N148,IF(D337="u",'两日价格与决策'!K148+'两日价格与决策'!M148,'两日价格与决策'!K148))</x:f>
        <x:v>0</x:v>
      </x:c>
      <x:c r="G337" s="18" t="n">
        <x:f>MAX(-F337,0)</x:f>
        <x:v>0</x:v>
      </x:c>
      <x:c r="H337" s="18" t="n">
        <x:f>MAX(F337,0)</x:f>
        <x:v>0</x:v>
      </x:c>
      <x:c r="I337" s="18" t="n">
        <x:f>J336</x:f>
        <x:v>178.31813130434725</x:v>
      </x:c>
      <x:c r="J337" s="18" t="n">
        <x:f>I337+E337*(G337*'原始输入与口径'!$D$5-H337/'原始输入与口径'!$D$5)</x:f>
        <x:v>178.31813130434725</x:v>
      </x:c>
      <x:c r="K337" s="18" t="n">
        <x:v>178.31813130434725</x:v>
      </x:c>
      <x:c r="L337" s="18" t="n">
        <x:v>178.31813130434725</x:v>
      </x:c>
      <x:c r="M337" s="18" t="n">
        <x:f>J337-L337</x:f>
        <x:v>0</x:v>
      </x:c>
      <x:c r="N337" s="18" t="n">
        <x:f>E337*(G337*'原始输入与口径'!$D$5+H337/'原始输入与口径'!$D$5)/'原始输入与口径'!$H$5</x:f>
        <x:v>0</x:v>
      </x:c>
      <x:c r="O337" s="18" t="n">
        <x:v>0</x:v>
      </x:c>
      <x:c r="P337" s="18" t="n">
        <x:f>N337-O337</x:f>
        <x:v>0</x:v>
      </x:c>
      <x:c r="Q337" s="18" t="n">
        <x:f>E337*G337</x:f>
        <x:v>0</x:v>
      </x:c>
      <x:c r="R337" s="18" t="n">
        <x:f>E337*H337</x:f>
        <x:v>0</x:v>
      </x:c>
      <x:c r="S337" s="2" t="n">
        <x:v>142</x:v>
      </x:c>
    </x:row>
    <x:row r="338" ht="21" customHeight="1">
      <x:c r="A338" s="36" t="n">
        <x:v>45659.479166666664</x:v>
      </x:c>
      <x:c r="B338" s="36" t="n">
        <x:v>45659.47980083333</x:v>
      </x:c>
      <x:c r="C338" s="36" t="n">
        <x:v>45659.479166666664</x:v>
      </x:c>
      <x:c r="D338" s="2" t="str">
        <x:v>d</x:v>
      </x:c>
      <x:c r="E338" s="18" t="n">
        <x:v>0.015220000000000001</x:v>
      </x:c>
      <x:c r="F338" s="18" t="n">
        <x:f>IF(D338="d",'两日价格与决策'!K149-'两日价格与决策'!N149,IF(D338="u",'两日价格与决策'!K149+'两日价格与决策'!M149,'两日价格与决策'!K149))</x:f>
        <x:v>-100</x:v>
      </x:c>
      <x:c r="G338" s="18" t="n">
        <x:f>MAX(-F338,0)</x:f>
        <x:v>100</x:v>
      </x:c>
      <x:c r="H338" s="18" t="n">
        <x:f>MAX(F338,0)</x:f>
        <x:v>0</x:v>
      </x:c>
      <x:c r="I338" s="18" t="n">
        <x:f>J337</x:f>
        <x:v>178.31813130434725</x:v>
      </x:c>
      <x:c r="J338" s="18" t="n">
        <x:f>I338+E338*(G338*'原始输入与口径'!$D$5-H338/'原始输入与口径'!$D$5)</x:f>
        <x:v>179.71837130434724</x:v>
      </x:c>
      <x:c r="K338" s="18" t="n">
        <x:v>178.31813130434725</x:v>
      </x:c>
      <x:c r="L338" s="18" t="n">
        <x:v>179.71837130434724</x:v>
      </x:c>
      <x:c r="M338" s="18" t="n">
        <x:f>J338-L338</x:f>
        <x:v>0</x:v>
      </x:c>
      <x:c r="N338" s="18" t="n">
        <x:f>E338*(G338*'原始输入与口径'!$D$5+H338/'原始输入与口径'!$D$5)/'原始输入与口径'!$H$5</x:f>
        <x:v>0.003889555555555556</x:v>
      </x:c>
      <x:c r="O338" s="18" t="n">
        <x:v>0.003889555555555556</x:v>
      </x:c>
      <x:c r="P338" s="18" t="n">
        <x:f>N338-O338</x:f>
        <x:v>0</x:v>
      </x:c>
      <x:c r="Q338" s="18" t="n">
        <x:f>E338*G338</x:f>
        <x:v>1.522</x:v>
      </x:c>
      <x:c r="R338" s="18" t="n">
        <x:f>E338*H338</x:f>
        <x:v>0</x:v>
      </x:c>
      <x:c r="S338" s="2" t="n">
        <x:v>143</x:v>
      </x:c>
    </x:row>
    <x:row r="339" ht="21" customHeight="1">
      <x:c r="A339" s="36" t="n">
        <x:v>45659.47980083333</x:v>
      </x:c>
      <x:c r="B339" s="36" t="n">
        <x:v>45659.47980145833</x:v>
      </x:c>
      <x:c r="C339" s="36" t="n">
        <x:v>45659.479166666664</x:v>
      </x:c>
      <x:c r="D339" s="2" t="str">
        <x:v>u</x:v>
      </x:c>
      <x:c r="E339" s="18" t="n">
        <x:v>0.000015</x:v>
      </x:c>
      <x:c r="F339" s="18" t="n">
        <x:f>IF(D339="d",'两日价格与决策'!K149-'两日价格与决策'!N149,IF(D339="u",'两日价格与决策'!K149+'两日价格与决策'!M149,'两日价格与决策'!K149))</x:f>
        <x:v>100</x:v>
      </x:c>
      <x:c r="G339" s="18" t="n">
        <x:f>MAX(-F339,0)</x:f>
        <x:v>0</x:v>
      </x:c>
      <x:c r="H339" s="18" t="n">
        <x:f>MAX(F339,0)</x:f>
        <x:v>100</x:v>
      </x:c>
      <x:c r="I339" s="18" t="n">
        <x:f>J338</x:f>
        <x:v>179.71837130434724</x:v>
      </x:c>
      <x:c r="J339" s="18" t="n">
        <x:f>I339+E339*(G339*'原始输入与口径'!$D$5-H339/'原始输入与口径'!$D$5)</x:f>
        <x:v>179.71674086956463</x:v>
      </x:c>
      <x:c r="K339" s="18" t="n">
        <x:v>179.71837130434724</x:v>
      </x:c>
      <x:c r="L339" s="18" t="n">
        <x:v>179.71674086956463</x:v>
      </x:c>
      <x:c r="M339" s="18" t="n">
        <x:f>J339-L339</x:f>
        <x:v>0</x:v>
      </x:c>
      <x:c r="N339" s="18" t="n">
        <x:f>E339*(G339*'原始输入与口径'!$D$5+H339/'原始输入与口径'!$D$5)/'原始输入与口径'!$H$5</x:f>
        <x:v>0.000004528985507246377</x:v>
      </x:c>
      <x:c r="O339" s="18" t="n">
        <x:v>0.000004528985507246377</x:v>
      </x:c>
      <x:c r="P339" s="18" t="n">
        <x:f>N339-O339</x:f>
        <x:v>0</x:v>
      </x:c>
      <x:c r="Q339" s="18" t="n">
        <x:f>E339*G339</x:f>
        <x:v>0</x:v>
      </x:c>
      <x:c r="R339" s="18" t="n">
        <x:f>E339*H339</x:f>
        <x:v>0.0015</x:v>
      </x:c>
      <x:c r="S339" s="2" t="n">
        <x:v>143</x:v>
      </x:c>
    </x:row>
    <x:row r="340" ht="21" customHeight="1">
      <x:c r="A340" s="36" t="n">
        <x:v>45659.47980145833</x:v>
      </x:c>
      <x:c r="B340" s="36" t="n">
        <x:v>45659.48958333333</x:v>
      </x:c>
      <x:c r="C340" s="36" t="n">
        <x:v>45659.479166666664</x:v>
      </x:c>
      <x:c r="D340" s="2" t="str">
        <x:v>0</x:v>
      </x:c>
      <x:c r="E340" s="18" t="n">
        <x:v>0.234765</x:v>
      </x:c>
      <x:c r="F340" s="18" t="n">
        <x:f>IF(D340="d",'两日价格与决策'!K149-'两日价格与决策'!N149,IF(D340="u",'两日价格与决策'!K149+'两日价格与决策'!M149,'两日价格与决策'!K149))</x:f>
        <x:v>0</x:v>
      </x:c>
      <x:c r="G340" s="18" t="n">
        <x:f>MAX(-F340,0)</x:f>
        <x:v>0</x:v>
      </x:c>
      <x:c r="H340" s="18" t="n">
        <x:f>MAX(F340,0)</x:f>
        <x:v>0</x:v>
      </x:c>
      <x:c r="I340" s="18" t="n">
        <x:f>J339</x:f>
        <x:v>179.71674086956463</x:v>
      </x:c>
      <x:c r="J340" s="18" t="n">
        <x:f>I340+E340*(G340*'原始输入与口径'!$D$5-H340/'原始输入与口径'!$D$5)</x:f>
        <x:v>179.71674086956463</x:v>
      </x:c>
      <x:c r="K340" s="18" t="n">
        <x:v>179.71674086956463</x:v>
      </x:c>
      <x:c r="L340" s="18" t="n">
        <x:v>179.71674086956463</x:v>
      </x:c>
      <x:c r="M340" s="18" t="n">
        <x:f>J340-L340</x:f>
        <x:v>0</x:v>
      </x:c>
      <x:c r="N340" s="18" t="n">
        <x:f>E340*(G340*'原始输入与口径'!$D$5+H340/'原始输入与口径'!$D$5)/'原始输入与口径'!$H$5</x:f>
        <x:v>0</x:v>
      </x:c>
      <x:c r="O340" s="18" t="n">
        <x:v>0</x:v>
      </x:c>
      <x:c r="P340" s="18" t="n">
        <x:f>N340-O340</x:f>
        <x:v>0</x:v>
      </x:c>
      <x:c r="Q340" s="18" t="n">
        <x:f>E340*G340</x:f>
        <x:v>0</x:v>
      </x:c>
      <x:c r="R340" s="18" t="n">
        <x:f>E340*H340</x:f>
        <x:v>0</x:v>
      </x:c>
      <x:c r="S340" s="2" t="n">
        <x:v>143</x:v>
      </x:c>
    </x:row>
    <x:row r="341" ht="21" customHeight="1">
      <x:c r="A341" s="36" t="n">
        <x:v>45659.489583333336</x:v>
      </x:c>
      <x:c r="B341" s="36" t="n">
        <x:v>45659.49122</x:v>
      </x:c>
      <x:c r="C341" s="36" t="n">
        <x:v>45659.489583333336</x:v>
      </x:c>
      <x:c r="D341" s="2" t="str">
        <x:v>d</x:v>
      </x:c>
      <x:c r="E341" s="18" t="n">
        <x:v>0.03928</x:v>
      </x:c>
      <x:c r="F341" s="18" t="n">
        <x:f>IF(D341="d",'两日价格与决策'!K150-'两日价格与决策'!N150,IF(D341="u",'两日价格与决策'!K150+'两日价格与决策'!M150,'两日价格与决策'!K150))</x:f>
        <x:v>-100</x:v>
      </x:c>
      <x:c r="G341" s="18" t="n">
        <x:f>MAX(-F341,0)</x:f>
        <x:v>100</x:v>
      </x:c>
      <x:c r="H341" s="18" t="n">
        <x:f>MAX(F341,0)</x:f>
        <x:v>0</x:v>
      </x:c>
      <x:c r="I341" s="18" t="n">
        <x:f>J340</x:f>
        <x:v>179.71674086956463</x:v>
      </x:c>
      <x:c r="J341" s="18" t="n">
        <x:f>I341+E341*(G341*'原始输入与口径'!$D$5-H341/'原始输入与口径'!$D$5)</x:f>
        <x:v>183.33050086956464</x:v>
      </x:c>
      <x:c r="K341" s="18" t="n">
        <x:v>179.71674086956463</x:v>
      </x:c>
      <x:c r="L341" s="18" t="n">
        <x:v>183.33050086956464</x:v>
      </x:c>
      <x:c r="M341" s="18" t="n">
        <x:f>J341-L341</x:f>
        <x:v>0</x:v>
      </x:c>
      <x:c r="N341" s="18" t="n">
        <x:f>E341*(G341*'原始输入与口径'!$D$5+H341/'原始输入与口径'!$D$5)/'原始输入与口径'!$H$5</x:f>
        <x:v>0.010038222222222223</x:v>
      </x:c>
      <x:c r="O341" s="18" t="n">
        <x:v>0.010038222222222224</x:v>
      </x:c>
      <x:c r="P341" s="18" t="n">
        <x:f>N341-O341</x:f>
        <x:v>-1.734723475976807e-18</x:v>
      </x:c>
      <x:c r="Q341" s="18" t="n">
        <x:f>E341*G341</x:f>
        <x:v>3.9280000000000004</x:v>
      </x:c>
      <x:c r="R341" s="18" t="n">
        <x:f>E341*H341</x:f>
        <x:v>0</x:v>
      </x:c>
      <x:c r="S341" s="2" t="n">
        <x:v>144</x:v>
      </x:c>
    </x:row>
    <x:row r="342" ht="21" customHeight="1">
      <x:c r="A342" s="36" t="n">
        <x:v>45659.49122</x:v>
      </x:c>
      <x:c r="B342" s="36" t="n">
        <x:v>45659.491220625</x:v>
      </x:c>
      <x:c r="C342" s="36" t="n">
        <x:v>45659.489583333336</x:v>
      </x:c>
      <x:c r="D342" s="2" t="str">
        <x:v>u</x:v>
      </x:c>
      <x:c r="E342" s="18" t="n">
        <x:v>0.000015</x:v>
      </x:c>
      <x:c r="F342" s="18" t="n">
        <x:f>IF(D342="d",'两日价格与决策'!K150-'两日价格与决策'!N150,IF(D342="u",'两日价格与决策'!K150+'两日价格与决策'!M150,'两日价格与决策'!K150))</x:f>
        <x:v>100</x:v>
      </x:c>
      <x:c r="G342" s="18" t="n">
        <x:f>MAX(-F342,0)</x:f>
        <x:v>0</x:v>
      </x:c>
      <x:c r="H342" s="18" t="n">
        <x:f>MAX(F342,0)</x:f>
        <x:v>100</x:v>
      </x:c>
      <x:c r="I342" s="18" t="n">
        <x:f>J341</x:f>
        <x:v>183.33050086956464</x:v>
      </x:c>
      <x:c r="J342" s="18" t="n">
        <x:f>I342+E342*(G342*'原始输入与口径'!$D$5-H342/'原始输入与口径'!$D$5)</x:f>
        <x:v>183.32887043478203</x:v>
      </x:c>
      <x:c r="K342" s="18" t="n">
        <x:v>183.33050086956464</x:v>
      </x:c>
      <x:c r="L342" s="18" t="n">
        <x:v>183.32887043478203</x:v>
      </x:c>
      <x:c r="M342" s="18" t="n">
        <x:f>J342-L342</x:f>
        <x:v>0</x:v>
      </x:c>
      <x:c r="N342" s="18" t="n">
        <x:f>E342*(G342*'原始输入与口径'!$D$5+H342/'原始输入与口径'!$D$5)/'原始输入与口径'!$H$5</x:f>
        <x:v>0.000004528985507246377</x:v>
      </x:c>
      <x:c r="O342" s="18" t="n">
        <x:v>0.000004528985507246377</x:v>
      </x:c>
      <x:c r="P342" s="18" t="n">
        <x:f>N342-O342</x:f>
        <x:v>0</x:v>
      </x:c>
      <x:c r="Q342" s="18" t="n">
        <x:f>E342*G342</x:f>
        <x:v>0</x:v>
      </x:c>
      <x:c r="R342" s="18" t="n">
        <x:f>E342*H342</x:f>
        <x:v>0.0015</x:v>
      </x:c>
      <x:c r="S342" s="2" t="n">
        <x:v>144</x:v>
      </x:c>
    </x:row>
    <x:row r="343" ht="21" customHeight="1">
      <x:c r="A343" s="36" t="n">
        <x:v>45659.491220625</x:v>
      </x:c>
      <x:c r="B343" s="36" t="n">
        <x:v>45659.5</x:v>
      </x:c>
      <x:c r="C343" s="36" t="n">
        <x:v>45659.489583333336</x:v>
      </x:c>
      <x:c r="D343" s="2" t="str">
        <x:v>0</x:v>
      </x:c>
      <x:c r="E343" s="18" t="n">
        <x:v>0.210705</x:v>
      </x:c>
      <x:c r="F343" s="18" t="n">
        <x:f>IF(D343="d",'两日价格与决策'!K150-'两日价格与决策'!N150,IF(D343="u",'两日价格与决策'!K150+'两日价格与决策'!M150,'两日价格与决策'!K150))</x:f>
        <x:v>0</x:v>
      </x:c>
      <x:c r="G343" s="18" t="n">
        <x:f>MAX(-F343,0)</x:f>
        <x:v>0</x:v>
      </x:c>
      <x:c r="H343" s="18" t="n">
        <x:f>MAX(F343,0)</x:f>
        <x:v>0</x:v>
      </x:c>
      <x:c r="I343" s="18" t="n">
        <x:f>J342</x:f>
        <x:v>183.32887043478203</x:v>
      </x:c>
      <x:c r="J343" s="18" t="n">
        <x:f>I343+E343*(G343*'原始输入与口径'!$D$5-H343/'原始输入与口径'!$D$5)</x:f>
        <x:v>183.32887043478203</x:v>
      </x:c>
      <x:c r="K343" s="18" t="n">
        <x:v>183.32887043478203</x:v>
      </x:c>
      <x:c r="L343" s="18" t="n">
        <x:v>183.32887043478203</x:v>
      </x:c>
      <x:c r="M343" s="18" t="n">
        <x:f>J343-L343</x:f>
        <x:v>0</x:v>
      </x:c>
      <x:c r="N343" s="18" t="n">
        <x:f>E343*(G343*'原始输入与口径'!$D$5+H343/'原始输入与口径'!$D$5)/'原始输入与口径'!$H$5</x:f>
        <x:v>0</x:v>
      </x:c>
      <x:c r="O343" s="18" t="n">
        <x:v>0</x:v>
      </x:c>
      <x:c r="P343" s="18" t="n">
        <x:f>N343-O343</x:f>
        <x:v>0</x:v>
      </x:c>
      <x:c r="Q343" s="18" t="n">
        <x:f>E343*G343</x:f>
        <x:v>0</x:v>
      </x:c>
      <x:c r="R343" s="18" t="n">
        <x:f>E343*H343</x:f>
        <x:v>0</x:v>
      </x:c>
      <x:c r="S343" s="2" t="n">
        <x:v>144</x:v>
      </x:c>
    </x:row>
    <x:row r="344" ht="21" customHeight="1">
      <x:c r="A344" s="36" t="n">
        <x:v>45659.5</x:v>
      </x:c>
      <x:c r="B344" s="36" t="n">
        <x:v>45659.50103791666</x:v>
      </x:c>
      <x:c r="C344" s="36" t="n">
        <x:v>45659.5</x:v>
      </x:c>
      <x:c r="D344" s="2" t="str">
        <x:v>d</x:v>
      </x:c>
      <x:c r="E344" s="18" t="n">
        <x:v>0.02491</x:v>
      </x:c>
      <x:c r="F344" s="18" t="n">
        <x:f>IF(D344="d",'两日价格与决策'!K151-'两日价格与决策'!N151,IF(D344="u",'两日价格与决策'!K151+'两日价格与决策'!M151,'两日价格与决策'!K151))</x:f>
        <x:v>-100</x:v>
      </x:c>
      <x:c r="G344" s="18" t="n">
        <x:f>MAX(-F344,0)</x:f>
        <x:v>100</x:v>
      </x:c>
      <x:c r="H344" s="18" t="n">
        <x:f>MAX(F344,0)</x:f>
        <x:v>0</x:v>
      </x:c>
      <x:c r="I344" s="18" t="n">
        <x:f>J343</x:f>
        <x:v>183.32887043478203</x:v>
      </x:c>
      <x:c r="J344" s="18" t="n">
        <x:f>I344+E344*(G344*'原始输入与口径'!$D$5-H344/'原始输入与口径'!$D$5)</x:f>
        <x:v>185.62059043478203</x:v>
      </x:c>
      <x:c r="K344" s="18" t="n">
        <x:v>183.32887043478203</x:v>
      </x:c>
      <x:c r="L344" s="18" t="n">
        <x:v>185.62059043478203</x:v>
      </x:c>
      <x:c r="M344" s="18" t="n">
        <x:f>J344-L344</x:f>
        <x:v>0</x:v>
      </x:c>
      <x:c r="N344" s="18" t="n">
        <x:f>E344*(G344*'原始输入与口径'!$D$5+H344/'原始输入与口径'!$D$5)/'原始输入与口径'!$H$5</x:f>
        <x:v>0.00636588888888889</x:v>
      </x:c>
      <x:c r="O344" s="18" t="n">
        <x:v>0.00636588888888889</x:v>
      </x:c>
      <x:c r="P344" s="18" t="n">
        <x:f>N344-O344</x:f>
        <x:v>0</x:v>
      </x:c>
      <x:c r="Q344" s="18" t="n">
        <x:f>E344*G344</x:f>
        <x:v>2.491</x:v>
      </x:c>
      <x:c r="R344" s="18" t="n">
        <x:f>E344*H344</x:f>
        <x:v>0</x:v>
      </x:c>
      <x:c r="S344" s="2" t="n">
        <x:v>145</x:v>
      </x:c>
    </x:row>
    <x:row r="345" ht="21" customHeight="1">
      <x:c r="A345" s="36" t="n">
        <x:v>45659.50103791666</x:v>
      </x:c>
      <x:c r="B345" s="36" t="n">
        <x:v>45659.510416666664</x:v>
      </x:c>
      <x:c r="C345" s="36" t="n">
        <x:v>45659.5</x:v>
      </x:c>
      <x:c r="D345" s="2" t="str">
        <x:v>0</x:v>
      </x:c>
      <x:c r="E345" s="18" t="n">
        <x:v>0.22509</x:v>
      </x:c>
      <x:c r="F345" s="18" t="n">
        <x:f>IF(D345="d",'两日价格与决策'!K151-'两日价格与决策'!N151,IF(D345="u",'两日价格与决策'!K151+'两日价格与决策'!M151,'两日价格与决策'!K151))</x:f>
        <x:v>0</x:v>
      </x:c>
      <x:c r="G345" s="18" t="n">
        <x:f>MAX(-F345,0)</x:f>
        <x:v>0</x:v>
      </x:c>
      <x:c r="H345" s="18" t="n">
        <x:f>MAX(F345,0)</x:f>
        <x:v>0</x:v>
      </x:c>
      <x:c r="I345" s="18" t="n">
        <x:f>J344</x:f>
        <x:v>185.62059043478203</x:v>
      </x:c>
      <x:c r="J345" s="18" t="n">
        <x:f>I345+E345*(G345*'原始输入与口径'!$D$5-H345/'原始输入与口径'!$D$5)</x:f>
        <x:v>185.62059043478203</x:v>
      </x:c>
      <x:c r="K345" s="18" t="n">
        <x:v>185.62059043478203</x:v>
      </x:c>
      <x:c r="L345" s="18" t="n">
        <x:v>185.62059043478203</x:v>
      </x:c>
      <x:c r="M345" s="18" t="n">
        <x:f>J345-L345</x:f>
        <x:v>0</x:v>
      </x:c>
      <x:c r="N345" s="18" t="n">
        <x:f>E345*(G345*'原始输入与口径'!$D$5+H345/'原始输入与口径'!$D$5)/'原始输入与口径'!$H$5</x:f>
        <x:v>0</x:v>
      </x:c>
      <x:c r="O345" s="18" t="n">
        <x:v>0</x:v>
      </x:c>
      <x:c r="P345" s="18" t="n">
        <x:f>N345-O345</x:f>
        <x:v>0</x:v>
      </x:c>
      <x:c r="Q345" s="18" t="n">
        <x:f>E345*G345</x:f>
        <x:v>0</x:v>
      </x:c>
      <x:c r="R345" s="18" t="n">
        <x:f>E345*H345</x:f>
        <x:v>0</x:v>
      </x:c>
      <x:c r="S345" s="2" t="n">
        <x:v>145</x:v>
      </x:c>
    </x:row>
    <x:row r="346" ht="21" customHeight="1">
      <x:c r="A346" s="36" t="n">
        <x:v>45659.510416666664</x:v>
      </x:c>
      <x:c r="B346" s="36" t="n">
        <x:v>45659.510783541664</x:v>
      </x:c>
      <x:c r="C346" s="36" t="n">
        <x:v>45659.510416666664</x:v>
      </x:c>
      <x:c r="D346" s="2" t="str">
        <x:v>d</x:v>
      </x:c>
      <x:c r="E346" s="18" t="n">
        <x:v>0.008805</x:v>
      </x:c>
      <x:c r="F346" s="18" t="n">
        <x:f>IF(D346="d",'两日价格与决策'!K152-'两日价格与决策'!N152,IF(D346="u",'两日价格与决策'!K152+'两日价格与决策'!M152,'两日价格与决策'!K152))</x:f>
        <x:v>-100</x:v>
      </x:c>
      <x:c r="G346" s="18" t="n">
        <x:f>MAX(-F346,0)</x:f>
        <x:v>100</x:v>
      </x:c>
      <x:c r="H346" s="18" t="n">
        <x:f>MAX(F346,0)</x:f>
        <x:v>0</x:v>
      </x:c>
      <x:c r="I346" s="18" t="n">
        <x:f>J345</x:f>
        <x:v>185.62059043478203</x:v>
      </x:c>
      <x:c r="J346" s="18" t="n">
        <x:f>I346+E346*(G346*'原始输入与口径'!$D$5-H346/'原始输入与口径'!$D$5)</x:f>
        <x:v>186.43065043478202</x:v>
      </x:c>
      <x:c r="K346" s="18" t="n">
        <x:v>185.62059043478203</x:v>
      </x:c>
      <x:c r="L346" s="18" t="n">
        <x:v>186.43065043478202</x:v>
      </x:c>
      <x:c r="M346" s="18" t="n">
        <x:f>J346-L346</x:f>
        <x:v>0</x:v>
      </x:c>
      <x:c r="N346" s="18" t="n">
        <x:f>E346*(G346*'原始输入与口径'!$D$5+H346/'原始输入与口径'!$D$5)/'原始输入与口径'!$H$5</x:f>
        <x:v>0.002250166666666667</x:v>
      </x:c>
      <x:c r="O346" s="18" t="n">
        <x:v>0.002250166666666667</x:v>
      </x:c>
      <x:c r="P346" s="18" t="n">
        <x:f>N346-O346</x:f>
        <x:v>0</x:v>
      </x:c>
      <x:c r="Q346" s="18" t="n">
        <x:f>E346*G346</x:f>
        <x:v>0.8805000000000001</x:v>
      </x:c>
      <x:c r="R346" s="18" t="n">
        <x:f>E346*H346</x:f>
        <x:v>0</x:v>
      </x:c>
      <x:c r="S346" s="2" t="n">
        <x:v>146</x:v>
      </x:c>
    </x:row>
    <x:row r="347" ht="21" customHeight="1">
      <x:c r="A347" s="36" t="n">
        <x:v>45659.510783541664</x:v>
      </x:c>
      <x:c r="B347" s="36" t="n">
        <x:v>45659.51078416666</x:v>
      </x:c>
      <x:c r="C347" s="36" t="n">
        <x:v>45659.510416666664</x:v>
      </x:c>
      <x:c r="D347" s="2" t="str">
        <x:v>u</x:v>
      </x:c>
      <x:c r="E347" s="18" t="n">
        <x:v>0.000015</x:v>
      </x:c>
      <x:c r="F347" s="18" t="n">
        <x:f>IF(D347="d",'两日价格与决策'!K152-'两日价格与决策'!N152,IF(D347="u",'两日价格与决策'!K152+'两日价格与决策'!M152,'两日价格与决策'!K152))</x:f>
        <x:v>100</x:v>
      </x:c>
      <x:c r="G347" s="18" t="n">
        <x:f>MAX(-F347,0)</x:f>
        <x:v>0</x:v>
      </x:c>
      <x:c r="H347" s="18" t="n">
        <x:f>MAX(F347,0)</x:f>
        <x:v>100</x:v>
      </x:c>
      <x:c r="I347" s="18" t="n">
        <x:f>J346</x:f>
        <x:v>186.43065043478202</x:v>
      </x:c>
      <x:c r="J347" s="18" t="n">
        <x:f>I347+E347*(G347*'原始输入与口径'!$D$5-H347/'原始输入与口径'!$D$5)</x:f>
        <x:v>186.4290199999994</x:v>
      </x:c>
      <x:c r="K347" s="18" t="n">
        <x:v>186.43065043478202</x:v>
      </x:c>
      <x:c r="L347" s="18" t="n">
        <x:v>186.4290199999994</x:v>
      </x:c>
      <x:c r="M347" s="18" t="n">
        <x:f>J347-L347</x:f>
        <x:v>0</x:v>
      </x:c>
      <x:c r="N347" s="18" t="n">
        <x:f>E347*(G347*'原始输入与口径'!$D$5+H347/'原始输入与口径'!$D$5)/'原始输入与口径'!$H$5</x:f>
        <x:v>0.000004528985507246377</x:v>
      </x:c>
      <x:c r="O347" s="18" t="n">
        <x:v>0.000004528985507246377</x:v>
      </x:c>
      <x:c r="P347" s="18" t="n">
        <x:f>N347-O347</x:f>
        <x:v>0</x:v>
      </x:c>
      <x:c r="Q347" s="18" t="n">
        <x:f>E347*G347</x:f>
        <x:v>0</x:v>
      </x:c>
      <x:c r="R347" s="18" t="n">
        <x:f>E347*H347</x:f>
        <x:v>0.0015</x:v>
      </x:c>
      <x:c r="S347" s="2" t="n">
        <x:v>146</x:v>
      </x:c>
    </x:row>
    <x:row r="348" ht="21" customHeight="1">
      <x:c r="A348" s="36" t="n">
        <x:v>45659.51078416666</x:v>
      </x:c>
      <x:c r="B348" s="36" t="n">
        <x:v>45659.52083333333</x:v>
      </x:c>
      <x:c r="C348" s="36" t="n">
        <x:v>45659.510416666664</x:v>
      </x:c>
      <x:c r="D348" s="2" t="str">
        <x:v>0</x:v>
      </x:c>
      <x:c r="E348" s="18" t="n">
        <x:v>0.24118</x:v>
      </x:c>
      <x:c r="F348" s="18" t="n">
        <x:f>IF(D348="d",'两日价格与决策'!K152-'两日价格与决策'!N152,IF(D348="u",'两日价格与决策'!K152+'两日价格与决策'!M152,'两日价格与决策'!K152))</x:f>
        <x:v>0</x:v>
      </x:c>
      <x:c r="G348" s="18" t="n">
        <x:f>MAX(-F348,0)</x:f>
        <x:v>0</x:v>
      </x:c>
      <x:c r="H348" s="18" t="n">
        <x:f>MAX(F348,0)</x:f>
        <x:v>0</x:v>
      </x:c>
      <x:c r="I348" s="18" t="n">
        <x:f>J347</x:f>
        <x:v>186.4290199999994</x:v>
      </x:c>
      <x:c r="J348" s="18" t="n">
        <x:f>I348+E348*(G348*'原始输入与口径'!$D$5-H348/'原始输入与口径'!$D$5)</x:f>
        <x:v>186.4290199999994</x:v>
      </x:c>
      <x:c r="K348" s="18" t="n">
        <x:v>186.4290199999994</x:v>
      </x:c>
      <x:c r="L348" s="18" t="n">
        <x:v>186.4290199999994</x:v>
      </x:c>
      <x:c r="M348" s="18" t="n">
        <x:f>J348-L348</x:f>
        <x:v>0</x:v>
      </x:c>
      <x:c r="N348" s="18" t="n">
        <x:f>E348*(G348*'原始输入与口径'!$D$5+H348/'原始输入与口径'!$D$5)/'原始输入与口径'!$H$5</x:f>
        <x:v>0</x:v>
      </x:c>
      <x:c r="O348" s="18" t="n">
        <x:v>0</x:v>
      </x:c>
      <x:c r="P348" s="18" t="n">
        <x:f>N348-O348</x:f>
        <x:v>0</x:v>
      </x:c>
      <x:c r="Q348" s="18" t="n">
        <x:f>E348*G348</x:f>
        <x:v>0</x:v>
      </x:c>
      <x:c r="R348" s="18" t="n">
        <x:f>E348*H348</x:f>
        <x:v>0</x:v>
      </x:c>
      <x:c r="S348" s="2" t="n">
        <x:v>146</x:v>
      </x:c>
    </x:row>
    <x:row r="349" ht="21" customHeight="1">
      <x:c r="A349" s="36" t="n">
        <x:v>45659.520833333336</x:v>
      </x:c>
      <x:c r="B349" s="36" t="n">
        <x:v>45659.522285833336</x:v>
      </x:c>
      <x:c r="C349" s="36" t="n">
        <x:v>45659.520833333336</x:v>
      </x:c>
      <x:c r="D349" s="2" t="str">
        <x:v>d</x:v>
      </x:c>
      <x:c r="E349" s="18" t="n">
        <x:v>0.03486</x:v>
      </x:c>
      <x:c r="F349" s="18" t="n">
        <x:f>IF(D349="d",'两日价格与决策'!K153-'两日价格与决策'!N153,IF(D349="u",'两日价格与决策'!K153+'两日价格与决策'!M153,'两日价格与决策'!K153))</x:f>
        <x:v>-100</x:v>
      </x:c>
      <x:c r="G349" s="18" t="n">
        <x:f>MAX(-F349,0)</x:f>
        <x:v>100</x:v>
      </x:c>
      <x:c r="H349" s="18" t="n">
        <x:f>MAX(F349,0)</x:f>
        <x:v>0</x:v>
      </x:c>
      <x:c r="I349" s="18" t="n">
        <x:f>J348</x:f>
        <x:v>186.4290199999994</x:v>
      </x:c>
      <x:c r="J349" s="18" t="n">
        <x:f>I349+E349*(G349*'原始输入与口径'!$D$5-H349/'原始输入与口径'!$D$5)</x:f>
        <x:v>189.63613999999941</x:v>
      </x:c>
      <x:c r="K349" s="18" t="n">
        <x:v>186.4290199999994</x:v>
      </x:c>
      <x:c r="L349" s="18" t="n">
        <x:v>189.63613999999941</x:v>
      </x:c>
      <x:c r="M349" s="18" t="n">
        <x:f>J349-L349</x:f>
        <x:v>0</x:v>
      </x:c>
      <x:c r="N349" s="18" t="n">
        <x:f>E349*(G349*'原始输入与口径'!$D$5+H349/'原始输入与口径'!$D$5)/'原始输入与口径'!$H$5</x:f>
        <x:v>0.008908666666666667</x:v>
      </x:c>
      <x:c r="O349" s="18" t="n">
        <x:v>0.008908666666666667</x:v>
      </x:c>
      <x:c r="P349" s="18" t="n">
        <x:f>N349-O349</x:f>
        <x:v>0</x:v>
      </x:c>
      <x:c r="Q349" s="18" t="n">
        <x:f>E349*G349</x:f>
        <x:v>3.486</x:v>
      </x:c>
      <x:c r="R349" s="18" t="n">
        <x:f>E349*H349</x:f>
        <x:v>0</x:v>
      </x:c>
      <x:c r="S349" s="2" t="n">
        <x:v>147</x:v>
      </x:c>
    </x:row>
    <x:row r="350" ht="21" customHeight="1">
      <x:c r="A350" s="36" t="n">
        <x:v>45659.522285833336</x:v>
      </x:c>
      <x:c r="B350" s="36" t="n">
        <x:v>45659.53125</x:v>
      </x:c>
      <x:c r="C350" s="36" t="n">
        <x:v>45659.520833333336</x:v>
      </x:c>
      <x:c r="D350" s="2" t="str">
        <x:v>0</x:v>
      </x:c>
      <x:c r="E350" s="18" t="n">
        <x:v>0.21514</x:v>
      </x:c>
      <x:c r="F350" s="18" t="n">
        <x:f>IF(D350="d",'两日价格与决策'!K153-'两日价格与决策'!N153,IF(D350="u",'两日价格与决策'!K153+'两日价格与决策'!M153,'两日价格与决策'!K153))</x:f>
        <x:v>0</x:v>
      </x:c>
      <x:c r="G350" s="18" t="n">
        <x:f>MAX(-F350,0)</x:f>
        <x:v>0</x:v>
      </x:c>
      <x:c r="H350" s="18" t="n">
        <x:f>MAX(F350,0)</x:f>
        <x:v>0</x:v>
      </x:c>
      <x:c r="I350" s="18" t="n">
        <x:f>J349</x:f>
        <x:v>189.63613999999941</x:v>
      </x:c>
      <x:c r="J350" s="18" t="n">
        <x:f>I350+E350*(G350*'原始输入与口径'!$D$5-H350/'原始输入与口径'!$D$5)</x:f>
        <x:v>189.63613999999941</x:v>
      </x:c>
      <x:c r="K350" s="18" t="n">
        <x:v>189.63613999999941</x:v>
      </x:c>
      <x:c r="L350" s="18" t="n">
        <x:v>189.63613999999941</x:v>
      </x:c>
      <x:c r="M350" s="18" t="n">
        <x:f>J350-L350</x:f>
        <x:v>0</x:v>
      </x:c>
      <x:c r="N350" s="18" t="n">
        <x:f>E350*(G350*'原始输入与口径'!$D$5+H350/'原始输入与口径'!$D$5)/'原始输入与口径'!$H$5</x:f>
        <x:v>0</x:v>
      </x:c>
      <x:c r="O350" s="18" t="n">
        <x:v>0</x:v>
      </x:c>
      <x:c r="P350" s="18" t="n">
        <x:f>N350-O350</x:f>
        <x:v>0</x:v>
      </x:c>
      <x:c r="Q350" s="18" t="n">
        <x:f>E350*G350</x:f>
        <x:v>0</x:v>
      </x:c>
      <x:c r="R350" s="18" t="n">
        <x:f>E350*H350</x:f>
        <x:v>0</x:v>
      </x:c>
      <x:c r="S350" s="2" t="n">
        <x:v>147</x:v>
      </x:c>
    </x:row>
    <x:row r="351" ht="21" customHeight="1">
      <x:c r="A351" s="36" t="n">
        <x:v>45659.53125</x:v>
      </x:c>
      <x:c r="B351" s="36" t="n">
        <x:v>45659.531414791665</x:v>
      </x:c>
      <x:c r="C351" s="36" t="n">
        <x:v>45659.53125</x:v>
      </x:c>
      <x:c r="D351" s="2" t="str">
        <x:v>d</x:v>
      </x:c>
      <x:c r="E351" s="18" t="n">
        <x:v>0.003955</x:v>
      </x:c>
      <x:c r="F351" s="18" t="n">
        <x:f>IF(D351="d",'两日价格与决策'!K154-'两日价格与决策'!N154,IF(D351="u",'两日价格与决策'!K154+'两日价格与决策'!M154,'两日价格与决策'!K154))</x:f>
        <x:v>-100</x:v>
      </x:c>
      <x:c r="G351" s="18" t="n">
        <x:f>MAX(-F351,0)</x:f>
        <x:v>100</x:v>
      </x:c>
      <x:c r="H351" s="18" t="n">
        <x:f>MAX(F351,0)</x:f>
        <x:v>0</x:v>
      </x:c>
      <x:c r="I351" s="18" t="n">
        <x:f>J350</x:f>
        <x:v>189.63613999999941</x:v>
      </x:c>
      <x:c r="J351" s="18" t="n">
        <x:f>I351+E351*(G351*'原始输入与口径'!$D$5-H351/'原始输入与口径'!$D$5)</x:f>
        <x:v>189.9999999999994</x:v>
      </x:c>
      <x:c r="K351" s="18" t="n">
        <x:v>189.63613999999941</x:v>
      </x:c>
      <x:c r="L351" s="18" t="n">
        <x:v>189.9999999999994</x:v>
      </x:c>
      <x:c r="M351" s="18" t="n">
        <x:f>J351-L351</x:f>
        <x:v>0</x:v>
      </x:c>
      <x:c r="N351" s="18" t="n">
        <x:f>E351*(G351*'原始输入与口径'!$D$5+H351/'原始输入与口径'!$D$5)/'原始输入与口径'!$H$5</x:f>
        <x:v>0.0010107222222222223</x:v>
      </x:c>
      <x:c r="O351" s="18" t="n">
        <x:v>0.0010107222222222223</x:v>
      </x:c>
      <x:c r="P351" s="18" t="n">
        <x:f>N351-O351</x:f>
        <x:v>0</x:v>
      </x:c>
      <x:c r="Q351" s="18" t="n">
        <x:f>E351*G351</x:f>
        <x:v>0.3955</x:v>
      </x:c>
      <x:c r="R351" s="18" t="n">
        <x:f>E351*H351</x:f>
        <x:v>0</x:v>
      </x:c>
      <x:c r="S351" s="2" t="n">
        <x:v>148</x:v>
      </x:c>
    </x:row>
    <x:row r="352" ht="21" customHeight="1">
      <x:c r="A352" s="36" t="n">
        <x:v>45659.531414791665</x:v>
      </x:c>
      <x:c r="B352" s="36" t="n">
        <x:v>45659.53157416666</x:v>
      </x:c>
      <x:c r="C352" s="36" t="n">
        <x:v>45659.53125</x:v>
      </x:c>
      <x:c r="D352" s="2" t="str">
        <x:v>u</x:v>
      </x:c>
      <x:c r="E352" s="18" t="n">
        <x:v>0.0038250000000000003</x:v>
      </x:c>
      <x:c r="F352" s="18" t="n">
        <x:f>IF(D352="d",'两日价格与决策'!K154-'两日价格与决策'!N154,IF(D352="u",'两日价格与决策'!K154+'两日价格与决策'!M154,'两日价格与决策'!K154))</x:f>
        <x:v>100</x:v>
      </x:c>
      <x:c r="G352" s="18" t="n">
        <x:f>MAX(-F352,0)</x:f>
        <x:v>0</x:v>
      </x:c>
      <x:c r="H352" s="18" t="n">
        <x:f>MAX(F352,0)</x:f>
        <x:v>100</x:v>
      </x:c>
      <x:c r="I352" s="18" t="n">
        <x:f>J351</x:f>
        <x:v>189.9999999999994</x:v>
      </x:c>
      <x:c r="J352" s="18" t="n">
        <x:f>I352+E352*(G352*'原始输入与口径'!$D$5-H352/'原始输入与口径'!$D$5)</x:f>
        <x:v>189.58423913043418</x:v>
      </x:c>
      <x:c r="K352" s="18" t="n">
        <x:v>189.9999999999994</x:v>
      </x:c>
      <x:c r="L352" s="18" t="n">
        <x:v>189.58423913043418</x:v>
      </x:c>
      <x:c r="M352" s="18" t="n">
        <x:f>J352-L352</x:f>
        <x:v>0</x:v>
      </x:c>
      <x:c r="N352" s="18" t="n">
        <x:f>E352*(G352*'原始输入与口径'!$D$5+H352/'原始输入与口径'!$D$5)/'原始输入与口径'!$H$5</x:f>
        <x:v>0.0011548913043478261</x:v>
      </x:c>
      <x:c r="O352" s="18" t="n">
        <x:v>0.0011548913043478261</x:v>
      </x:c>
      <x:c r="P352" s="18" t="n">
        <x:f>N352-O352</x:f>
        <x:v>0</x:v>
      </x:c>
      <x:c r="Q352" s="18" t="n">
        <x:f>E352*G352</x:f>
        <x:v>0</x:v>
      </x:c>
      <x:c r="R352" s="18" t="n">
        <x:f>E352*H352</x:f>
        <x:v>0.3825</x:v>
      </x:c>
      <x:c r="S352" s="2" t="n">
        <x:v>148</x:v>
      </x:c>
    </x:row>
    <x:row r="353" ht="21" customHeight="1">
      <x:c r="A353" s="36" t="n">
        <x:v>45659.53157416666</x:v>
      </x:c>
      <x:c r="B353" s="36" t="n">
        <x:v>45659.541666666664</x:v>
      </x:c>
      <x:c r="C353" s="36" t="n">
        <x:v>45659.53125</x:v>
      </x:c>
      <x:c r="D353" s="2" t="str">
        <x:v>0</x:v>
      </x:c>
      <x:c r="E353" s="18" t="n">
        <x:v>0.24222</x:v>
      </x:c>
      <x:c r="F353" s="18" t="n">
        <x:f>IF(D353="d",'两日价格与决策'!K154-'两日价格与决策'!N154,IF(D353="u",'两日价格与决策'!K154+'两日价格与决策'!M154,'两日价格与决策'!K154))</x:f>
        <x:v>0</x:v>
      </x:c>
      <x:c r="G353" s="18" t="n">
        <x:f>MAX(-F353,0)</x:f>
        <x:v>0</x:v>
      </x:c>
      <x:c r="H353" s="18" t="n">
        <x:f>MAX(F353,0)</x:f>
        <x:v>0</x:v>
      </x:c>
      <x:c r="I353" s="18" t="n">
        <x:f>J352</x:f>
        <x:v>189.58423913043418</x:v>
      </x:c>
      <x:c r="J353" s="18" t="n">
        <x:f>I353+E353*(G353*'原始输入与口径'!$D$5-H353/'原始输入与口径'!$D$5)</x:f>
        <x:v>189.58423913043418</x:v>
      </x:c>
      <x:c r="K353" s="18" t="n">
        <x:v>189.58423913043418</x:v>
      </x:c>
      <x:c r="L353" s="18" t="n">
        <x:v>189.58423913043418</x:v>
      </x:c>
      <x:c r="M353" s="18" t="n">
        <x:f>J353-L353</x:f>
        <x:v>0</x:v>
      </x:c>
      <x:c r="N353" s="18" t="n">
        <x:f>E353*(G353*'原始输入与口径'!$D$5+H353/'原始输入与口径'!$D$5)/'原始输入与口径'!$H$5</x:f>
        <x:v>0</x:v>
      </x:c>
      <x:c r="O353" s="18" t="n">
        <x:v>0</x:v>
      </x:c>
      <x:c r="P353" s="18" t="n">
        <x:f>N353-O353</x:f>
        <x:v>0</x:v>
      </x:c>
      <x:c r="Q353" s="18" t="n">
        <x:f>E353*G353</x:f>
        <x:v>0</x:v>
      </x:c>
      <x:c r="R353" s="18" t="n">
        <x:f>E353*H353</x:f>
        <x:v>0</x:v>
      </x:c>
      <x:c r="S353" s="2" t="n">
        <x:v>148</x:v>
      </x:c>
    </x:row>
    <x:row r="354" ht="21" customHeight="1">
      <x:c r="A354" s="36" t="n">
        <x:v>45659.541666666664</x:v>
      </x:c>
      <x:c r="B354" s="36" t="n">
        <x:v>45659.544955624995</x:v>
      </x:c>
      <x:c r="C354" s="36" t="n">
        <x:v>45659.541666666664</x:v>
      </x:c>
      <x:c r="D354" s="2" t="str">
        <x:v>u</x:v>
      </x:c>
      <x:c r="E354" s="18" t="n">
        <x:v>0.078935</x:v>
      </x:c>
      <x:c r="F354" s="18" t="n">
        <x:f>IF(D354="d",'两日价格与决策'!K155-'两日价格与决策'!N155,IF(D354="u",'两日价格与决策'!K155+'两日价格与决策'!M155,'两日价格与决策'!K155))</x:f>
        <x:v>100</x:v>
      </x:c>
      <x:c r="G354" s="18" t="n">
        <x:f>MAX(-F354,0)</x:f>
        <x:v>0</x:v>
      </x:c>
      <x:c r="H354" s="18" t="n">
        <x:f>MAX(F354,0)</x:f>
        <x:v>100</x:v>
      </x:c>
      <x:c r="I354" s="18" t="n">
        <x:f>J353</x:f>
        <x:v>189.58423913043418</x:v>
      </x:c>
      <x:c r="J354" s="18" t="n">
        <x:f>I354+E354*(G354*'原始输入与口径'!$D$5-H354/'原始输入与口径'!$D$5)</x:f>
        <x:v>181.00434782608636</x:v>
      </x:c>
      <x:c r="K354" s="18" t="n">
        <x:v>189.58423913043418</x:v>
      </x:c>
      <x:c r="L354" s="18" t="n">
        <x:v>181.00434782608636</x:v>
      </x:c>
      <x:c r="M354" s="18" t="n">
        <x:f>J354-L354</x:f>
        <x:v>0</x:v>
      </x:c>
      <x:c r="N354" s="18" t="n">
        <x:f>E354*(G354*'原始输入与口径'!$D$5+H354/'原始输入与口径'!$D$5)/'原始输入与口径'!$H$5</x:f>
        <x:v>0.02383303140096618</x:v>
      </x:c>
      <x:c r="O354" s="18" t="n">
        <x:v>0.023833031400966185</x:v>
      </x:c>
      <x:c r="P354" s="18" t="n">
        <x:f>N354-O354</x:f>
        <x:v>-3.469446951953614e-18</x:v>
      </x:c>
      <x:c r="Q354" s="18" t="n">
        <x:f>E354*G354</x:f>
        <x:v>0</x:v>
      </x:c>
      <x:c r="R354" s="18" t="n">
        <x:f>E354*H354</x:f>
        <x:v>7.8935</x:v>
      </x:c>
      <x:c r="S354" s="2" t="n">
        <x:v>149</x:v>
      </x:c>
    </x:row>
    <x:row r="355" ht="21" customHeight="1">
      <x:c r="A355" s="36" t="n">
        <x:v>45659.544955624995</x:v>
      </x:c>
      <x:c r="B355" s="36" t="n">
        <x:v>45659.55208333333</x:v>
      </x:c>
      <x:c r="C355" s="36" t="n">
        <x:v>45659.541666666664</x:v>
      </x:c>
      <x:c r="D355" s="2" t="str">
        <x:v>0</x:v>
      </x:c>
      <x:c r="E355" s="18" t="n">
        <x:v>0.171065</x:v>
      </x:c>
      <x:c r="F355" s="18" t="n">
        <x:f>IF(D355="d",'两日价格与决策'!K155-'两日价格与决策'!N155,IF(D355="u",'两日价格与决策'!K155+'两日价格与决策'!M155,'两日价格与决策'!K155))</x:f>
        <x:v>0</x:v>
      </x:c>
      <x:c r="G355" s="18" t="n">
        <x:f>MAX(-F355,0)</x:f>
        <x:v>0</x:v>
      </x:c>
      <x:c r="H355" s="18" t="n">
        <x:f>MAX(F355,0)</x:f>
        <x:v>0</x:v>
      </x:c>
      <x:c r="I355" s="18" t="n">
        <x:f>J354</x:f>
        <x:v>181.00434782608636</x:v>
      </x:c>
      <x:c r="J355" s="18" t="n">
        <x:f>I355+E355*(G355*'原始输入与口径'!$D$5-H355/'原始输入与口径'!$D$5)</x:f>
        <x:v>181.00434782608636</x:v>
      </x:c>
      <x:c r="K355" s="18" t="n">
        <x:v>181.00434782608636</x:v>
      </x:c>
      <x:c r="L355" s="18" t="n">
        <x:v>181.00434782608636</x:v>
      </x:c>
      <x:c r="M355" s="18" t="n">
        <x:f>J355-L355</x:f>
        <x:v>0</x:v>
      </x:c>
      <x:c r="N355" s="18" t="n">
        <x:f>E355*(G355*'原始输入与口径'!$D$5+H355/'原始输入与口径'!$D$5)/'原始输入与口径'!$H$5</x:f>
        <x:v>0</x:v>
      </x:c>
      <x:c r="O355" s="18" t="n">
        <x:v>0</x:v>
      </x:c>
      <x:c r="P355" s="18" t="n">
        <x:f>N355-O355</x:f>
        <x:v>0</x:v>
      </x:c>
      <x:c r="Q355" s="18" t="n">
        <x:f>E355*G355</x:f>
        <x:v>0</x:v>
      </x:c>
      <x:c r="R355" s="18" t="n">
        <x:f>E355*H355</x:f>
        <x:v>0</x:v>
      </x:c>
      <x:c r="S355" s="2" t="n">
        <x:v>149</x:v>
      </x:c>
    </x:row>
    <x:row r="356" ht="21" customHeight="1">
      <x:c r="A356" s="36" t="n">
        <x:v>45659.552083333336</x:v>
      </x:c>
      <x:c r="B356" s="36" t="n">
        <x:v>45659.552883125005</x:v>
      </x:c>
      <x:c r="C356" s="36" t="n">
        <x:v>45659.552083333336</x:v>
      </x:c>
      <x:c r="D356" s="2" t="str">
        <x:v>u</x:v>
      </x:c>
      <x:c r="E356" s="18" t="n">
        <x:v>0.019195</x:v>
      </x:c>
      <x:c r="F356" s="18" t="n">
        <x:f>IF(D356="d",'两日价格与决策'!K156-'两日价格与决策'!N156,IF(D356="u",'两日价格与决策'!K156+'两日价格与决策'!M156,'两日价格与决策'!K156))</x:f>
        <x:v>100</x:v>
      </x:c>
      <x:c r="G356" s="18" t="n">
        <x:f>MAX(-F356,0)</x:f>
        <x:v>0</x:v>
      </x:c>
      <x:c r="H356" s="18" t="n">
        <x:f>MAX(F356,0)</x:f>
        <x:v>100</x:v>
      </x:c>
      <x:c r="I356" s="18" t="n">
        <x:f>J355</x:f>
        <x:v>181.00434782608636</x:v>
      </x:c>
      <x:c r="J356" s="18" t="n">
        <x:f>I356+E356*(G356*'原始输入与口径'!$D$5-H356/'原始输入与口径'!$D$5)</x:f>
        <x:v>178.91793478260809</x:v>
      </x:c>
      <x:c r="K356" s="18" t="n">
        <x:v>181.00434782608636</x:v>
      </x:c>
      <x:c r="L356" s="18" t="n">
        <x:v>178.91793478260809</x:v>
      </x:c>
      <x:c r="M356" s="18" t="n">
        <x:f>J356-L356</x:f>
        <x:v>0</x:v>
      </x:c>
      <x:c r="N356" s="18" t="n">
        <x:f>E356*(G356*'原始输入与口径'!$D$5+H356/'原始输入与口径'!$D$5)/'原始输入与口径'!$H$5</x:f>
        <x:v>0.005795591787439614</x:v>
      </x:c>
      <x:c r="O356" s="18" t="n">
        <x:v>0.005795591787439614</x:v>
      </x:c>
      <x:c r="P356" s="18" t="n">
        <x:f>N356-O356</x:f>
        <x:v>0</x:v>
      </x:c>
      <x:c r="Q356" s="18" t="n">
        <x:f>E356*G356</x:f>
        <x:v>0</x:v>
      </x:c>
      <x:c r="R356" s="18" t="n">
        <x:f>E356*H356</x:f>
        <x:v>1.9195</x:v>
      </x:c>
      <x:c r="S356" s="2" t="n">
        <x:v>150</x:v>
      </x:c>
    </x:row>
    <x:row r="357" ht="21" customHeight="1">
      <x:c r="A357" s="36" t="n">
        <x:v>45659.552883125005</x:v>
      </x:c>
      <x:c r="B357" s="36" t="n">
        <x:v>45659.5625</x:v>
      </x:c>
      <x:c r="C357" s="36" t="n">
        <x:v>45659.552083333336</x:v>
      </x:c>
      <x:c r="D357" s="2" t="str">
        <x:v>0</x:v>
      </x:c>
      <x:c r="E357" s="18" t="n">
        <x:v>0.230805</x:v>
      </x:c>
      <x:c r="F357" s="18" t="n">
        <x:f>IF(D357="d",'两日价格与决策'!K156-'两日价格与决策'!N156,IF(D357="u",'两日价格与决策'!K156+'两日价格与决策'!M156,'两日价格与决策'!K156))</x:f>
        <x:v>0</x:v>
      </x:c>
      <x:c r="G357" s="18" t="n">
        <x:f>MAX(-F357,0)</x:f>
        <x:v>0</x:v>
      </x:c>
      <x:c r="H357" s="18" t="n">
        <x:f>MAX(F357,0)</x:f>
        <x:v>0</x:v>
      </x:c>
      <x:c r="I357" s="18" t="n">
        <x:f>J356</x:f>
        <x:v>178.91793478260809</x:v>
      </x:c>
      <x:c r="J357" s="18" t="n">
        <x:f>I357+E357*(G357*'原始输入与口径'!$D$5-H357/'原始输入与口径'!$D$5)</x:f>
        <x:v>178.91793478260809</x:v>
      </x:c>
      <x:c r="K357" s="18" t="n">
        <x:v>178.91793478260809</x:v>
      </x:c>
      <x:c r="L357" s="18" t="n">
        <x:v>178.91793478260809</x:v>
      </x:c>
      <x:c r="M357" s="18" t="n">
        <x:f>J357-L357</x:f>
        <x:v>0</x:v>
      </x:c>
      <x:c r="N357" s="18" t="n">
        <x:f>E357*(G357*'原始输入与口径'!$D$5+H357/'原始输入与口径'!$D$5)/'原始输入与口径'!$H$5</x:f>
        <x:v>0</x:v>
      </x:c>
      <x:c r="O357" s="18" t="n">
        <x:v>0</x:v>
      </x:c>
      <x:c r="P357" s="18" t="n">
        <x:f>N357-O357</x:f>
        <x:v>0</x:v>
      </x:c>
      <x:c r="Q357" s="18" t="n">
        <x:f>E357*G357</x:f>
        <x:v>0</x:v>
      </x:c>
      <x:c r="R357" s="18" t="n">
        <x:f>E357*H357</x:f>
        <x:v>0</x:v>
      </x:c>
      <x:c r="S357" s="2" t="n">
        <x:v>150</x:v>
      </x:c>
    </x:row>
    <x:row r="358" ht="21" customHeight="1">
      <x:c r="A358" s="36" t="n">
        <x:v>45659.5625</x:v>
      </x:c>
      <x:c r="B358" s="36" t="n">
        <x:v>45659.56263395833</x:v>
      </x:c>
      <x:c r="C358" s="36" t="n">
        <x:v>45659.5625</x:v>
      </x:c>
      <x:c r="D358" s="2" t="str">
        <x:v>u</x:v>
      </x:c>
      <x:c r="E358" s="18" t="n">
        <x:v>0.003215</x:v>
      </x:c>
      <x:c r="F358" s="18" t="n">
        <x:f>IF(D358="d",'两日价格与决策'!K157-'两日价格与决策'!N157,IF(D358="u",'两日价格与决策'!K157+'两日价格与决策'!M157,'两日价格与决策'!K157))</x:f>
        <x:v>100</x:v>
      </x:c>
      <x:c r="G358" s="18" t="n">
        <x:f>MAX(-F358,0)</x:f>
        <x:v>0</x:v>
      </x:c>
      <x:c r="H358" s="18" t="n">
        <x:f>MAX(F358,0)</x:f>
        <x:v>100</x:v>
      </x:c>
      <x:c r="I358" s="18" t="n">
        <x:f>J357</x:f>
        <x:v>178.91793478260809</x:v>
      </x:c>
      <x:c r="J358" s="18" t="n">
        <x:f>I358+E358*(G358*'原始输入与口径'!$D$5-H358/'原始输入与口径'!$D$5)</x:f>
        <x:v>178.56847826086894</x:v>
      </x:c>
      <x:c r="K358" s="18" t="n">
        <x:v>178.91793478260809</x:v>
      </x:c>
      <x:c r="L358" s="18" t="n">
        <x:v>178.56847826086894</x:v>
      </x:c>
      <x:c r="M358" s="18" t="n">
        <x:f>J358-L358</x:f>
        <x:v>0</x:v>
      </x:c>
      <x:c r="N358" s="18" t="n">
        <x:f>E358*(G358*'原始输入与口径'!$D$5+H358/'原始输入与口径'!$D$5)/'原始输入与口径'!$H$5</x:f>
        <x:v>0.0009707125603864733</x:v>
      </x:c>
      <x:c r="O358" s="18" t="n">
        <x:v>0.0009707125603864734</x:v>
      </x:c>
      <x:c r="P358" s="18" t="n">
        <x:f>N358-O358</x:f>
        <x:v>-1.0842021724855044e-19</x:v>
      </x:c>
      <x:c r="Q358" s="18" t="n">
        <x:f>E358*G358</x:f>
        <x:v>0</x:v>
      </x:c>
      <x:c r="R358" s="18" t="n">
        <x:f>E358*H358</x:f>
        <x:v>0.3215</x:v>
      </x:c>
      <x:c r="S358" s="2" t="n">
        <x:v>151</x:v>
      </x:c>
    </x:row>
    <x:row r="359" ht="21" customHeight="1">
      <x:c r="A359" s="36" t="n">
        <x:v>45659.56263395833</x:v>
      </x:c>
      <x:c r="B359" s="36" t="n">
        <x:v>45659.572916666664</x:v>
      </x:c>
      <x:c r="C359" s="36" t="n">
        <x:v>45659.5625</x:v>
      </x:c>
      <x:c r="D359" s="2" t="str">
        <x:v>0</x:v>
      </x:c>
      <x:c r="E359" s="18" t="n">
        <x:v>0.246785</x:v>
      </x:c>
      <x:c r="F359" s="18" t="n">
        <x:f>IF(D359="d",'两日价格与决策'!K157-'两日价格与决策'!N157,IF(D359="u",'两日价格与决策'!K157+'两日价格与决策'!M157,'两日价格与决策'!K157))</x:f>
        <x:v>0</x:v>
      </x:c>
      <x:c r="G359" s="18" t="n">
        <x:f>MAX(-F359,0)</x:f>
        <x:v>0</x:v>
      </x:c>
      <x:c r="H359" s="18" t="n">
        <x:f>MAX(F359,0)</x:f>
        <x:v>0</x:v>
      </x:c>
      <x:c r="I359" s="18" t="n">
        <x:f>J358</x:f>
        <x:v>178.56847826086894</x:v>
      </x:c>
      <x:c r="J359" s="18" t="n">
        <x:f>I359+E359*(G359*'原始输入与口径'!$D$5-H359/'原始输入与口径'!$D$5)</x:f>
        <x:v>178.56847826086894</x:v>
      </x:c>
      <x:c r="K359" s="18" t="n">
        <x:v>178.56847826086894</x:v>
      </x:c>
      <x:c r="L359" s="18" t="n">
        <x:v>178.56847826086894</x:v>
      </x:c>
      <x:c r="M359" s="18" t="n">
        <x:f>J359-L359</x:f>
        <x:v>0</x:v>
      </x:c>
      <x:c r="N359" s="18" t="n">
        <x:f>E359*(G359*'原始输入与口径'!$D$5+H359/'原始输入与口径'!$D$5)/'原始输入与口径'!$H$5</x:f>
        <x:v>0</x:v>
      </x:c>
      <x:c r="O359" s="18" t="n">
        <x:v>0</x:v>
      </x:c>
      <x:c r="P359" s="18" t="n">
        <x:f>N359-O359</x:f>
        <x:v>0</x:v>
      </x:c>
      <x:c r="Q359" s="18" t="n">
        <x:f>E359*G359</x:f>
        <x:v>0</x:v>
      </x:c>
      <x:c r="R359" s="18" t="n">
        <x:f>E359*H359</x:f>
        <x:v>0</x:v>
      </x:c>
      <x:c r="S359" s="2" t="n">
        <x:v>151</x:v>
      </x:c>
    </x:row>
    <x:row r="360" ht="21" customHeight="1">
      <x:c r="A360" s="36" t="n">
        <x:v>45659.572916666664</x:v>
      </x:c>
      <x:c r="B360" s="36" t="n">
        <x:v>45659.57296041666</x:v>
      </x:c>
      <x:c r="C360" s="36" t="n">
        <x:v>45659.572916666664</x:v>
      </x:c>
      <x:c r="D360" s="2" t="str">
        <x:v>d</x:v>
      </x:c>
      <x:c r="E360" s="18" t="n">
        <x:v>0.00105</x:v>
      </x:c>
      <x:c r="F360" s="18" t="n">
        <x:f>IF(D360="d",'两日价格与决策'!K158-'两日价格与决策'!N158,IF(D360="u",'两日价格与决策'!K158+'两日价格与决策'!M158,'两日价格与决策'!K158))</x:f>
        <x:v>-100</x:v>
      </x:c>
      <x:c r="G360" s="18" t="n">
        <x:f>MAX(-F360,0)</x:f>
        <x:v>100</x:v>
      </x:c>
      <x:c r="H360" s="18" t="n">
        <x:f>MAX(F360,0)</x:f>
        <x:v>0</x:v>
      </x:c>
      <x:c r="I360" s="18" t="n">
        <x:f>J359</x:f>
        <x:v>178.56847826086894</x:v>
      </x:c>
      <x:c r="J360" s="18" t="n">
        <x:f>I360+E360*(G360*'原始输入与口径'!$D$5-H360/'原始输入与口径'!$D$5)</x:f>
        <x:v>178.66507826086894</x:v>
      </x:c>
      <x:c r="K360" s="18" t="n">
        <x:v>178.56847826086894</x:v>
      </x:c>
      <x:c r="L360" s="18" t="n">
        <x:v>178.66507826086894</x:v>
      </x:c>
      <x:c r="M360" s="18" t="n">
        <x:f>J360-L360</x:f>
        <x:v>0</x:v>
      </x:c>
      <x:c r="N360" s="18" t="n">
        <x:f>E360*(G360*'原始输入与口径'!$D$5+H360/'原始输入与口径'!$D$5)/'原始输入与口径'!$H$5</x:f>
        <x:v>0.0002683333333333333</x:v>
      </x:c>
      <x:c r="O360" s="18" t="n">
        <x:v>0.00026833333333333337</x:v>
      </x:c>
      <x:c r="P360" s="18" t="n">
        <x:f>N360-O360</x:f>
        <x:v>-5.421010862427522e-20</x:v>
      </x:c>
      <x:c r="Q360" s="18" t="n">
        <x:f>E360*G360</x:f>
        <x:v>0.105</x:v>
      </x:c>
      <x:c r="R360" s="18" t="n">
        <x:f>E360*H360</x:f>
        <x:v>0</x:v>
      </x:c>
      <x:c r="S360" s="2" t="n">
        <x:v>152</x:v>
      </x:c>
    </x:row>
    <x:row r="361" ht="21" customHeight="1">
      <x:c r="A361" s="36" t="n">
        <x:v>45659.57296041666</x:v>
      </x:c>
      <x:c r="B361" s="36" t="n">
        <x:v>45659.57298625</x:v>
      </x:c>
      <x:c r="C361" s="36" t="n">
        <x:v>45659.572916666664</x:v>
      </x:c>
      <x:c r="D361" s="2" t="str">
        <x:v>u</x:v>
      </x:c>
      <x:c r="E361" s="18" t="n">
        <x:v>0.00062</x:v>
      </x:c>
      <x:c r="F361" s="18" t="n">
        <x:f>IF(D361="d",'两日价格与决策'!K158-'两日价格与决策'!N158,IF(D361="u",'两日价格与决策'!K158+'两日价格与决策'!M158,'两日价格与决策'!K158))</x:f>
        <x:v>100</x:v>
      </x:c>
      <x:c r="G361" s="18" t="n">
        <x:f>MAX(-F361,0)</x:f>
        <x:v>0</x:v>
      </x:c>
      <x:c r="H361" s="18" t="n">
        <x:f>MAX(F361,0)</x:f>
        <x:v>100</x:v>
      </x:c>
      <x:c r="I361" s="18" t="n">
        <x:f>J360</x:f>
        <x:v>178.66507826086894</x:v>
      </x:c>
      <x:c r="J361" s="18" t="n">
        <x:f>I361+E361*(G361*'原始输入与口径'!$D$5-H361/'原始输入与口径'!$D$5)</x:f>
        <x:v>178.5976869565211</x:v>
      </x:c>
      <x:c r="K361" s="18" t="n">
        <x:v>178.66507826086894</x:v>
      </x:c>
      <x:c r="L361" s="18" t="n">
        <x:v>178.5976869565211</x:v>
      </x:c>
      <x:c r="M361" s="18" t="n">
        <x:f>J361-L361</x:f>
        <x:v>0</x:v>
      </x:c>
      <x:c r="N361" s="18" t="n">
        <x:f>E361*(G361*'原始输入与口径'!$D$5+H361/'原始输入与口径'!$D$5)/'原始输入与口径'!$H$5</x:f>
        <x:v>0.00018719806763285024</x:v>
      </x:c>
      <x:c r="O361" s="18" t="n">
        <x:v>0.00018719806763285024</x:v>
      </x:c>
      <x:c r="P361" s="18" t="n">
        <x:f>N361-O361</x:f>
        <x:v>0</x:v>
      </x:c>
      <x:c r="Q361" s="18" t="n">
        <x:f>E361*G361</x:f>
        <x:v>0</x:v>
      </x:c>
      <x:c r="R361" s="18" t="n">
        <x:f>E361*H361</x:f>
        <x:v>0.062</x:v>
      </x:c>
      <x:c r="S361" s="2" t="n">
        <x:v>152</x:v>
      </x:c>
    </x:row>
    <x:row r="362" ht="21" customHeight="1">
      <x:c r="A362" s="36" t="n">
        <x:v>45659.57298625</x:v>
      </x:c>
      <x:c r="B362" s="36" t="n">
        <x:v>45659.58333333333</x:v>
      </x:c>
      <x:c r="C362" s="36" t="n">
        <x:v>45659.572916666664</x:v>
      </x:c>
      <x:c r="D362" s="2" t="str">
        <x:v>0</x:v>
      </x:c>
      <x:c r="E362" s="18" t="n">
        <x:v>0.24833</x:v>
      </x:c>
      <x:c r="F362" s="18" t="n">
        <x:f>IF(D362="d",'两日价格与决策'!K158-'两日价格与决策'!N158,IF(D362="u",'两日价格与决策'!K158+'两日价格与决策'!M158,'两日价格与决策'!K158))</x:f>
        <x:v>0</x:v>
      </x:c>
      <x:c r="G362" s="18" t="n">
        <x:f>MAX(-F362,0)</x:f>
        <x:v>0</x:v>
      </x:c>
      <x:c r="H362" s="18" t="n">
        <x:f>MAX(F362,0)</x:f>
        <x:v>0</x:v>
      </x:c>
      <x:c r="I362" s="18" t="n">
        <x:f>J361</x:f>
        <x:v>178.5976869565211</x:v>
      </x:c>
      <x:c r="J362" s="18" t="n">
        <x:f>I362+E362*(G362*'原始输入与口径'!$D$5-H362/'原始输入与口径'!$D$5)</x:f>
        <x:v>178.5976869565211</x:v>
      </x:c>
      <x:c r="K362" s="18" t="n">
        <x:v>178.5976869565211</x:v>
      </x:c>
      <x:c r="L362" s="18" t="n">
        <x:v>178.5976869565211</x:v>
      </x:c>
      <x:c r="M362" s="18" t="n">
        <x:f>J362-L362</x:f>
        <x:v>0</x:v>
      </x:c>
      <x:c r="N362" s="18" t="n">
        <x:f>E362*(G362*'原始输入与口径'!$D$5+H362/'原始输入与口径'!$D$5)/'原始输入与口径'!$H$5</x:f>
        <x:v>0</x:v>
      </x:c>
      <x:c r="O362" s="18" t="n">
        <x:v>0</x:v>
      </x:c>
      <x:c r="P362" s="18" t="n">
        <x:f>N362-O362</x:f>
        <x:v>0</x:v>
      </x:c>
      <x:c r="Q362" s="18" t="n">
        <x:f>E362*G362</x:f>
        <x:v>0</x:v>
      </x:c>
      <x:c r="R362" s="18" t="n">
        <x:f>E362*H362</x:f>
        <x:v>0</x:v>
      </x:c>
      <x:c r="S362" s="2" t="n">
        <x:v>152</x:v>
      </x:c>
    </x:row>
    <x:row r="363" ht="21" customHeight="1">
      <x:c r="A363" s="36" t="n">
        <x:v>45659.583333333336</x:v>
      </x:c>
      <x:c r="B363" s="36" t="n">
        <x:v>45659.5835975</x:v>
      </x:c>
      <x:c r="C363" s="36" t="n">
        <x:v>45659.583333333336</x:v>
      </x:c>
      <x:c r="D363" s="2" t="str">
        <x:v>d</x:v>
      </x:c>
      <x:c r="E363" s="18" t="n">
        <x:v>0.00634</x:v>
      </x:c>
      <x:c r="F363" s="18" t="n">
        <x:f>IF(D363="d",'两日价格与决策'!K159-'两日价格与决策'!N159,IF(D363="u",'两日价格与决策'!K159+'两日价格与决策'!M159,'两日价格与决策'!K159))</x:f>
        <x:v>-99.99999999999906</x:v>
      </x:c>
      <x:c r="G363" s="18" t="n">
        <x:f>MAX(-F363,0)</x:f>
        <x:v>99.99999999999906</x:v>
      </x:c>
      <x:c r="H363" s="18" t="n">
        <x:f>MAX(F363,0)</x:f>
        <x:v>0</x:v>
      </x:c>
      <x:c r="I363" s="18" t="n">
        <x:f>J362</x:f>
        <x:v>178.5976869565211</x:v>
      </x:c>
      <x:c r="J363" s="18" t="n">
        <x:f>I363+E363*(G363*'原始输入与口径'!$D$5-H363/'原始输入与口径'!$D$5)</x:f>
        <x:v>179.1809669565211</x:v>
      </x:c>
      <x:c r="K363" s="18" t="n">
        <x:v>178.5976869565211</x:v>
      </x:c>
      <x:c r="L363" s="18" t="n">
        <x:v>179.1809669565211</x:v>
      </x:c>
      <x:c r="M363" s="18" t="n">
        <x:f>J363-L363</x:f>
        <x:v>0</x:v>
      </x:c>
      <x:c r="N363" s="18" t="n">
        <x:f>E363*(G363*'原始输入与口径'!$D$5+H363/'原始输入与口径'!$D$5)/'原始输入与口径'!$H$5</x:f>
        <x:v>0.0016202222222222072</x:v>
      </x:c>
      <x:c r="O363" s="18" t="n">
        <x:v>0.0016202222222222072</x:v>
      </x:c>
      <x:c r="P363" s="18" t="n">
        <x:f>N363-O363</x:f>
        <x:v>0</x:v>
      </x:c>
      <x:c r="Q363" s="18" t="n">
        <x:f>E363*G363</x:f>
        <x:v>0.6339999999999941</x:v>
      </x:c>
      <x:c r="R363" s="18" t="n">
        <x:f>E363*H363</x:f>
        <x:v>0</x:v>
      </x:c>
      <x:c r="S363" s="2" t="n">
        <x:v>153</x:v>
      </x:c>
    </x:row>
    <x:row r="364" ht="21" customHeight="1">
      <x:c r="A364" s="36" t="n">
        <x:v>45659.5835975</x:v>
      </x:c>
      <x:c r="B364" s="36" t="n">
        <x:v>45659.59375</x:v>
      </x:c>
      <x:c r="C364" s="36" t="n">
        <x:v>45659.583333333336</x:v>
      </x:c>
      <x:c r="D364" s="2" t="str">
        <x:v>0</x:v>
      </x:c>
      <x:c r="E364" s="18" t="n">
        <x:v>0.24366</x:v>
      </x:c>
      <x:c r="F364" s="18" t="n">
        <x:f>IF(D364="d",'两日价格与决策'!K159-'两日价格与决策'!N159,IF(D364="u",'两日价格与决策'!K159+'两日价格与决策'!M159,'两日价格与决策'!K159))</x:f>
        <x:v>-24.999999999999062</x:v>
      </x:c>
      <x:c r="G364" s="18" t="n">
        <x:f>MAX(-F364,0)</x:f>
        <x:v>24.999999999999062</x:v>
      </x:c>
      <x:c r="H364" s="18" t="n">
        <x:f>MAX(F364,0)</x:f>
        <x:v>0</x:v>
      </x:c>
      <x:c r="I364" s="18" t="n">
        <x:f>J363</x:f>
        <x:v>179.1809669565211</x:v>
      </x:c>
      <x:c r="J364" s="18" t="n">
        <x:f>I364+E364*(G364*'原始输入与口径'!$D$5-H364/'原始输入与口径'!$D$5)</x:f>
        <x:v>184.7851469565209</x:v>
      </x:c>
      <x:c r="K364" s="18" t="n">
        <x:v>179.1809669565211</x:v>
      </x:c>
      <x:c r="L364" s="18" t="n">
        <x:v>184.7851469565209</x:v>
      </x:c>
      <x:c r="M364" s="18" t="n">
        <x:f>J364-L364</x:f>
        <x:v>0</x:v>
      </x:c>
      <x:c r="N364" s="18" t="n">
        <x:f>E364*(G364*'原始输入与口径'!$D$5+H364/'原始输入与口径'!$D$5)/'原始输入与口径'!$H$5</x:f>
        <x:v>0.01556716666666608</x:v>
      </x:c>
      <x:c r="O364" s="18" t="n">
        <x:v>0.01556716666666608</x:v>
      </x:c>
      <x:c r="P364" s="18" t="n">
        <x:f>N364-O364</x:f>
        <x:v>0</x:v>
      </x:c>
      <x:c r="Q364" s="18" t="n">
        <x:f>E364*G364</x:f>
        <x:v>6.091499999999771</x:v>
      </x:c>
      <x:c r="R364" s="18" t="n">
        <x:f>E364*H364</x:f>
        <x:v>0</x:v>
      </x:c>
      <x:c r="S364" s="2" t="n">
        <x:v>153</x:v>
      </x:c>
    </x:row>
    <x:row r="365" ht="21" customHeight="1">
      <x:c r="A365" s="36" t="n">
        <x:v>45659.59375</x:v>
      </x:c>
      <x:c r="B365" s="36" t="n">
        <x:v>45659.593753333334</x:v>
      </x:c>
      <x:c r="C365" s="36" t="n">
        <x:v>45659.59375</x:v>
      </x:c>
      <x:c r="D365" s="2" t="str">
        <x:v>d</x:v>
      </x:c>
      <x:c r="E365" s="18" t="n">
        <x:v>0.00008</x:v>
      </x:c>
      <x:c r="F365" s="18" t="n">
        <x:f>IF(D365="d",'两日价格与决策'!K160-'两日价格与决策'!N160,IF(D365="u",'两日价格与决策'!K160+'两日价格与决策'!M160,'两日价格与决策'!K160))</x:f>
        <x:v>-99.99999999999906</x:v>
      </x:c>
      <x:c r="G365" s="18" t="n">
        <x:f>MAX(-F365,0)</x:f>
        <x:v>99.99999999999906</x:v>
      </x:c>
      <x:c r="H365" s="18" t="n">
        <x:f>MAX(F365,0)</x:f>
        <x:v>0</x:v>
      </x:c>
      <x:c r="I365" s="18" t="n">
        <x:f>J364</x:f>
        <x:v>184.7851469565209</x:v>
      </x:c>
      <x:c r="J365" s="18" t="n">
        <x:f>I365+E365*(G365*'原始输入与口径'!$D$5-H365/'原始输入与口径'!$D$5)</x:f>
        <x:v>184.7925069565209</x:v>
      </x:c>
      <x:c r="K365" s="18" t="n">
        <x:v>184.7851469565209</x:v>
      </x:c>
      <x:c r="L365" s="18" t="n">
        <x:v>184.7925069565209</x:v>
      </x:c>
      <x:c r="M365" s="18" t="n">
        <x:f>J365-L365</x:f>
        <x:v>0</x:v>
      </x:c>
      <x:c r="N365" s="18" t="n">
        <x:f>E365*(G365*'原始输入与口径'!$D$5+H365/'原始输入与口径'!$D$5)/'原始输入与口径'!$H$5</x:f>
        <x:v>0.000020444444444444256</x:v>
      </x:c>
      <x:c r="O365" s="18" t="n">
        <x:v>0.000020444444444444256</x:v>
      </x:c>
      <x:c r="P365" s="18" t="n">
        <x:f>N365-O365</x:f>
        <x:v>0</x:v>
      </x:c>
      <x:c r="Q365" s="18" t="n">
        <x:f>E365*G365</x:f>
        <x:v>0.007999999999999926</x:v>
      </x:c>
      <x:c r="R365" s="18" t="n">
        <x:f>E365*H365</x:f>
        <x:v>0</x:v>
      </x:c>
      <x:c r="S365" s="2" t="n">
        <x:v>154</x:v>
      </x:c>
    </x:row>
    <x:row r="366" ht="21" customHeight="1">
      <x:c r="A366" s="36" t="n">
        <x:v>45659.593753333334</x:v>
      </x:c>
      <x:c r="B366" s="36" t="n">
        <x:v>45659.59400375</x:v>
      </x:c>
      <x:c r="C366" s="36" t="n">
        <x:v>45659.59375</x:v>
      </x:c>
      <x:c r="D366" s="2" t="str">
        <x:v>u</x:v>
      </x:c>
      <x:c r="E366" s="18" t="n">
        <x:v>0.00601</x:v>
      </x:c>
      <x:c r="F366" s="18" t="n">
        <x:f>IF(D366="d",'两日价格与决策'!K160-'两日价格与决策'!N160,IF(D366="u",'两日价格与决策'!K160+'两日价格与决策'!M160,'两日价格与决策'!K160))</x:f>
        <x:v>75.00000000000094</x:v>
      </x:c>
      <x:c r="G366" s="18" t="n">
        <x:f>MAX(-F366,0)</x:f>
        <x:v>0</x:v>
      </x:c>
      <x:c r="H366" s="18" t="n">
        <x:f>MAX(F366,0)</x:f>
        <x:v>75.00000000000094</x:v>
      </x:c>
      <x:c r="I366" s="18" t="n">
        <x:f>J365</x:f>
        <x:v>184.7925069565209</x:v>
      </x:c>
      <x:c r="J366" s="18" t="n">
        <x:f>I366+E366*(G366*'原始输入与口径'!$D$5-H366/'原始输入与口径'!$D$5)</x:f>
        <x:v>184.30256130434697</x:v>
      </x:c>
      <x:c r="K366" s="18" t="n">
        <x:v>184.7925069565209</x:v>
      </x:c>
      <x:c r="L366" s="18" t="n">
        <x:v>184.30256130434697</x:v>
      </x:c>
      <x:c r="M366" s="18" t="n">
        <x:f>J366-L366</x:f>
        <x:v>0</x:v>
      </x:c>
      <x:c r="N366" s="18" t="n">
        <x:f>E366*(G366*'原始输入与口径'!$D$5+H366/'原始输入与口径'!$D$5)/'原始输入与口径'!$H$5</x:f>
        <x:v>0.0013609601449275533</x:v>
      </x:c>
      <x:c r="O366" s="18" t="n">
        <x:v>0.001360960144927553</x:v>
      </x:c>
      <x:c r="P366" s="18" t="n">
        <x:f>N366-O366</x:f>
        <x:v>2.168404344971009e-19</x:v>
      </x:c>
      <x:c r="Q366" s="18" t="n">
        <x:f>E366*G366</x:f>
        <x:v>0</x:v>
      </x:c>
      <x:c r="R366" s="18" t="n">
        <x:f>E366*H366</x:f>
        <x:v>0.4507500000000056</x:v>
      </x:c>
      <x:c r="S366" s="2" t="n">
        <x:v>154</x:v>
      </x:c>
    </x:row>
    <x:row r="367" ht="21" customHeight="1">
      <x:c r="A367" s="36" t="n">
        <x:v>45659.59400375</x:v>
      </x:c>
      <x:c r="B367" s="36" t="n">
        <x:v>45659.604166666664</x:v>
      </x:c>
      <x:c r="C367" s="36" t="n">
        <x:v>45659.59375</x:v>
      </x:c>
      <x:c r="D367" s="2" t="str">
        <x:v>0</x:v>
      </x:c>
      <x:c r="E367" s="18" t="n">
        <x:v>0.24391000000000002</x:v>
      </x:c>
      <x:c r="F367" s="18" t="n">
        <x:f>IF(D367="d",'两日价格与决策'!K160-'两日价格与决策'!N160,IF(D367="u",'两日价格与决策'!K160+'两日价格与决策'!M160,'两日价格与决策'!K160))</x:f>
        <x:v>-24.999999999999062</x:v>
      </x:c>
      <x:c r="G367" s="18" t="n">
        <x:f>MAX(-F367,0)</x:f>
        <x:v>24.999999999999062</x:v>
      </x:c>
      <x:c r="H367" s="18" t="n">
        <x:f>MAX(F367,0)</x:f>
        <x:v>0</x:v>
      </x:c>
      <x:c r="I367" s="18" t="n">
        <x:f>J366</x:f>
        <x:v>184.30256130434697</x:v>
      </x:c>
      <x:c r="J367" s="18" t="n">
        <x:f>I367+E367*(G367*'原始输入与口径'!$D$5-H367/'原始输入与口径'!$D$5)</x:f>
        <x:v>189.91249130434676</x:v>
      </x:c>
      <x:c r="K367" s="18" t="n">
        <x:v>184.30256130434697</x:v>
      </x:c>
      <x:c r="L367" s="18" t="n">
        <x:v>189.91249130434676</x:v>
      </x:c>
      <x:c r="M367" s="18" t="n">
        <x:f>J367-L367</x:f>
        <x:v>0</x:v>
      </x:c>
      <x:c r="N367" s="18" t="n">
        <x:f>E367*(G367*'原始输入与口径'!$D$5+H367/'原始输入与口径'!$D$5)/'原始输入与口径'!$H$5</x:f>
        <x:v>0.015583138888888305</x:v>
      </x:c>
      <x:c r="O367" s="18" t="n">
        <x:v>0.015583138888888305</x:v>
      </x:c>
      <x:c r="P367" s="18" t="n">
        <x:f>N367-O367</x:f>
        <x:v>0</x:v>
      </x:c>
      <x:c r="Q367" s="18" t="n">
        <x:f>E367*G367</x:f>
        <x:v>6.097749999999771</x:v>
      </x:c>
      <x:c r="R367" s="18" t="n">
        <x:f>E367*H367</x:f>
        <x:v>0</x:v>
      </x:c>
      <x:c r="S367" s="2" t="n">
        <x:v>154</x:v>
      </x:c>
    </x:row>
    <x:row r="368" ht="21" customHeight="1">
      <x:c r="A368" s="36" t="n">
        <x:v>45659.604166666664</x:v>
      </x:c>
      <x:c r="B368" s="36" t="n">
        <x:v>45659.607489999995</x:v>
      </x:c>
      <x:c r="C368" s="36" t="n">
        <x:v>45659.604166666664</x:v>
      </x:c>
      <x:c r="D368" s="2" t="str">
        <x:v>u</x:v>
      </x:c>
      <x:c r="E368" s="18" t="n">
        <x:v>0.07976</x:v>
      </x:c>
      <x:c r="F368" s="18" t="n">
        <x:f>IF(D368="d",'两日价格与决策'!K161-'两日价格与决策'!N161,IF(D368="u",'两日价格与决策'!K161+'两日价格与决策'!M161,'两日价格与决策'!K161))</x:f>
        <x:v>75.00000000000094</x:v>
      </x:c>
      <x:c r="G368" s="18" t="n">
        <x:f>MAX(-F368,0)</x:f>
        <x:v>0</x:v>
      </x:c>
      <x:c r="H368" s="18" t="n">
        <x:f>MAX(F368,0)</x:f>
        <x:v>75.00000000000094</x:v>
      </x:c>
      <x:c r="I368" s="18" t="n">
        <x:f>J367</x:f>
        <x:v>189.91249130434676</x:v>
      </x:c>
      <x:c r="J368" s="18" t="n">
        <x:f>I368+E368*(G368*'原始输入与口径'!$D$5-H368/'原始输入与口径'!$D$5)</x:f>
        <x:v>183.4103173913032</x:v>
      </x:c>
      <x:c r="K368" s="18" t="n">
        <x:v>189.91249130434676</x:v>
      </x:c>
      <x:c r="L368" s="18" t="n">
        <x:v>183.4103173913032</x:v>
      </x:c>
      <x:c r="M368" s="18" t="n">
        <x:f>J368-L368</x:f>
        <x:v>0</x:v>
      </x:c>
      <x:c r="N368" s="18" t="n">
        <x:f>E368*(G368*'原始输入与口径'!$D$5+H368/'原始输入与口径'!$D$5)/'原始输入与口径'!$H$5</x:f>
        <x:v>0.018061594202898778</x:v>
      </x:c>
      <x:c r="O368" s="18" t="n">
        <x:v>0.018061594202898774</x:v>
      </x:c>
      <x:c r="P368" s="18" t="n">
        <x:f>N368-O368</x:f>
        <x:v>3.469446951953614e-18</x:v>
      </x:c>
      <x:c r="Q368" s="18" t="n">
        <x:f>E368*G368</x:f>
        <x:v>0</x:v>
      </x:c>
      <x:c r="R368" s="18" t="n">
        <x:f>E368*H368</x:f>
        <x:v>5.982000000000075</x:v>
      </x:c>
      <x:c r="S368" s="2" t="n">
        <x:v>155</x:v>
      </x:c>
    </x:row>
    <x:row r="369" ht="21" customHeight="1">
      <x:c r="A369" s="36" t="n">
        <x:v>45659.607489999995</x:v>
      </x:c>
      <x:c r="B369" s="36" t="n">
        <x:v>45659.61458333333</x:v>
      </x:c>
      <x:c r="C369" s="36" t="n">
        <x:v>45659.604166666664</x:v>
      </x:c>
      <x:c r="D369" s="2" t="str">
        <x:v>0</x:v>
      </x:c>
      <x:c r="E369" s="18" t="n">
        <x:v>0.17024</x:v>
      </x:c>
      <x:c r="F369" s="18" t="n">
        <x:f>IF(D369="d",'两日价格与决策'!K161-'两日价格与决策'!N161,IF(D369="u",'两日价格与决策'!K161+'两日价格与决策'!M161,'两日价格与决策'!K161))</x:f>
        <x:v>-24.999999999999062</x:v>
      </x:c>
      <x:c r="G369" s="18" t="n">
        <x:f>MAX(-F369,0)</x:f>
        <x:v>24.999999999999062</x:v>
      </x:c>
      <x:c r="H369" s="18" t="n">
        <x:f>MAX(F369,0)</x:f>
        <x:v>0</x:v>
      </x:c>
      <x:c r="I369" s="18" t="n">
        <x:f>J368</x:f>
        <x:v>183.4103173913032</x:v>
      </x:c>
      <x:c r="J369" s="18" t="n">
        <x:f>I369+E369*(G369*'原始输入与口径'!$D$5-H369/'原始输入与口径'!$D$5)</x:f>
        <x:v>187.32583739130305</x:v>
      </x:c>
      <x:c r="K369" s="18" t="n">
        <x:v>183.4103173913032</x:v>
      </x:c>
      <x:c r="L369" s="18" t="n">
        <x:v>187.32583739130305</x:v>
      </x:c>
      <x:c r="M369" s="18" t="n">
        <x:f>J369-L369</x:f>
        <x:v>0</x:v>
      </x:c>
      <x:c r="N369" s="18" t="n">
        <x:f>E369*(G369*'原始输入与口径'!$D$5+H369/'原始输入与口径'!$D$5)/'原始输入与口径'!$H$5</x:f>
        <x:v>0.010876444444444036</x:v>
      </x:c>
      <x:c r="O369" s="18" t="n">
        <x:v>0.010876444444444038</x:v>
      </x:c>
      <x:c r="P369" s="18" t="n">
        <x:f>N369-O369</x:f>
        <x:v>-1.734723475976807e-18</x:v>
      </x:c>
      <x:c r="Q369" s="18" t="n">
        <x:f>E369*G369</x:f>
        <x:v>4.25599999999984</x:v>
      </x:c>
      <x:c r="R369" s="18" t="n">
        <x:f>E369*H369</x:f>
        <x:v>0</x:v>
      </x:c>
      <x:c r="S369" s="2" t="n">
        <x:v>155</x:v>
      </x:c>
    </x:row>
    <x:row r="370" ht="21" customHeight="1">
      <x:c r="A370" s="36" t="n">
        <x:v>45659.614583333336</x:v>
      </x:c>
      <x:c r="B370" s="36" t="n">
        <x:v>45659.62412354167</x:v>
      </x:c>
      <x:c r="C370" s="36" t="n">
        <x:v>45659.614583333336</x:v>
      </x:c>
      <x:c r="D370" s="2" t="str">
        <x:v>u</x:v>
      </x:c>
      <x:c r="E370" s="18" t="n">
        <x:v>0.228965</x:v>
      </x:c>
      <x:c r="F370" s="18" t="n">
        <x:f>IF(D370="d",'两日价格与决策'!K162-'两日价格与决策'!N162,IF(D370="u",'两日价格与决策'!K162+'两日价格与决策'!M162,'两日价格与决策'!K162))</x:f>
        <x:v>75.00000000000094</x:v>
      </x:c>
      <x:c r="G370" s="18" t="n">
        <x:f>MAX(-F370,0)</x:f>
        <x:v>0</x:v>
      </x:c>
      <x:c r="H370" s="18" t="n">
        <x:f>MAX(F370,0)</x:f>
        <x:v>75.00000000000094</x:v>
      </x:c>
      <x:c r="I370" s="18" t="n">
        <x:f>J369</x:f>
        <x:v>187.32583739130305</x:v>
      </x:c>
      <x:c r="J370" s="18" t="n">
        <x:f>I370+E370*(G370*'原始输入与口径'!$D$5-H370/'原始输入与口径'!$D$5)</x:f>
        <x:v>168.66021239130282</x:v>
      </x:c>
      <x:c r="K370" s="18" t="n">
        <x:v>187.32583739130305</x:v>
      </x:c>
      <x:c r="L370" s="18" t="n">
        <x:v>168.66021239130282</x:v>
      </x:c>
      <x:c r="M370" s="18" t="n">
        <x:f>J370-L370</x:f>
        <x:v>0</x:v>
      </x:c>
      <x:c r="N370" s="18" t="n">
        <x:f>E370*(G370*'原始输入与口径'!$D$5+H370/'原始输入与口径'!$D$5)/'原始输入与口径'!$H$5</x:f>
        <x:v>0.05184895833333398</x:v>
      </x:c>
      <x:c r="O370" s="18" t="n">
        <x:v>0.05184895833333398</x:v>
      </x:c>
      <x:c r="P370" s="18" t="n">
        <x:f>N370-O370</x:f>
        <x:v>0</x:v>
      </x:c>
      <x:c r="Q370" s="18" t="n">
        <x:f>E370*G370</x:f>
        <x:v>0</x:v>
      </x:c>
      <x:c r="R370" s="18" t="n">
        <x:f>E370*H370</x:f>
        <x:v>17.172375000000216</x:v>
      </x:c>
      <x:c r="S370" s="2" t="n">
        <x:v>156</x:v>
      </x:c>
    </x:row>
    <x:row r="371" ht="21" customHeight="1">
      <x:c r="A371" s="36" t="n">
        <x:v>45659.62412354167</x:v>
      </x:c>
      <x:c r="B371" s="36" t="n">
        <x:v>45659.625</x:v>
      </x:c>
      <x:c r="C371" s="36" t="n">
        <x:v>45659.614583333336</x:v>
      </x:c>
      <x:c r="D371" s="2" t="str">
        <x:v>0</x:v>
      </x:c>
      <x:c r="E371" s="18" t="n">
        <x:v>0.021034999999999998</x:v>
      </x:c>
      <x:c r="F371" s="18" t="n">
        <x:f>IF(D371="d",'两日价格与决策'!K162-'两日价格与决策'!N162,IF(D371="u",'两日价格与决策'!K162+'两日价格与决策'!M162,'两日价格与决策'!K162))</x:f>
        <x:v>-24.999999999999062</x:v>
      </x:c>
      <x:c r="G371" s="18" t="n">
        <x:f>MAX(-F371,0)</x:f>
        <x:v>24.999999999999062</x:v>
      </x:c>
      <x:c r="H371" s="18" t="n">
        <x:f>MAX(F371,0)</x:f>
        <x:v>0</x:v>
      </x:c>
      <x:c r="I371" s="18" t="n">
        <x:f>J370</x:f>
        <x:v>168.66021239130282</x:v>
      </x:c>
      <x:c r="J371" s="18" t="n">
        <x:f>I371+E371*(G371*'原始输入与口径'!$D$5-H371/'原始输入与口径'!$D$5)</x:f>
        <x:v>169.1440173913028</x:v>
      </x:c>
      <x:c r="K371" s="18" t="n">
        <x:v>168.66021239130282</x:v>
      </x:c>
      <x:c r="L371" s="18" t="n">
        <x:v>169.1440173913028</x:v>
      </x:c>
      <x:c r="M371" s="18" t="n">
        <x:f>J371-L371</x:f>
        <x:v>0</x:v>
      </x:c>
      <x:c r="N371" s="18" t="n">
        <x:f>E371*(G371*'原始输入与口径'!$D$5+H371/'原始输入与口径'!$D$5)/'原始输入与口径'!$H$5</x:f>
        <x:v>0.001343902777777727</x:v>
      </x:c>
      <x:c r="O371" s="18" t="n">
        <x:v>0.0013439027777777273</x:v>
      </x:c>
      <x:c r="P371" s="18" t="n">
        <x:f>N371-O371</x:f>
        <x:v>-2.168404344971009e-19</x:v>
      </x:c>
      <x:c r="Q371" s="18" t="n">
        <x:f>E371*G371</x:f>
        <x:v>0.5258749999999802</x:v>
      </x:c>
      <x:c r="R371" s="18" t="n">
        <x:f>E371*H371</x:f>
        <x:v>0</x:v>
      </x:c>
      <x:c r="S371" s="2" t="n">
        <x:v>156</x:v>
      </x:c>
    </x:row>
    <x:row r="372" ht="21" customHeight="1">
      <x:c r="A372" s="36" t="n">
        <x:v>45659.625</x:v>
      </x:c>
      <x:c r="B372" s="36" t="n">
        <x:v>45659.635416666664</x:v>
      </x:c>
      <x:c r="C372" s="36" t="n">
        <x:v>45659.625</x:v>
      </x:c>
      <x:c r="D372" s="2" t="str">
        <x:v>NO_AFRR_OBLIGATION</x:v>
      </x:c>
      <x:c r="E372" s="18" t="n">
        <x:v>0.25</x:v>
      </x:c>
      <x:c r="F372" s="18" t="n">
        <x:f>IF(D372="d",'两日价格与决策'!K163-'两日价格与决策'!N163,IF(D372="u",'两日价格与决策'!K163+'两日价格与决策'!M163,'两日价格与决策'!K163))</x:f>
        <x:v>-22.632743402647662</x:v>
      </x:c>
      <x:c r="G372" s="18" t="n">
        <x:f>MAX(-F372,0)</x:f>
        <x:v>22.632743402647662</x:v>
      </x:c>
      <x:c r="H372" s="18" t="n">
        <x:f>MAX(F372,0)</x:f>
        <x:v>0</x:v>
      </x:c>
      <x:c r="I372" s="18" t="n">
        <x:f>J371</x:f>
        <x:v>169.1440173913028</x:v>
      </x:c>
      <x:c r="J372" s="18" t="n">
        <x:f>I372+E372*(G372*'原始输入与口径'!$D$5-H372/'原始输入与口径'!$D$5)</x:f>
        <x:v>174.34954837391177</x:v>
      </x:c>
      <x:c r="K372" s="18" t="n">
        <x:v>169.1440173913028</x:v>
      </x:c>
      <x:c r="L372" s="18" t="n">
        <x:v>174.34954837391177</x:v>
      </x:c>
      <x:c r="M372" s="18" t="n">
        <x:f>J372-L372</x:f>
        <x:v>0</x:v>
      </x:c>
      <x:c r="N372" s="18" t="n">
        <x:f>E372*(G372*'原始输入与口径'!$D$5+H372/'原始输入与口径'!$D$5)/'原始输入与口径'!$H$5</x:f>
        <x:v>0.014459808285024895</x:v>
      </x:c>
      <x:c r="O372" s="18" t="n">
        <x:v>0.014459808285024895</x:v>
      </x:c>
      <x:c r="P372" s="18" t="n">
        <x:f>N372-O372</x:f>
        <x:v>0</x:v>
      </x:c>
      <x:c r="Q372" s="18" t="n">
        <x:f>E372*G372</x:f>
        <x:v>5.658185850661916</x:v>
      </x:c>
      <x:c r="R372" s="18" t="n">
        <x:f>E372*H372</x:f>
        <x:v>0</x:v>
      </x:c>
      <x:c r="S372" s="2" t="n">
        <x:v>157</x:v>
      </x:c>
    </x:row>
    <x:row r="373" ht="21" customHeight="1">
      <x:c r="A373" s="36" t="n">
        <x:v>45659.635416666664</x:v>
      </x:c>
      <x:c r="B373" s="36" t="n">
        <x:v>45659.64583333333</x:v>
      </x:c>
      <x:c r="C373" s="36" t="n">
        <x:v>45659.635416666664</x:v>
      </x:c>
      <x:c r="D373" s="2" t="str">
        <x:v>NO_AFRR_OBLIGATION</x:v>
      </x:c>
      <x:c r="E373" s="18" t="n">
        <x:v>0.25</x:v>
      </x:c>
      <x:c r="F373" s="18" t="n">
        <x:f>IF(D373="d",'两日价格与决策'!K164-'两日价格与决策'!N164,IF(D373="u",'两日价格与决策'!K164+'两日价格与决策'!M164,'两日价格与决策'!K164))</x:f>
        <x:v>-22.632743402647662</x:v>
      </x:c>
      <x:c r="G373" s="18" t="n">
        <x:f>MAX(-F373,0)</x:f>
        <x:v>22.632743402647662</x:v>
      </x:c>
      <x:c r="H373" s="18" t="n">
        <x:f>MAX(F373,0)</x:f>
        <x:v>0</x:v>
      </x:c>
      <x:c r="I373" s="18" t="n">
        <x:f>J372</x:f>
        <x:v>174.34954837391177</x:v>
      </x:c>
      <x:c r="J373" s="18" t="n">
        <x:f>I373+E373*(G373*'原始输入与口径'!$D$5-H373/'原始输入与口径'!$D$5)</x:f>
        <x:v>179.55507935652074</x:v>
      </x:c>
      <x:c r="K373" s="18" t="n">
        <x:v>174.34954837391177</x:v>
      </x:c>
      <x:c r="L373" s="18" t="n">
        <x:v>179.55507935652074</x:v>
      </x:c>
      <x:c r="M373" s="18" t="n">
        <x:f>J373-L373</x:f>
        <x:v>0</x:v>
      </x:c>
      <x:c r="N373" s="18" t="n">
        <x:f>E373*(G373*'原始输入与口径'!$D$5+H373/'原始输入与口径'!$D$5)/'原始输入与口径'!$H$5</x:f>
        <x:v>0.014459808285024895</x:v>
      </x:c>
      <x:c r="O373" s="18" t="n">
        <x:v>0.014459808285024895</x:v>
      </x:c>
      <x:c r="P373" s="18" t="n">
        <x:f>N373-O373</x:f>
        <x:v>0</x:v>
      </x:c>
      <x:c r="Q373" s="18" t="n">
        <x:f>E373*G373</x:f>
        <x:v>5.658185850661916</x:v>
      </x:c>
      <x:c r="R373" s="18" t="n">
        <x:f>E373*H373</x:f>
        <x:v>0</x:v>
      </x:c>
      <x:c r="S373" s="2" t="n">
        <x:v>158</x:v>
      </x:c>
    </x:row>
    <x:row r="374" ht="21" customHeight="1">
      <x:c r="A374" s="36" t="n">
        <x:v>45659.645833333336</x:v>
      </x:c>
      <x:c r="B374" s="36" t="n">
        <x:v>45659.65625</x:v>
      </x:c>
      <x:c r="C374" s="36" t="n">
        <x:v>45659.645833333336</x:v>
      </x:c>
      <x:c r="D374" s="2" t="str">
        <x:v>NO_AFRR_OBLIGATION</x:v>
      </x:c>
      <x:c r="E374" s="18" t="n">
        <x:v>0.25</x:v>
      </x:c>
      <x:c r="F374" s="18" t="n">
        <x:f>IF(D374="d",'两日价格与决策'!K165-'两日价格与决策'!N165,IF(D374="u",'两日价格与决策'!K165+'两日价格与决策'!M165,'两日价格与决策'!K165))</x:f>
        <x:v>-22.632743402647662</x:v>
      </x:c>
      <x:c r="G374" s="18" t="n">
        <x:f>MAX(-F374,0)</x:f>
        <x:v>22.632743402647662</x:v>
      </x:c>
      <x:c r="H374" s="18" t="n">
        <x:f>MAX(F374,0)</x:f>
        <x:v>0</x:v>
      </x:c>
      <x:c r="I374" s="18" t="n">
        <x:f>J373</x:f>
        <x:v>179.55507935652074</x:v>
      </x:c>
      <x:c r="J374" s="18" t="n">
        <x:f>I374+E374*(G374*'原始输入与口径'!$D$5-H374/'原始输入与口径'!$D$5)</x:f>
        <x:v>184.7606103391297</x:v>
      </x:c>
      <x:c r="K374" s="18" t="n">
        <x:v>179.55507935652074</x:v>
      </x:c>
      <x:c r="L374" s="18" t="n">
        <x:v>184.7606103391297</x:v>
      </x:c>
      <x:c r="M374" s="18" t="n">
        <x:f>J374-L374</x:f>
        <x:v>0</x:v>
      </x:c>
      <x:c r="N374" s="18" t="n">
        <x:f>E374*(G374*'原始输入与口径'!$D$5+H374/'原始输入与口径'!$D$5)/'原始输入与口径'!$H$5</x:f>
        <x:v>0.014459808285024895</x:v>
      </x:c>
      <x:c r="O374" s="18" t="n">
        <x:v>0.014459808285024895</x:v>
      </x:c>
      <x:c r="P374" s="18" t="n">
        <x:f>N374-O374</x:f>
        <x:v>0</x:v>
      </x:c>
      <x:c r="Q374" s="18" t="n">
        <x:f>E374*G374</x:f>
        <x:v>5.658185850661916</x:v>
      </x:c>
      <x:c r="R374" s="18" t="n">
        <x:f>E374*H374</x:f>
        <x:v>0</x:v>
      </x:c>
      <x:c r="S374" s="2" t="n">
        <x:v>159</x:v>
      </x:c>
    </x:row>
    <x:row r="375" ht="21" customHeight="1">
      <x:c r="A375" s="36" t="n">
        <x:v>45659.65625</x:v>
      </x:c>
      <x:c r="B375" s="36" t="n">
        <x:v>45659.666666666664</x:v>
      </x:c>
      <x:c r="C375" s="36" t="n">
        <x:v>45659.65625</x:v>
      </x:c>
      <x:c r="D375" s="2" t="str">
        <x:v>NO_AFRR_OBLIGATION</x:v>
      </x:c>
      <x:c r="E375" s="18" t="n">
        <x:v>0.25</x:v>
      </x:c>
      <x:c r="F375" s="18" t="n">
        <x:f>IF(D375="d",'两日价格与决策'!K166-'两日价格与决策'!N166,IF(D375="u",'两日价格与决策'!K166+'两日价格与决策'!M166,'两日价格与决策'!K166))</x:f>
        <x:v>-22.632743402647662</x:v>
      </x:c>
      <x:c r="G375" s="18" t="n">
        <x:f>MAX(-F375,0)</x:f>
        <x:v>22.632743402647662</x:v>
      </x:c>
      <x:c r="H375" s="18" t="n">
        <x:f>MAX(F375,0)</x:f>
        <x:v>0</x:v>
      </x:c>
      <x:c r="I375" s="18" t="n">
        <x:f>J374</x:f>
        <x:v>184.7606103391297</x:v>
      </x:c>
      <x:c r="J375" s="18" t="n">
        <x:f>I375+E375*(G375*'原始输入与口径'!$D$5-H375/'原始输入与口径'!$D$5)</x:f>
        <x:v>189.96614132173866</x:v>
      </x:c>
      <x:c r="K375" s="18" t="n">
        <x:v>184.7606103391297</x:v>
      </x:c>
      <x:c r="L375" s="18" t="n">
        <x:v>189.96614132173866</x:v>
      </x:c>
      <x:c r="M375" s="18" t="n">
        <x:f>J375-L375</x:f>
        <x:v>0</x:v>
      </x:c>
      <x:c r="N375" s="18" t="n">
        <x:f>E375*(G375*'原始输入与口径'!$D$5+H375/'原始输入与口径'!$D$5)/'原始输入与口径'!$H$5</x:f>
        <x:v>0.014459808285024895</x:v>
      </x:c>
      <x:c r="O375" s="18" t="n">
        <x:v>0.014459808285024895</x:v>
      </x:c>
      <x:c r="P375" s="18" t="n">
        <x:f>N375-O375</x:f>
        <x:v>0</x:v>
      </x:c>
      <x:c r="Q375" s="18" t="n">
        <x:f>E375*G375</x:f>
        <x:v>5.658185850661916</x:v>
      </x:c>
      <x:c r="R375" s="18" t="n">
        <x:f>E375*H375</x:f>
        <x:v>0</x:v>
      </x:c>
      <x:c r="S375" s="2" t="n">
        <x:v>160</x:v>
      </x:c>
    </x:row>
    <x:row r="376" ht="21" customHeight="1">
      <x:c r="A376" s="36" t="n">
        <x:v>45659.666666666664</x:v>
      </x:c>
      <x:c r="B376" s="36" t="n">
        <x:v>45659.671095</x:v>
      </x:c>
      <x:c r="C376" s="36" t="n">
        <x:v>45659.666666666664</x:v>
      </x:c>
      <x:c r="D376" s="2" t="str">
        <x:v>u</x:v>
      </x:c>
      <x:c r="E376" s="18" t="n">
        <x:v>0.10628</x:v>
      </x:c>
      <x:c r="F376" s="18" t="n">
        <x:f>IF(D376="d",'两日价格与决策'!K167-'两日价格与决策'!N167,IF(D376="u",'两日价格与决策'!K167+'两日价格与决策'!M167,'两日价格与决策'!K167))</x:f>
        <x:v>81</x:v>
      </x:c>
      <x:c r="G376" s="18" t="n">
        <x:f>MAX(-F376,0)</x:f>
        <x:v>0</x:v>
      </x:c>
      <x:c r="H376" s="18" t="n">
        <x:f>MAX(F376,0)</x:f>
        <x:v>81</x:v>
      </x:c>
      <x:c r="I376" s="18" t="n">
        <x:f>J375</x:f>
        <x:v>189.96614132173866</x:v>
      </x:c>
      <x:c r="J376" s="18" t="n">
        <x:f>I376+E376*(G376*'原始输入与口径'!$D$5-H376/'原始输入与口径'!$D$5)</x:f>
        <x:v>180.60888045217345</x:v>
      </x:c>
      <x:c r="K376" s="18" t="n">
        <x:v>189.96614132173866</x:v>
      </x:c>
      <x:c r="L376" s="18" t="n">
        <x:v>180.60888045217345</x:v>
      </x:c>
      <x:c r="M376" s="18" t="n">
        <x:f>J376-L376</x:f>
        <x:v>0</x:v>
      </x:c>
      <x:c r="N376" s="18" t="n">
        <x:f>E376*(G376*'原始输入与口径'!$D$5+H376/'原始输入与口径'!$D$5)/'原始输入与口径'!$H$5</x:f>
        <x:v>0.025992391304347825</x:v>
      </x:c>
      <x:c r="O376" s="18" t="n">
        <x:v>0.025992391304347825</x:v>
      </x:c>
      <x:c r="P376" s="18" t="n">
        <x:f>N376-O376</x:f>
        <x:v>0</x:v>
      </x:c>
      <x:c r="Q376" s="18" t="n">
        <x:f>E376*G376</x:f>
        <x:v>0</x:v>
      </x:c>
      <x:c r="R376" s="18" t="n">
        <x:f>E376*H376</x:f>
        <x:v>8.60868</x:v>
      </x:c>
      <x:c r="S376" s="2" t="n">
        <x:v>161</x:v>
      </x:c>
    </x:row>
    <x:row r="377" ht="21" customHeight="1">
      <x:c r="A377" s="36" t="n">
        <x:v>45659.671095</x:v>
      </x:c>
      <x:c r="B377" s="36" t="n">
        <x:v>45659.67708333333</x:v>
      </x:c>
      <x:c r="C377" s="36" t="n">
        <x:v>45659.666666666664</x:v>
      </x:c>
      <x:c r="D377" s="2" t="str">
        <x:v>0</x:v>
      </x:c>
      <x:c r="E377" s="18" t="n">
        <x:v>0.14372000000000001</x:v>
      </x:c>
      <x:c r="F377" s="18" t="n">
        <x:f>IF(D377="d",'两日价格与决策'!K167-'两日价格与决策'!N167,IF(D377="u",'两日价格与决策'!K167+'两日价格与决策'!M167,'两日价格与决策'!K167))</x:f>
        <x:v>-19</x:v>
      </x:c>
      <x:c r="G377" s="18" t="n">
        <x:f>MAX(-F377,0)</x:f>
        <x:v>19</x:v>
      </x:c>
      <x:c r="H377" s="18" t="n">
        <x:f>MAX(F377,0)</x:f>
        <x:v>0</x:v>
      </x:c>
      <x:c r="I377" s="18" t="n">
        <x:f>J376</x:f>
        <x:v>180.60888045217345</x:v>
      </x:c>
      <x:c r="J377" s="18" t="n">
        <x:f>I377+E377*(G377*'原始输入与口径'!$D$5-H377/'原始输入与口径'!$D$5)</x:f>
        <x:v>183.12110605217345</x:v>
      </x:c>
      <x:c r="K377" s="18" t="n">
        <x:v>180.60888045217345</x:v>
      </x:c>
      <x:c r="L377" s="18" t="n">
        <x:v>183.12110605217345</x:v>
      </x:c>
      <x:c r="M377" s="18" t="n">
        <x:f>J377-L377</x:f>
        <x:v>0</x:v>
      </x:c>
      <x:c r="N377" s="18" t="n">
        <x:f>E377*(G377*'原始输入与口径'!$D$5+H377/'原始输入与口径'!$D$5)/'原始输入与口径'!$H$5</x:f>
        <x:v>0.006978404444444445</x:v>
      </x:c>
      <x:c r="O377" s="18" t="n">
        <x:v>0.006978404444444446</x:v>
      </x:c>
      <x:c r="P377" s="18" t="n">
        <x:f>N377-O377</x:f>
        <x:v>-8.673617379884035e-19</x:v>
      </x:c>
      <x:c r="Q377" s="18" t="n">
        <x:f>E377*G377</x:f>
        <x:v>2.7306800000000004</x:v>
      </x:c>
      <x:c r="R377" s="18" t="n">
        <x:f>E377*H377</x:f>
        <x:v>0</x:v>
      </x:c>
      <x:c r="S377" s="2" t="n">
        <x:v>161</x:v>
      </x:c>
    </x:row>
    <x:row r="378" ht="21" customHeight="1">
      <x:c r="A378" s="36" t="n">
        <x:v>45659.677083333336</x:v>
      </x:c>
      <x:c r="B378" s="36" t="n">
        <x:v>45659.682670208334</x:v>
      </x:c>
      <x:c r="C378" s="36" t="n">
        <x:v>45659.677083333336</x:v>
      </x:c>
      <x:c r="D378" s="2" t="str">
        <x:v>u</x:v>
      </x:c>
      <x:c r="E378" s="18" t="n">
        <x:v>0.134085</x:v>
      </x:c>
      <x:c r="F378" s="18" t="n">
        <x:f>IF(D378="d",'两日价格与决策'!K168-'两日价格与决策'!N168,IF(D378="u",'两日价格与决策'!K168+'两日价格与决策'!M168,'两日价格与决策'!K168))</x:f>
        <x:v>81</x:v>
      </x:c>
      <x:c r="G378" s="18" t="n">
        <x:f>MAX(-F378,0)</x:f>
        <x:v>0</x:v>
      </x:c>
      <x:c r="H378" s="18" t="n">
        <x:f>MAX(F378,0)</x:f>
        <x:v>81</x:v>
      </x:c>
      <x:c r="I378" s="18" t="n">
        <x:f>J377</x:f>
        <x:v>183.12110605217345</x:v>
      </x:c>
      <x:c r="J378" s="18" t="n">
        <x:f>I378+E378*(G378*'原始输入与口径'!$D$5-H378/'原始输入与口径'!$D$5)</x:f>
        <x:v>171.31579626956474</x:v>
      </x:c>
      <x:c r="K378" s="18" t="n">
        <x:v>183.12110605217345</x:v>
      </x:c>
      <x:c r="L378" s="18" t="n">
        <x:v>171.31579626956474</x:v>
      </x:c>
      <x:c r="M378" s="18" t="n">
        <x:f>J378-L378</x:f>
        <x:v>0</x:v>
      </x:c>
      <x:c r="N378" s="18" t="n">
        <x:f>E378*(G378*'原始输入与口径'!$D$5+H378/'原始输入与口径'!$D$5)/'原始输入与口径'!$H$5</x:f>
        <x:v>0.032792527173913046</x:v>
      </x:c>
      <x:c r="O378" s="18" t="n">
        <x:v>0.032792527173913046</x:v>
      </x:c>
      <x:c r="P378" s="18" t="n">
        <x:f>N378-O378</x:f>
        <x:v>0</x:v>
      </x:c>
      <x:c r="Q378" s="18" t="n">
        <x:f>E378*G378</x:f>
        <x:v>0</x:v>
      </x:c>
      <x:c r="R378" s="18" t="n">
        <x:f>E378*H378</x:f>
        <x:v>10.860885000000001</x:v>
      </x:c>
      <x:c r="S378" s="2" t="n">
        <x:v>162</x:v>
      </x:c>
    </x:row>
    <x:row r="379" ht="21" customHeight="1">
      <x:c r="A379" s="36" t="n">
        <x:v>45659.682670208334</x:v>
      </x:c>
      <x:c r="B379" s="36" t="n">
        <x:v>45659.6875</x:v>
      </x:c>
      <x:c r="C379" s="36" t="n">
        <x:v>45659.677083333336</x:v>
      </x:c>
      <x:c r="D379" s="2" t="str">
        <x:v>0</x:v>
      </x:c>
      <x:c r="E379" s="18" t="n">
        <x:v>0.11591499999999999</x:v>
      </x:c>
      <x:c r="F379" s="18" t="n">
        <x:f>IF(D379="d",'两日价格与决策'!K168-'两日价格与决策'!N168,IF(D379="u",'两日价格与决策'!K168+'两日价格与决策'!M168,'两日价格与决策'!K168))</x:f>
        <x:v>-19</x:v>
      </x:c>
      <x:c r="G379" s="18" t="n">
        <x:f>MAX(-F379,0)</x:f>
        <x:v>19</x:v>
      </x:c>
      <x:c r="H379" s="18" t="n">
        <x:f>MAX(F379,0)</x:f>
        <x:v>0</x:v>
      </x:c>
      <x:c r="I379" s="18" t="n">
        <x:f>J378</x:f>
        <x:v>171.31579626956474</x:v>
      </x:c>
      <x:c r="J379" s="18" t="n">
        <x:f>I379+E379*(G379*'原始输入与口径'!$D$5-H379/'原始输入与口径'!$D$5)</x:f>
        <x:v>173.34199046956473</x:v>
      </x:c>
      <x:c r="K379" s="18" t="n">
        <x:v>171.31579626956474</x:v>
      </x:c>
      <x:c r="L379" s="18" t="n">
        <x:v>173.34199046956473</x:v>
      </x:c>
      <x:c r="M379" s="18" t="n">
        <x:f>J379-L379</x:f>
        <x:v>0</x:v>
      </x:c>
      <x:c r="N379" s="18" t="n">
        <x:f>E379*(G379*'原始输入与口径'!$D$5+H379/'原始输入与口径'!$D$5)/'原始输入与口径'!$H$5</x:f>
        <x:v>0.005628317222222222</x:v>
      </x:c>
      <x:c r="O379" s="18" t="n">
        <x:v>0.0056283172222222205</x:v>
      </x:c>
      <x:c r="P379" s="18" t="n">
        <x:f>N379-O379</x:f>
        <x:v>1.734723475976807e-18</x:v>
      </x:c>
      <x:c r="Q379" s="18" t="n">
        <x:f>E379*G379</x:f>
        <x:v>2.2023849999999996</x:v>
      </x:c>
      <x:c r="R379" s="18" t="n">
        <x:f>E379*H379</x:f>
        <x:v>0</x:v>
      </x:c>
      <x:c r="S379" s="2" t="n">
        <x:v>162</x:v>
      </x:c>
    </x:row>
    <x:row r="380" ht="21" customHeight="1">
      <x:c r="A380" s="36" t="n">
        <x:v>45659.6875</x:v>
      </x:c>
      <x:c r="B380" s="36" t="n">
        <x:v>45659.691089375</x:v>
      </x:c>
      <x:c r="C380" s="36" t="n">
        <x:v>45659.6875</x:v>
      </x:c>
      <x:c r="D380" s="2" t="str">
        <x:v>u</x:v>
      </x:c>
      <x:c r="E380" s="18" t="n">
        <x:v>0.086145</x:v>
      </x:c>
      <x:c r="F380" s="18" t="n">
        <x:f>IF(D380="d",'两日价格与决策'!K169-'两日价格与决策'!N169,IF(D380="u",'两日价格与决策'!K169+'两日价格与决策'!M169,'两日价格与决策'!K169))</x:f>
        <x:v>81</x:v>
      </x:c>
      <x:c r="G380" s="18" t="n">
        <x:f>MAX(-F380,0)</x:f>
        <x:v>0</x:v>
      </x:c>
      <x:c r="H380" s="18" t="n">
        <x:f>MAX(F380,0)</x:f>
        <x:v>81</x:v>
      </x:c>
      <x:c r="I380" s="18" t="n">
        <x:f>J379</x:f>
        <x:v>173.34199046956473</x:v>
      </x:c>
      <x:c r="J380" s="18" t="n">
        <x:f>I380+E380*(G380*'原始输入与口径'!$D$5-H380/'原始输入与口径'!$D$5)</x:f>
        <x:v>165.75748503478212</x:v>
      </x:c>
      <x:c r="K380" s="18" t="n">
        <x:v>173.34199046956473</x:v>
      </x:c>
      <x:c r="L380" s="18" t="n">
        <x:v>165.75748503478212</x:v>
      </x:c>
      <x:c r="M380" s="18" t="n">
        <x:f>J380-L380</x:f>
        <x:v>0</x:v>
      </x:c>
      <x:c r="N380" s="18" t="n">
        <x:f>E380*(G380*'原始输入与口径'!$D$5+H380/'原始输入与口径'!$D$5)/'原始输入与口径'!$H$5</x:f>
        <x:v>0.021068070652173913</x:v>
      </x:c>
      <x:c r="O380" s="18" t="n">
        <x:v>0.021068070652173913</x:v>
      </x:c>
      <x:c r="P380" s="18" t="n">
        <x:f>N380-O380</x:f>
        <x:v>0</x:v>
      </x:c>
      <x:c r="Q380" s="18" t="n">
        <x:f>E380*G380</x:f>
        <x:v>0</x:v>
      </x:c>
      <x:c r="R380" s="18" t="n">
        <x:f>E380*H380</x:f>
        <x:v>6.977745</x:v>
      </x:c>
      <x:c r="S380" s="2" t="n">
        <x:v>163</x:v>
      </x:c>
    </x:row>
    <x:row r="381" ht="21" customHeight="1">
      <x:c r="A381" s="36" t="n">
        <x:v>45659.691089375</x:v>
      </x:c>
      <x:c r="B381" s="36" t="n">
        <x:v>45659.697916666664</x:v>
      </x:c>
      <x:c r="C381" s="36" t="n">
        <x:v>45659.6875</x:v>
      </x:c>
      <x:c r="D381" s="2" t="str">
        <x:v>0</x:v>
      </x:c>
      <x:c r="E381" s="18" t="n">
        <x:v>0.163855</x:v>
      </x:c>
      <x:c r="F381" s="18" t="n">
        <x:f>IF(D381="d",'两日价格与决策'!K169-'两日价格与决策'!N169,IF(D381="u",'两日价格与决策'!K169+'两日价格与决策'!M169,'两日价格与决策'!K169))</x:f>
        <x:v>-19</x:v>
      </x:c>
      <x:c r="G381" s="18" t="n">
        <x:f>MAX(-F381,0)</x:f>
        <x:v>19</x:v>
      </x:c>
      <x:c r="H381" s="18" t="n">
        <x:f>MAX(F381,0)</x:f>
        <x:v>0</x:v>
      </x:c>
      <x:c r="I381" s="18" t="n">
        <x:f>J380</x:f>
        <x:v>165.75748503478212</x:v>
      </x:c>
      <x:c r="J381" s="18" t="n">
        <x:f>I381+E381*(G381*'原始输入与口径'!$D$5-H381/'原始输入与口径'!$D$5)</x:f>
        <x:v>168.62167043478212</x:v>
      </x:c>
      <x:c r="K381" s="18" t="n">
        <x:v>165.75748503478212</x:v>
      </x:c>
      <x:c r="L381" s="18" t="n">
        <x:v>168.62167043478212</x:v>
      </x:c>
      <x:c r="M381" s="18" t="n">
        <x:f>J381-L381</x:f>
        <x:v>0</x:v>
      </x:c>
      <x:c r="N381" s="18" t="n">
        <x:f>E381*(G381*'原始输入与口径'!$D$5+H381/'原始输入与口径'!$D$5)/'原始输入与口径'!$H$5</x:f>
        <x:v>0.007956070555555556</x:v>
      </x:c>
      <x:c r="O381" s="18" t="n">
        <x:v>0.007956070555555556</x:v>
      </x:c>
      <x:c r="P381" s="18" t="n">
        <x:f>N381-O381</x:f>
        <x:v>0</x:v>
      </x:c>
      <x:c r="Q381" s="18" t="n">
        <x:f>E381*G381</x:f>
        <x:v>3.113245</x:v>
      </x:c>
      <x:c r="R381" s="18" t="n">
        <x:f>E381*H381</x:f>
        <x:v>0</x:v>
      </x:c>
      <x:c r="S381" s="2" t="n">
        <x:v>163</x:v>
      </x:c>
    </x:row>
    <x:row r="382" ht="21" customHeight="1">
      <x:c r="A382" s="36" t="n">
        <x:v>45659.697916666664</x:v>
      </x:c>
      <x:c r="B382" s="36" t="n">
        <x:v>45659.705231249995</x:v>
      </x:c>
      <x:c r="C382" s="36" t="n">
        <x:v>45659.697916666664</x:v>
      </x:c>
      <x:c r="D382" s="2" t="str">
        <x:v>u</x:v>
      </x:c>
      <x:c r="E382" s="18" t="n">
        <x:v>0.17554999999999998</x:v>
      </x:c>
      <x:c r="F382" s="18" t="n">
        <x:f>IF(D382="d",'两日价格与决策'!K170-'两日价格与决策'!N170,IF(D382="u",'两日价格与决策'!K170+'两日价格与决策'!M170,'两日价格与决策'!K170))</x:f>
        <x:v>81</x:v>
      </x:c>
      <x:c r="G382" s="18" t="n">
        <x:f>MAX(-F382,0)</x:f>
        <x:v>0</x:v>
      </x:c>
      <x:c r="H382" s="18" t="n">
        <x:f>MAX(F382,0)</x:f>
        <x:v>81</x:v>
      </x:c>
      <x:c r="I382" s="18" t="n">
        <x:f>J381</x:f>
        <x:v>168.62167043478212</x:v>
      </x:c>
      <x:c r="J382" s="18" t="n">
        <x:f>I382+E382*(G382*'原始输入与口径'!$D$5-H382/'原始输入与口径'!$D$5)</x:f>
        <x:v>153.16563782608648</x:v>
      </x:c>
      <x:c r="K382" s="18" t="n">
        <x:v>168.62167043478212</x:v>
      </x:c>
      <x:c r="L382" s="18" t="n">
        <x:v>153.16563782608648</x:v>
      </x:c>
      <x:c r="M382" s="18" t="n">
        <x:f>J382-L382</x:f>
        <x:v>0</x:v>
      </x:c>
      <x:c r="N382" s="18" t="n">
        <x:f>E382*(G382*'原始输入与口径'!$D$5+H382/'原始输入与口径'!$D$5)/'原始输入与口径'!$H$5</x:f>
        <x:v>0.04293342391304347</x:v>
      </x:c>
      <x:c r="O382" s="18" t="n">
        <x:v>0.04293342391304347</x:v>
      </x:c>
      <x:c r="P382" s="18" t="n">
        <x:f>N382-O382</x:f>
        <x:v>0</x:v>
      </x:c>
      <x:c r="Q382" s="18" t="n">
        <x:f>E382*G382</x:f>
        <x:v>0</x:v>
      </x:c>
      <x:c r="R382" s="18" t="n">
        <x:f>E382*H382</x:f>
        <x:v>14.219549999999998</x:v>
      </x:c>
      <x:c r="S382" s="2" t="n">
        <x:v>164</x:v>
      </x:c>
    </x:row>
    <x:row r="383" ht="21" customHeight="1">
      <x:c r="A383" s="36" t="n">
        <x:v>45659.705231249995</x:v>
      </x:c>
      <x:c r="B383" s="36" t="n">
        <x:v>45659.70833333333</x:v>
      </x:c>
      <x:c r="C383" s="36" t="n">
        <x:v>45659.697916666664</x:v>
      </x:c>
      <x:c r="D383" s="2" t="str">
        <x:v>0</x:v>
      </x:c>
      <x:c r="E383" s="18" t="n">
        <x:v>0.07445000000000002</x:v>
      </x:c>
      <x:c r="F383" s="18" t="n">
        <x:f>IF(D383="d",'两日价格与决策'!K170-'两日价格与决策'!N170,IF(D383="u",'两日价格与决策'!K170+'两日价格与决策'!M170,'两日价格与决策'!K170))</x:f>
        <x:v>-19</x:v>
      </x:c>
      <x:c r="G383" s="18" t="n">
        <x:f>MAX(-F383,0)</x:f>
        <x:v>19</x:v>
      </x:c>
      <x:c r="H383" s="18" t="n">
        <x:f>MAX(F383,0)</x:f>
        <x:v>0</x:v>
      </x:c>
      <x:c r="I383" s="18" t="n">
        <x:f>J382</x:f>
        <x:v>153.16563782608648</x:v>
      </x:c>
      <x:c r="J383" s="18" t="n">
        <x:f>I383+E383*(G383*'原始输入与口径'!$D$5-H383/'原始输入与口径'!$D$5)</x:f>
        <x:v>154.4670238260865</x:v>
      </x:c>
      <x:c r="K383" s="18" t="n">
        <x:v>153.16563782608648</x:v>
      </x:c>
      <x:c r="L383" s="18" t="n">
        <x:v>154.4670238260865</x:v>
      </x:c>
      <x:c r="M383" s="18" t="n">
        <x:f>J383-L383</x:f>
        <x:v>0</x:v>
      </x:c>
      <x:c r="N383" s="18" t="n">
        <x:f>E383*(G383*'原始输入与口径'!$D$5+H383/'原始输入与口径'!$D$5)/'原始输入与口径'!$H$5</x:f>
        <x:v>0.0036149611111111124</x:v>
      </x:c>
      <x:c r="O383" s="18" t="n">
        <x:v>0.0036149611111111115</x:v>
      </x:c>
      <x:c r="P383" s="18" t="n">
        <x:f>N383-O383</x:f>
        <x:v>8.673617379884035e-19</x:v>
      </x:c>
      <x:c r="Q383" s="18" t="n">
        <x:f>E383*G383</x:f>
        <x:v>1.4145500000000002</x:v>
      </x:c>
      <x:c r="R383" s="18" t="n">
        <x:f>E383*H383</x:f>
        <x:v>0</x:v>
      </x:c>
      <x:c r="S383" s="2" t="n">
        <x:v>164</x:v>
      </x:c>
    </x:row>
    <x:row r="384" ht="21" customHeight="1">
      <x:c r="A384" s="36" t="n">
        <x:v>45659.708333333336</x:v>
      </x:c>
      <x:c r="B384" s="36" t="n">
        <x:v>45659.710717291666</x:v>
      </x:c>
      <x:c r="C384" s="36" t="n">
        <x:v>45659.708333333336</x:v>
      </x:c>
      <x:c r="D384" s="2" t="str">
        <x:v>u</x:v>
      </x:c>
      <x:c r="E384" s="18" t="n">
        <x:v>0.057214999999999995</x:v>
      </x:c>
      <x:c r="F384" s="18" t="n">
        <x:f>IF(D384="d",'两日价格与决策'!K171-'两日价格与决策'!N171,IF(D384="u",'两日价格与决策'!K171+'两日价格与决策'!M171,'两日价格与决策'!K171))</x:f>
        <x:v>100</x:v>
      </x:c>
      <x:c r="G384" s="18" t="n">
        <x:f>MAX(-F384,0)</x:f>
        <x:v>0</x:v>
      </x:c>
      <x:c r="H384" s="18" t="n">
        <x:f>MAX(F384,0)</x:f>
        <x:v>100</x:v>
      </x:c>
      <x:c r="I384" s="18" t="n">
        <x:f>J383</x:f>
        <x:v>154.4670238260865</x:v>
      </x:c>
      <x:c r="J384" s="18" t="n">
        <x:f>I384+E384*(G384*'原始输入与口径'!$D$5-H384/'原始输入与口径'!$D$5)</x:f>
        <x:v>148.24800208695606</x:v>
      </x:c>
      <x:c r="K384" s="18" t="n">
        <x:v>154.4670238260865</x:v>
      </x:c>
      <x:c r="L384" s="18" t="n">
        <x:v>148.24800208695606</x:v>
      </x:c>
      <x:c r="M384" s="18" t="n">
        <x:f>J384-L384</x:f>
        <x:v>0</x:v>
      </x:c>
      <x:c r="N384" s="18" t="n">
        <x:f>E384*(G384*'原始输入与口径'!$D$5+H384/'原始输入与口径'!$D$5)/'原始输入与口径'!$H$5</x:f>
        <x:v>0.017275060386473428</x:v>
      </x:c>
      <x:c r="O384" s="18" t="n">
        <x:v>0.017275060386473428</x:v>
      </x:c>
      <x:c r="P384" s="18" t="n">
        <x:f>N384-O384</x:f>
        <x:v>0</x:v>
      </x:c>
      <x:c r="Q384" s="18" t="n">
        <x:f>E384*G384</x:f>
        <x:v>0</x:v>
      </x:c>
      <x:c r="R384" s="18" t="n">
        <x:f>E384*H384</x:f>
        <x:v>5.7215</x:v>
      </x:c>
      <x:c r="S384" s="2" t="n">
        <x:v>165</x:v>
      </x:c>
    </x:row>
    <x:row r="385" ht="21" customHeight="1">
      <x:c r="A385" s="36" t="n">
        <x:v>45659.710717291666</x:v>
      </x:c>
      <x:c r="B385" s="36" t="n">
        <x:v>45659.71875</x:v>
      </x:c>
      <x:c r="C385" s="36" t="n">
        <x:v>45659.708333333336</x:v>
      </x:c>
      <x:c r="D385" s="2" t="str">
        <x:v>0</x:v>
      </x:c>
      <x:c r="E385" s="18" t="n">
        <x:v>0.192785</x:v>
      </x:c>
      <x:c r="F385" s="18" t="n">
        <x:f>IF(D385="d",'两日价格与决策'!K171-'两日价格与决策'!N171,IF(D385="u",'两日价格与决策'!K171+'两日价格与决策'!M171,'两日价格与决策'!K171))</x:f>
        <x:v>0</x:v>
      </x:c>
      <x:c r="G385" s="18" t="n">
        <x:f>MAX(-F385,0)</x:f>
        <x:v>0</x:v>
      </x:c>
      <x:c r="H385" s="18" t="n">
        <x:f>MAX(F385,0)</x:f>
        <x:v>0</x:v>
      </x:c>
      <x:c r="I385" s="18" t="n">
        <x:f>J384</x:f>
        <x:v>148.24800208695606</x:v>
      </x:c>
      <x:c r="J385" s="18" t="n">
        <x:f>I385+E385*(G385*'原始输入与口径'!$D$5-H385/'原始输入与口径'!$D$5)</x:f>
        <x:v>148.24800208695606</x:v>
      </x:c>
      <x:c r="K385" s="18" t="n">
        <x:v>148.24800208695606</x:v>
      </x:c>
      <x:c r="L385" s="18" t="n">
        <x:v>148.24800208695606</x:v>
      </x:c>
      <x:c r="M385" s="18" t="n">
        <x:f>J385-L385</x:f>
        <x:v>0</x:v>
      </x:c>
      <x:c r="N385" s="18" t="n">
        <x:f>E385*(G385*'原始输入与口径'!$D$5+H385/'原始输入与口径'!$D$5)/'原始输入与口径'!$H$5</x:f>
        <x:v>0</x:v>
      </x:c>
      <x:c r="O385" s="18" t="n">
        <x:v>0</x:v>
      </x:c>
      <x:c r="P385" s="18" t="n">
        <x:f>N385-O385</x:f>
        <x:v>0</x:v>
      </x:c>
      <x:c r="Q385" s="18" t="n">
        <x:f>E385*G385</x:f>
        <x:v>0</x:v>
      </x:c>
      <x:c r="R385" s="18" t="n">
        <x:f>E385*H385</x:f>
        <x:v>0</x:v>
      </x:c>
      <x:c r="S385" s="2" t="n">
        <x:v>165</x:v>
      </x:c>
    </x:row>
    <x:row r="386" ht="21" customHeight="1">
      <x:c r="A386" s="36" t="n">
        <x:v>45659.71875</x:v>
      </x:c>
      <x:c r="B386" s="36" t="n">
        <x:v>45659.724048125</x:v>
      </x:c>
      <x:c r="C386" s="36" t="n">
        <x:v>45659.71875</x:v>
      </x:c>
      <x:c r="D386" s="2" t="str">
        <x:v>u</x:v>
      </x:c>
      <x:c r="E386" s="18" t="n">
        <x:v>0.12715500000000002</x:v>
      </x:c>
      <x:c r="F386" s="18" t="n">
        <x:f>IF(D386="d",'两日价格与决策'!K172-'两日价格与决策'!N172,IF(D386="u",'两日价格与决策'!K172+'两日价格与决策'!M172,'两日价格与决策'!K172))</x:f>
        <x:v>100</x:v>
      </x:c>
      <x:c r="G386" s="18" t="n">
        <x:f>MAX(-F386,0)</x:f>
        <x:v>0</x:v>
      </x:c>
      <x:c r="H386" s="18" t="n">
        <x:f>MAX(F386,0)</x:f>
        <x:v>100</x:v>
      </x:c>
      <x:c r="I386" s="18" t="n">
        <x:f>J385</x:f>
        <x:v>148.24800208695606</x:v>
      </x:c>
      <x:c r="J386" s="18" t="n">
        <x:f>I386+E386*(G386*'原始输入与口径'!$D$5-H386/'原始输入与口径'!$D$5)</x:f>
        <x:v>134.42680643478215</x:v>
      </x:c>
      <x:c r="K386" s="18" t="n">
        <x:v>148.24800208695606</x:v>
      </x:c>
      <x:c r="L386" s="18" t="n">
        <x:v>134.42680643478215</x:v>
      </x:c>
      <x:c r="M386" s="18" t="n">
        <x:f>J386-L386</x:f>
        <x:v>0</x:v>
      </x:c>
      <x:c r="N386" s="18" t="n">
        <x:f>E386*(G386*'原始输入与口径'!$D$5+H386/'原始输入与口径'!$D$5)/'原始输入与口径'!$H$5</x:f>
        <x:v>0.03839221014492754</x:v>
      </x:c>
      <x:c r="O386" s="18" t="n">
        <x:v>0.03839221014492754</x:v>
      </x:c>
      <x:c r="P386" s="18" t="n">
        <x:f>N386-O386</x:f>
        <x:v>0</x:v>
      </x:c>
      <x:c r="Q386" s="18" t="n">
        <x:f>E386*G386</x:f>
        <x:v>0</x:v>
      </x:c>
      <x:c r="R386" s="18" t="n">
        <x:f>E386*H386</x:f>
        <x:v>12.715500000000002</x:v>
      </x:c>
      <x:c r="S386" s="2" t="n">
        <x:v>166</x:v>
      </x:c>
    </x:row>
    <x:row r="387" ht="21" customHeight="1">
      <x:c r="A387" s="36" t="n">
        <x:v>45659.724048125</x:v>
      </x:c>
      <x:c r="B387" s="36" t="n">
        <x:v>45659.729166666664</x:v>
      </x:c>
      <x:c r="C387" s="36" t="n">
        <x:v>45659.71875</x:v>
      </x:c>
      <x:c r="D387" s="2" t="str">
        <x:v>0</x:v>
      </x:c>
      <x:c r="E387" s="18" t="n">
        <x:v>0.12284499999999998</x:v>
      </x:c>
      <x:c r="F387" s="18" t="n">
        <x:f>IF(D387="d",'两日价格与决策'!K172-'两日价格与决策'!N172,IF(D387="u",'两日价格与决策'!K172+'两日价格与决策'!M172,'两日价格与决策'!K172))</x:f>
        <x:v>0</x:v>
      </x:c>
      <x:c r="G387" s="18" t="n">
        <x:f>MAX(-F387,0)</x:f>
        <x:v>0</x:v>
      </x:c>
      <x:c r="H387" s="18" t="n">
        <x:f>MAX(F387,0)</x:f>
        <x:v>0</x:v>
      </x:c>
      <x:c r="I387" s="18" t="n">
        <x:f>J386</x:f>
        <x:v>134.42680643478215</x:v>
      </x:c>
      <x:c r="J387" s="18" t="n">
        <x:f>I387+E387*(G387*'原始输入与口径'!$D$5-H387/'原始输入与口径'!$D$5)</x:f>
        <x:v>134.42680643478215</x:v>
      </x:c>
      <x:c r="K387" s="18" t="n">
        <x:v>134.42680643478215</x:v>
      </x:c>
      <x:c r="L387" s="18" t="n">
        <x:v>134.42680643478215</x:v>
      </x:c>
      <x:c r="M387" s="18" t="n">
        <x:f>J387-L387</x:f>
        <x:v>0</x:v>
      </x:c>
      <x:c r="N387" s="18" t="n">
        <x:f>E387*(G387*'原始输入与口径'!$D$5+H387/'原始输入与口径'!$D$5)/'原始输入与口径'!$H$5</x:f>
        <x:v>0</x:v>
      </x:c>
      <x:c r="O387" s="18" t="n">
        <x:v>0</x:v>
      </x:c>
      <x:c r="P387" s="18" t="n">
        <x:f>N387-O387</x:f>
        <x:v>0</x:v>
      </x:c>
      <x:c r="Q387" s="18" t="n">
        <x:f>E387*G387</x:f>
        <x:v>0</x:v>
      </x:c>
      <x:c r="R387" s="18" t="n">
        <x:f>E387*H387</x:f>
        <x:v>0</x:v>
      </x:c>
      <x:c r="S387" s="2" t="n">
        <x:v>166</x:v>
      </x:c>
    </x:row>
    <x:row r="388" ht="21" customHeight="1">
      <x:c r="A388" s="36" t="n">
        <x:v>45659.729166666664</x:v>
      </x:c>
      <x:c r="B388" s="36" t="n">
        <x:v>45659.733755</x:v>
      </x:c>
      <x:c r="C388" s="36" t="n">
        <x:v>45659.729166666664</x:v>
      </x:c>
      <x:c r="D388" s="2" t="str">
        <x:v>u</x:v>
      </x:c>
      <x:c r="E388" s="18" t="n">
        <x:v>0.11012000000000001</x:v>
      </x:c>
      <x:c r="F388" s="18" t="n">
        <x:f>IF(D388="d",'两日价格与决策'!K173-'两日价格与决策'!N173,IF(D388="u",'两日价格与决策'!K173+'两日价格与决策'!M173,'两日价格与决策'!K173))</x:f>
        <x:v>100</x:v>
      </x:c>
      <x:c r="G388" s="18" t="n">
        <x:f>MAX(-F388,0)</x:f>
        <x:v>0</x:v>
      </x:c>
      <x:c r="H388" s="18" t="n">
        <x:f>MAX(F388,0)</x:f>
        <x:v>100</x:v>
      </x:c>
      <x:c r="I388" s="18" t="n">
        <x:f>J387</x:f>
        <x:v>134.42680643478215</x:v>
      </x:c>
      <x:c r="J388" s="18" t="n">
        <x:f>I388+E388*(G388*'原始输入与口径'!$D$5-H388/'原始输入与口径'!$D$5)</x:f>
        <x:v>122.45724121739084</x:v>
      </x:c>
      <x:c r="K388" s="18" t="n">
        <x:v>134.42680643478215</x:v>
      </x:c>
      <x:c r="L388" s="18" t="n">
        <x:v>122.45724121739084</x:v>
      </x:c>
      <x:c r="M388" s="18" t="n">
        <x:f>J388-L388</x:f>
        <x:v>0</x:v>
      </x:c>
      <x:c r="N388" s="18" t="n">
        <x:f>E388*(G388*'原始输入与口径'!$D$5+H388/'原始输入与口径'!$D$5)/'原始输入与口径'!$H$5</x:f>
        <x:v>0.0332487922705314</x:v>
      </x:c>
      <x:c r="O388" s="18" t="n">
        <x:v>0.0332487922705314</x:v>
      </x:c>
      <x:c r="P388" s="18" t="n">
        <x:f>N388-O388</x:f>
        <x:v>0</x:v>
      </x:c>
      <x:c r="Q388" s="18" t="n">
        <x:f>E388*G388</x:f>
        <x:v>0</x:v>
      </x:c>
      <x:c r="R388" s="18" t="n">
        <x:f>E388*H388</x:f>
        <x:v>11.012</x:v>
      </x:c>
      <x:c r="S388" s="2" t="n">
        <x:v>167</x:v>
      </x:c>
    </x:row>
    <x:row r="389" ht="21" customHeight="1">
      <x:c r="A389" s="36" t="n">
        <x:v>45659.733755</x:v>
      </x:c>
      <x:c r="B389" s="36" t="n">
        <x:v>45659.73958333333</x:v>
      </x:c>
      <x:c r="C389" s="36" t="n">
        <x:v>45659.729166666664</x:v>
      </x:c>
      <x:c r="D389" s="2" t="str">
        <x:v>0</x:v>
      </x:c>
      <x:c r="E389" s="18" t="n">
        <x:v>0.13988</x:v>
      </x:c>
      <x:c r="F389" s="18" t="n">
        <x:f>IF(D389="d",'两日价格与决策'!K173-'两日价格与决策'!N173,IF(D389="u",'两日价格与决策'!K173+'两日价格与决策'!M173,'两日价格与决策'!K173))</x:f>
        <x:v>0</x:v>
      </x:c>
      <x:c r="G389" s="18" t="n">
        <x:f>MAX(-F389,0)</x:f>
        <x:v>0</x:v>
      </x:c>
      <x:c r="H389" s="18" t="n">
        <x:f>MAX(F389,0)</x:f>
        <x:v>0</x:v>
      </x:c>
      <x:c r="I389" s="18" t="n">
        <x:f>J388</x:f>
        <x:v>122.45724121739084</x:v>
      </x:c>
      <x:c r="J389" s="18" t="n">
        <x:f>I389+E389*(G389*'原始输入与口径'!$D$5-H389/'原始输入与口径'!$D$5)</x:f>
        <x:v>122.45724121739084</x:v>
      </x:c>
      <x:c r="K389" s="18" t="n">
        <x:v>122.45724121739084</x:v>
      </x:c>
      <x:c r="L389" s="18" t="n">
        <x:v>122.45724121739084</x:v>
      </x:c>
      <x:c r="M389" s="18" t="n">
        <x:f>J389-L389</x:f>
        <x:v>0</x:v>
      </x:c>
      <x:c r="N389" s="18" t="n">
        <x:f>E389*(G389*'原始输入与口径'!$D$5+H389/'原始输入与口径'!$D$5)/'原始输入与口径'!$H$5</x:f>
        <x:v>0</x:v>
      </x:c>
      <x:c r="O389" s="18" t="n">
        <x:v>0</x:v>
      </x:c>
      <x:c r="P389" s="18" t="n">
        <x:f>N389-O389</x:f>
        <x:v>0</x:v>
      </x:c>
      <x:c r="Q389" s="18" t="n">
        <x:f>E389*G389</x:f>
        <x:v>0</x:v>
      </x:c>
      <x:c r="R389" s="18" t="n">
        <x:f>E389*H389</x:f>
        <x:v>0</x:v>
      </x:c>
      <x:c r="S389" s="2" t="n">
        <x:v>167</x:v>
      </x:c>
    </x:row>
    <x:row r="390" ht="21" customHeight="1">
      <x:c r="A390" s="36" t="n">
        <x:v>45659.739583333336</x:v>
      </x:c>
      <x:c r="B390" s="36" t="n">
        <x:v>45659.743754166666</x:v>
      </x:c>
      <x:c r="C390" s="36" t="n">
        <x:v>45659.739583333336</x:v>
      </x:c>
      <x:c r="D390" s="2" t="str">
        <x:v>u</x:v>
      </x:c>
      <x:c r="E390" s="18" t="n">
        <x:v>0.1001</x:v>
      </x:c>
      <x:c r="F390" s="18" t="n">
        <x:f>IF(D390="d",'两日价格与决策'!K174-'两日价格与决策'!N174,IF(D390="u",'两日价格与决策'!K174+'两日价格与决策'!M174,'两日价格与决策'!K174))</x:f>
        <x:v>100</x:v>
      </x:c>
      <x:c r="G390" s="18" t="n">
        <x:f>MAX(-F390,0)</x:f>
        <x:v>0</x:v>
      </x:c>
      <x:c r="H390" s="18" t="n">
        <x:f>MAX(F390,0)</x:f>
        <x:v>100</x:v>
      </x:c>
      <x:c r="I390" s="18" t="n">
        <x:f>J389</x:f>
        <x:v>122.45724121739084</x:v>
      </x:c>
      <x:c r="J390" s="18" t="n">
        <x:f>I390+E390*(G390*'原始输入与口径'!$D$5-H390/'原始输入与口径'!$D$5)</x:f>
        <x:v>111.57680643478216</x:v>
      </x:c>
      <x:c r="K390" s="18" t="n">
        <x:v>122.45724121739084</x:v>
      </x:c>
      <x:c r="L390" s="18" t="n">
        <x:v>111.57680643478216</x:v>
      </x:c>
      <x:c r="M390" s="18" t="n">
        <x:f>J390-L390</x:f>
        <x:v>0</x:v>
      </x:c>
      <x:c r="N390" s="18" t="n">
        <x:f>E390*(G390*'原始输入与口径'!$D$5+H390/'原始输入与口径'!$D$5)/'原始输入与口径'!$H$5</x:f>
        <x:v>0.030223429951690816</x:v>
      </x:c>
      <x:c r="O390" s="18" t="n">
        <x:v>0.03022342995169082</x:v>
      </x:c>
      <x:c r="P390" s="18" t="n">
        <x:f>N390-O390</x:f>
        <x:v>-3.469446951953614e-18</x:v>
      </x:c>
      <x:c r="Q390" s="18" t="n">
        <x:f>E390*G390</x:f>
        <x:v>0</x:v>
      </x:c>
      <x:c r="R390" s="18" t="n">
        <x:f>E390*H390</x:f>
        <x:v>10.01</x:v>
      </x:c>
      <x:c r="S390" s="2" t="n">
        <x:v>168</x:v>
      </x:c>
    </x:row>
    <x:row r="391" ht="21" customHeight="1">
      <x:c r="A391" s="36" t="n">
        <x:v>45659.743754166666</x:v>
      </x:c>
      <x:c r="B391" s="36" t="n">
        <x:v>45659.75</x:v>
      </x:c>
      <x:c r="C391" s="36" t="n">
        <x:v>45659.739583333336</x:v>
      </x:c>
      <x:c r="D391" s="2" t="str">
        <x:v>0</x:v>
      </x:c>
      <x:c r="E391" s="18" t="n">
        <x:v>0.1499</x:v>
      </x:c>
      <x:c r="F391" s="18" t="n">
        <x:f>IF(D391="d",'两日价格与决策'!K174-'两日价格与决策'!N174,IF(D391="u",'两日价格与决策'!K174+'两日价格与决策'!M174,'两日价格与决策'!K174))</x:f>
        <x:v>0</x:v>
      </x:c>
      <x:c r="G391" s="18" t="n">
        <x:f>MAX(-F391,0)</x:f>
        <x:v>0</x:v>
      </x:c>
      <x:c r="H391" s="18" t="n">
        <x:f>MAX(F391,0)</x:f>
        <x:v>0</x:v>
      </x:c>
      <x:c r="I391" s="18" t="n">
        <x:f>J390</x:f>
        <x:v>111.57680643478216</x:v>
      </x:c>
      <x:c r="J391" s="18" t="n">
        <x:f>I391+E391*(G391*'原始输入与口径'!$D$5-H391/'原始输入与口径'!$D$5)</x:f>
        <x:v>111.57680643478216</x:v>
      </x:c>
      <x:c r="K391" s="18" t="n">
        <x:v>111.57680643478216</x:v>
      </x:c>
      <x:c r="L391" s="18" t="n">
        <x:v>111.57680643478216</x:v>
      </x:c>
      <x:c r="M391" s="18" t="n">
        <x:f>J391-L391</x:f>
        <x:v>0</x:v>
      </x:c>
      <x:c r="N391" s="18" t="n">
        <x:f>E391*(G391*'原始输入与口径'!$D$5+H391/'原始输入与口径'!$D$5)/'原始输入与口径'!$H$5</x:f>
        <x:v>0</x:v>
      </x:c>
      <x:c r="O391" s="18" t="n">
        <x:v>0</x:v>
      </x:c>
      <x:c r="P391" s="18" t="n">
        <x:f>N391-O391</x:f>
        <x:v>0</x:v>
      </x:c>
      <x:c r="Q391" s="18" t="n">
        <x:f>E391*G391</x:f>
        <x:v>0</x:v>
      </x:c>
      <x:c r="R391" s="18" t="n">
        <x:f>E391*H391</x:f>
        <x:v>0</x:v>
      </x:c>
      <x:c r="S391" s="2" t="n">
        <x:v>168</x:v>
      </x:c>
    </x:row>
    <x:row r="392" ht="21" customHeight="1">
      <x:c r="A392" s="36" t="n">
        <x:v>45659.75</x:v>
      </x:c>
      <x:c r="B392" s="36" t="n">
        <x:v>45659.75019708333</x:v>
      </x:c>
      <x:c r="C392" s="36" t="n">
        <x:v>45659.75</x:v>
      </x:c>
      <x:c r="D392" s="2" t="str">
        <x:v>d</x:v>
      </x:c>
      <x:c r="E392" s="18" t="n">
        <x:v>0.00473</x:v>
      </x:c>
      <x:c r="F392" s="18" t="n">
        <x:f>IF(D392="d",'两日价格与决策'!K175-'两日价格与决策'!N175,IF(D392="u",'两日价格与决策'!K175+'两日价格与决策'!M175,'两日价格与决策'!K175))</x:f>
        <x:v>0</x:v>
      </x:c>
      <x:c r="G392" s="18" t="n">
        <x:f>MAX(-F392,0)</x:f>
        <x:v>0</x:v>
      </x:c>
      <x:c r="H392" s="18" t="n">
        <x:f>MAX(F392,0)</x:f>
        <x:v>0</x:v>
      </x:c>
      <x:c r="I392" s="18" t="n">
        <x:f>J391</x:f>
        <x:v>111.57680643478216</x:v>
      </x:c>
      <x:c r="J392" s="18" t="n">
        <x:f>I392+E392*(G392*'原始输入与口径'!$D$5-H392/'原始输入与口径'!$D$5)</x:f>
        <x:v>111.57680643478216</x:v>
      </x:c>
      <x:c r="K392" s="18" t="n">
        <x:v>111.57680643478216</x:v>
      </x:c>
      <x:c r="L392" s="18" t="n">
        <x:v>111.57680643478216</x:v>
      </x:c>
      <x:c r="M392" s="18" t="n">
        <x:f>J392-L392</x:f>
        <x:v>0</x:v>
      </x:c>
      <x:c r="N392" s="18" t="n">
        <x:f>E392*(G392*'原始输入与口径'!$D$5+H392/'原始输入与口径'!$D$5)/'原始输入与口径'!$H$5</x:f>
        <x:v>0</x:v>
      </x:c>
      <x:c r="O392" s="18" t="n">
        <x:v>0</x:v>
      </x:c>
      <x:c r="P392" s="18" t="n">
        <x:f>N392-O392</x:f>
        <x:v>0</x:v>
      </x:c>
      <x:c r="Q392" s="18" t="n">
        <x:f>E392*G392</x:f>
        <x:v>0</x:v>
      </x:c>
      <x:c r="R392" s="18" t="n">
        <x:f>E392*H392</x:f>
        <x:v>0</x:v>
      </x:c>
      <x:c r="S392" s="2" t="n">
        <x:v>169</x:v>
      </x:c>
    </x:row>
    <x:row r="393" ht="21" customHeight="1">
      <x:c r="A393" s="36" t="n">
        <x:v>45659.75019708333</x:v>
      </x:c>
      <x:c r="B393" s="36" t="n">
        <x:v>45659.75077708333</x:v>
      </x:c>
      <x:c r="C393" s="36" t="n">
        <x:v>45659.75</x:v>
      </x:c>
      <x:c r="D393" s="2" t="str">
        <x:v>u</x:v>
      </x:c>
      <x:c r="E393" s="18" t="n">
        <x:v>0.013919999999999998</x:v>
      </x:c>
      <x:c r="F393" s="18" t="n">
        <x:f>IF(D393="d",'两日价格与决策'!K175-'两日价格与决策'!N175,IF(D393="u",'两日价格与决策'!K175+'两日价格与决策'!M175,'两日价格与决策'!K175))</x:f>
        <x:v>100</x:v>
      </x:c>
      <x:c r="G393" s="18" t="n">
        <x:f>MAX(-F393,0)</x:f>
        <x:v>0</x:v>
      </x:c>
      <x:c r="H393" s="18" t="n">
        <x:f>MAX(F393,0)</x:f>
        <x:v>100</x:v>
      </x:c>
      <x:c r="I393" s="18" t="n">
        <x:f>J392</x:f>
        <x:v>111.57680643478216</x:v>
      </x:c>
      <x:c r="J393" s="18" t="n">
        <x:f>I393+E393*(G393*'原始输入与口径'!$D$5-H393/'原始输入与口径'!$D$5)</x:f>
        <x:v>110.06376295652129</x:v>
      </x:c>
      <x:c r="K393" s="18" t="n">
        <x:v>111.57680643478216</x:v>
      </x:c>
      <x:c r="L393" s="18" t="n">
        <x:v>110.06376295652129</x:v>
      </x:c>
      <x:c r="M393" s="18" t="n">
        <x:f>J393-L393</x:f>
        <x:v>0</x:v>
      </x:c>
      <x:c r="N393" s="18" t="n">
        <x:f>E393*(G393*'原始输入与口径'!$D$5+H393/'原始输入与口径'!$D$5)/'原始输入与口径'!$H$5</x:f>
        <x:v>0.004202898550724637</x:v>
      </x:c>
      <x:c r="O393" s="18" t="n">
        <x:v>0.004202898550724638</x:v>
      </x:c>
      <x:c r="P393" s="18" t="n">
        <x:f>N393-O393</x:f>
        <x:v>-8.673617379884035e-19</x:v>
      </x:c>
      <x:c r="Q393" s="18" t="n">
        <x:f>E393*G393</x:f>
        <x:v>0</x:v>
      </x:c>
      <x:c r="R393" s="18" t="n">
        <x:f>E393*H393</x:f>
        <x:v>1.392</x:v>
      </x:c>
      <x:c r="S393" s="2" t="n">
        <x:v>169</x:v>
      </x:c>
    </x:row>
    <x:row r="394" ht="21" customHeight="1">
      <x:c r="A394" s="36" t="n">
        <x:v>45659.75077708333</x:v>
      </x:c>
      <x:c r="B394" s="36" t="n">
        <x:v>45659.760416666664</x:v>
      </x:c>
      <x:c r="C394" s="36" t="n">
        <x:v>45659.75</x:v>
      </x:c>
      <x:c r="D394" s="2" t="str">
        <x:v>0</x:v>
      </x:c>
      <x:c r="E394" s="18" t="n">
        <x:v>0.23135</x:v>
      </x:c>
      <x:c r="F394" s="18" t="n">
        <x:f>IF(D394="d",'两日价格与决策'!K175-'两日价格与决策'!N175,IF(D394="u",'两日价格与决策'!K175+'两日价格与决策'!M175,'两日价格与决策'!K175))</x:f>
        <x:v>100</x:v>
      </x:c>
      <x:c r="G394" s="18" t="n">
        <x:f>MAX(-F394,0)</x:f>
        <x:v>0</x:v>
      </x:c>
      <x:c r="H394" s="18" t="n">
        <x:f>MAX(F394,0)</x:f>
        <x:v>100</x:v>
      </x:c>
      <x:c r="I394" s="18" t="n">
        <x:f>J393</x:f>
        <x:v>110.06376295652129</x:v>
      </x:c>
      <x:c r="J394" s="18" t="n">
        <x:f>I394+E394*(G394*'原始输入与口径'!$D$5-H394/'原始输入与口径'!$D$5)</x:f>
        <x:v>84.9170238260865</x:v>
      </x:c>
      <x:c r="K394" s="18" t="n">
        <x:v>110.06376295652129</x:v>
      </x:c>
      <x:c r="L394" s="18" t="n">
        <x:v>84.9170238260865</x:v>
      </x:c>
      <x:c r="M394" s="18" t="n">
        <x:f>J394-L394</x:f>
        <x:v>0</x:v>
      </x:c>
      <x:c r="N394" s="18" t="n">
        <x:f>E394*(G394*'原始输入与口径'!$D$5+H394/'原始输入与口径'!$D$5)/'原始输入与口径'!$H$5</x:f>
        <x:v>0.06985205314009661</x:v>
      </x:c>
      <x:c r="O394" s="18" t="n">
        <x:v>0.06985205314009663</x:v>
      </x:c>
      <x:c r="P394" s="18" t="n">
        <x:f>N394-O394</x:f>
        <x:v>-1.3877787807814457e-17</x:v>
      </x:c>
      <x:c r="Q394" s="18" t="n">
        <x:f>E394*G394</x:f>
        <x:v>0</x:v>
      </x:c>
      <x:c r="R394" s="18" t="n">
        <x:f>E394*H394</x:f>
        <x:v>23.135</x:v>
      </x:c>
      <x:c r="S394" s="2" t="n">
        <x:v>169</x:v>
      </x:c>
    </x:row>
    <x:row r="395" ht="21" customHeight="1">
      <x:c r="A395" s="36" t="n">
        <x:v>45659.760416666664</x:v>
      </x:c>
      <x:c r="B395" s="36" t="n">
        <x:v>45659.76251020833</x:v>
      </x:c>
      <x:c r="C395" s="36" t="n">
        <x:v>45659.760416666664</x:v>
      </x:c>
      <x:c r="D395" s="2" t="str">
        <x:v>d</x:v>
      </x:c>
      <x:c r="E395" s="18" t="n">
        <x:v>0.050245</x:v>
      </x:c>
      <x:c r="F395" s="18" t="n">
        <x:f>IF(D395="d",'两日价格与决策'!K176-'两日价格与决策'!N176,IF(D395="u",'两日价格与决策'!K176+'两日价格与决策'!M176,'两日价格与决策'!K176))</x:f>
        <x:v>0</x:v>
      </x:c>
      <x:c r="G395" s="18" t="n">
        <x:f>MAX(-F395,0)</x:f>
        <x:v>0</x:v>
      </x:c>
      <x:c r="H395" s="18" t="n">
        <x:f>MAX(F395,0)</x:f>
        <x:v>0</x:v>
      </x:c>
      <x:c r="I395" s="18" t="n">
        <x:f>J394</x:f>
        <x:v>84.9170238260865</x:v>
      </x:c>
      <x:c r="J395" s="18" t="n">
        <x:f>I395+E395*(G395*'原始输入与口径'!$D$5-H395/'原始输入与口径'!$D$5)</x:f>
        <x:v>84.9170238260865</x:v>
      </x:c>
      <x:c r="K395" s="18" t="n">
        <x:v>84.9170238260865</x:v>
      </x:c>
      <x:c r="L395" s="18" t="n">
        <x:v>84.9170238260865</x:v>
      </x:c>
      <x:c r="M395" s="18" t="n">
        <x:f>J395-L395</x:f>
        <x:v>0</x:v>
      </x:c>
      <x:c r="N395" s="18" t="n">
        <x:f>E395*(G395*'原始输入与口径'!$D$5+H395/'原始输入与口径'!$D$5)/'原始输入与口径'!$H$5</x:f>
        <x:v>0</x:v>
      </x:c>
      <x:c r="O395" s="18" t="n">
        <x:v>0</x:v>
      </x:c>
      <x:c r="P395" s="18" t="n">
        <x:f>N395-O395</x:f>
        <x:v>0</x:v>
      </x:c>
      <x:c r="Q395" s="18" t="n">
        <x:f>E395*G395</x:f>
        <x:v>0</x:v>
      </x:c>
      <x:c r="R395" s="18" t="n">
        <x:f>E395*H395</x:f>
        <x:v>0</x:v>
      </x:c>
      <x:c r="S395" s="2" t="n">
        <x:v>170</x:v>
      </x:c>
    </x:row>
    <x:row r="396" ht="21" customHeight="1">
      <x:c r="A396" s="36" t="n">
        <x:v>45659.76251020833</x:v>
      </x:c>
      <x:c r="B396" s="36" t="n">
        <x:v>45659.77083333333</x:v>
      </x:c>
      <x:c r="C396" s="36" t="n">
        <x:v>45659.760416666664</x:v>
      </x:c>
      <x:c r="D396" s="2" t="str">
        <x:v>0</x:v>
      </x:c>
      <x:c r="E396" s="18" t="n">
        <x:v>0.19975500000000002</x:v>
      </x:c>
      <x:c r="F396" s="18" t="n">
        <x:f>IF(D396="d",'两日价格与决策'!K176-'两日价格与决策'!N176,IF(D396="u",'两日价格与决策'!K176+'两日价格与决策'!M176,'两日价格与决策'!K176))</x:f>
        <x:v>100</x:v>
      </x:c>
      <x:c r="G396" s="18" t="n">
        <x:f>MAX(-F396,0)</x:f>
        <x:v>0</x:v>
      </x:c>
      <x:c r="H396" s="18" t="n">
        <x:f>MAX(F396,0)</x:f>
        <x:v>100</x:v>
      </x:c>
      <x:c r="I396" s="18" t="n">
        <x:f>J395</x:f>
        <x:v>84.9170238260865</x:v>
      </x:c>
      <x:c r="J396" s="18" t="n">
        <x:f>I396+E396*(G396*'原始输入与口径'!$D$5-H396/'原始输入与口径'!$D$5)</x:f>
        <x:v>63.20452382608651</x:v>
      </x:c>
      <x:c r="K396" s="18" t="n">
        <x:v>84.9170238260865</x:v>
      </x:c>
      <x:c r="L396" s="18" t="n">
        <x:v>63.20452382608651</x:v>
      </x:c>
      <x:c r="M396" s="18" t="n">
        <x:f>J396-L396</x:f>
        <x:v>0</x:v>
      </x:c>
      <x:c r="N396" s="18" t="n">
        <x:f>E396*(G396*'原始输入与口径'!$D$5+H396/'原始输入与口径'!$D$5)/'原始输入与口径'!$H$5</x:f>
        <x:v>0.0603125</x:v>
      </x:c>
      <x:c r="O396" s="18" t="n">
        <x:v>0.0603125</x:v>
      </x:c>
      <x:c r="P396" s="18" t="n">
        <x:f>N396-O396</x:f>
        <x:v>0</x:v>
      </x:c>
      <x:c r="Q396" s="18" t="n">
        <x:f>E396*G396</x:f>
        <x:v>0</x:v>
      </x:c>
      <x:c r="R396" s="18" t="n">
        <x:f>E396*H396</x:f>
        <x:v>19.9755</x:v>
      </x:c>
      <x:c r="S396" s="2" t="n">
        <x:v>170</x:v>
      </x:c>
    </x:row>
    <x:row r="397" ht="21" customHeight="1">
      <x:c r="A397" s="36" t="n">
        <x:v>45659.770833333336</x:v>
      </x:c>
      <x:c r="B397" s="36" t="n">
        <x:v>45659.771782083335</x:v>
      </x:c>
      <x:c r="C397" s="36" t="n">
        <x:v>45659.770833333336</x:v>
      </x:c>
      <x:c r="D397" s="2" t="str">
        <x:v>d</x:v>
      </x:c>
      <x:c r="E397" s="18" t="n">
        <x:v>0.022770000000000002</x:v>
      </x:c>
      <x:c r="F397" s="18" t="n">
        <x:f>IF(D397="d",'两日价格与决策'!K177-'两日价格与决策'!N177,IF(D397="u",'两日价格与决策'!K177+'两日价格与决策'!M177,'两日价格与决策'!K177))</x:f>
        <x:v>0</x:v>
      </x:c>
      <x:c r="G397" s="18" t="n">
        <x:f>MAX(-F397,0)</x:f>
        <x:v>0</x:v>
      </x:c>
      <x:c r="H397" s="18" t="n">
        <x:f>MAX(F397,0)</x:f>
        <x:v>0</x:v>
      </x:c>
      <x:c r="I397" s="18" t="n">
        <x:f>J396</x:f>
        <x:v>63.20452382608651</x:v>
      </x:c>
      <x:c r="J397" s="18" t="n">
        <x:f>I397+E397*(G397*'原始输入与口径'!$D$5-H397/'原始输入与口径'!$D$5)</x:f>
        <x:v>63.20452382608651</x:v>
      </x:c>
      <x:c r="K397" s="18" t="n">
        <x:v>63.20452382608651</x:v>
      </x:c>
      <x:c r="L397" s="18" t="n">
        <x:v>63.20452382608651</x:v>
      </x:c>
      <x:c r="M397" s="18" t="n">
        <x:f>J397-L397</x:f>
        <x:v>0</x:v>
      </x:c>
      <x:c r="N397" s="18" t="n">
        <x:f>E397*(G397*'原始输入与口径'!$D$5+H397/'原始输入与口径'!$D$5)/'原始输入与口径'!$H$5</x:f>
        <x:v>0</x:v>
      </x:c>
      <x:c r="O397" s="18" t="n">
        <x:v>0</x:v>
      </x:c>
      <x:c r="P397" s="18" t="n">
        <x:f>N397-O397</x:f>
        <x:v>0</x:v>
      </x:c>
      <x:c r="Q397" s="18" t="n">
        <x:f>E397*G397</x:f>
        <x:v>0</x:v>
      </x:c>
      <x:c r="R397" s="18" t="n">
        <x:f>E397*H397</x:f>
        <x:v>0</x:v>
      </x:c>
      <x:c r="S397" s="2" t="n">
        <x:v>171</x:v>
      </x:c>
    </x:row>
    <x:row r="398" ht="21" customHeight="1">
      <x:c r="A398" s="36" t="n">
        <x:v>45659.771782083335</x:v>
      </x:c>
      <x:c r="B398" s="36" t="n">
        <x:v>45659.78125</x:v>
      </x:c>
      <x:c r="C398" s="36" t="n">
        <x:v>45659.770833333336</x:v>
      </x:c>
      <x:c r="D398" s="2" t="str">
        <x:v>0</x:v>
      </x:c>
      <x:c r="E398" s="18" t="n">
        <x:v>0.22723</x:v>
      </x:c>
      <x:c r="F398" s="18" t="n">
        <x:f>IF(D398="d",'两日价格与决策'!K177-'两日价格与决策'!N177,IF(D398="u",'两日价格与决策'!K177+'两日价格与决策'!M177,'两日价格与决策'!K177))</x:f>
        <x:v>100</x:v>
      </x:c>
      <x:c r="G398" s="18" t="n">
        <x:f>MAX(-F398,0)</x:f>
        <x:v>0</x:v>
      </x:c>
      <x:c r="H398" s="18" t="n">
        <x:f>MAX(F398,0)</x:f>
        <x:v>100</x:v>
      </x:c>
      <x:c r="I398" s="18" t="n">
        <x:f>J397</x:f>
        <x:v>63.20452382608651</x:v>
      </x:c>
      <x:c r="J398" s="18" t="n">
        <x:f>I398+E398*(G398*'原始输入与口径'!$D$5-H398/'原始输入与口径'!$D$5)</x:f>
        <x:v>38.50561078260825</x:v>
      </x:c>
      <x:c r="K398" s="18" t="n">
        <x:v>63.20452382608651</x:v>
      </x:c>
      <x:c r="L398" s="18" t="n">
        <x:v>38.505610782608244</x:v>
      </x:c>
      <x:c r="M398" s="18" t="n">
        <x:f>J398-L398</x:f>
        <x:v>7.105427357601002e-15</x:v>
      </x:c>
      <x:c r="N398" s="18" t="n">
        <x:f>E398*(G398*'原始输入与口径'!$D$5+H398/'原始输入与口径'!$D$5)/'原始输入与口径'!$H$5</x:f>
        <x:v>0.0686080917874396</x:v>
      </x:c>
      <x:c r="O398" s="18" t="n">
        <x:v>0.06860809178743961</x:v>
      </x:c>
      <x:c r="P398" s="18" t="n">
        <x:f>N398-O398</x:f>
        <x:v>-1.3877787807814457e-17</x:v>
      </x:c>
      <x:c r="Q398" s="18" t="n">
        <x:f>E398*G398</x:f>
        <x:v>0</x:v>
      </x:c>
      <x:c r="R398" s="18" t="n">
        <x:f>E398*H398</x:f>
        <x:v>22.723</x:v>
      </x:c>
      <x:c r="S398" s="2" t="n">
        <x:v>171</x:v>
      </x:c>
    </x:row>
    <x:row r="399" ht="21" customHeight="1">
      <x:c r="A399" s="36" t="n">
        <x:v>45659.78125</x:v>
      </x:c>
      <x:c r="B399" s="36" t="n">
        <x:v>45659.781573541666</x:v>
      </x:c>
      <x:c r="C399" s="36" t="n">
        <x:v>45659.78125</x:v>
      </x:c>
      <x:c r="D399" s="2" t="str">
        <x:v>d</x:v>
      </x:c>
      <x:c r="E399" s="18" t="n">
        <x:v>0.007764999999999999</x:v>
      </x:c>
      <x:c r="F399" s="18" t="n">
        <x:f>IF(D399="d",'两日价格与决策'!K178-'两日价格与决策'!N178,IF(D399="u",'两日价格与决策'!K178+'两日价格与决策'!M178,'两日价格与决策'!K178))</x:f>
        <x:v>0</x:v>
      </x:c>
      <x:c r="G399" s="18" t="n">
        <x:f>MAX(-F399,0)</x:f>
        <x:v>0</x:v>
      </x:c>
      <x:c r="H399" s="18" t="n">
        <x:f>MAX(F399,0)</x:f>
        <x:v>0</x:v>
      </x:c>
      <x:c r="I399" s="18" t="n">
        <x:f>J398</x:f>
        <x:v>38.50561078260825</x:v>
      </x:c>
      <x:c r="J399" s="18" t="n">
        <x:f>I399+E399*(G399*'原始输入与口径'!$D$5-H399/'原始输入与口径'!$D$5)</x:f>
        <x:v>38.50561078260825</x:v>
      </x:c>
      <x:c r="K399" s="18" t="n">
        <x:v>38.505610782608244</x:v>
      </x:c>
      <x:c r="L399" s="18" t="n">
        <x:v>38.505610782608244</x:v>
      </x:c>
      <x:c r="M399" s="18" t="n">
        <x:f>J399-L399</x:f>
        <x:v>7.105427357601002e-15</x:v>
      </x:c>
      <x:c r="N399" s="18" t="n">
        <x:f>E399*(G399*'原始输入与口径'!$D$5+H399/'原始输入与口径'!$D$5)/'原始输入与口径'!$H$5</x:f>
        <x:v>0</x:v>
      </x:c>
      <x:c r="O399" s="18" t="n">
        <x:v>0</x:v>
      </x:c>
      <x:c r="P399" s="18" t="n">
        <x:f>N399-O399</x:f>
        <x:v>0</x:v>
      </x:c>
      <x:c r="Q399" s="18" t="n">
        <x:f>E399*G399</x:f>
        <x:v>0</x:v>
      </x:c>
      <x:c r="R399" s="18" t="n">
        <x:f>E399*H399</x:f>
        <x:v>0</x:v>
      </x:c>
      <x:c r="S399" s="2" t="n">
        <x:v>172</x:v>
      </x:c>
    </x:row>
    <x:row r="400" ht="21" customHeight="1">
      <x:c r="A400" s="36" t="n">
        <x:v>45659.781573541666</x:v>
      </x:c>
      <x:c r="B400" s="36" t="n">
        <x:v>45659.791666666664</x:v>
      </x:c>
      <x:c r="C400" s="36" t="n">
        <x:v>45659.78125</x:v>
      </x:c>
      <x:c r="D400" s="2" t="str">
        <x:v>0</x:v>
      </x:c>
      <x:c r="E400" s="18" t="n">
        <x:v>0.242235</x:v>
      </x:c>
      <x:c r="F400" s="18" t="n">
        <x:f>IF(D400="d",'两日价格与决策'!K178-'两日价格与决策'!N178,IF(D400="u",'两日价格与决策'!K178+'两日价格与决策'!M178,'两日价格与决策'!K178))</x:f>
        <x:v>100</x:v>
      </x:c>
      <x:c r="G400" s="18" t="n">
        <x:f>MAX(-F400,0)</x:f>
        <x:v>0</x:v>
      </x:c>
      <x:c r="H400" s="18" t="n">
        <x:f>MAX(F400,0)</x:f>
        <x:v>100</x:v>
      </x:c>
      <x:c r="I400" s="18" t="n">
        <x:f>J399</x:f>
        <x:v>38.50561078260825</x:v>
      </x:c>
      <x:c r="J400" s="18" t="n">
        <x:f>I400+E400*(G400*'原始输入与口径'!$D$5-H400/'原始输入与口径'!$D$5)</x:f>
        <x:v>12.175719478260426</x:v>
      </x:c>
      <x:c r="K400" s="18" t="n">
        <x:v>38.505610782608244</x:v>
      </x:c>
      <x:c r="L400" s="18" t="n">
        <x:v>12.175719478260419</x:v>
      </x:c>
      <x:c r="M400" s="18" t="n">
        <x:f>J400-L400</x:f>
        <x:v>7.105427357601002e-15</x:v>
      </x:c>
      <x:c r="N400" s="18" t="n">
        <x:f>E400*(G400*'原始输入与口径'!$D$5+H400/'原始输入与口径'!$D$5)/'原始输入与口径'!$H$5</x:f>
        <x:v>0.07313858695652174</x:v>
      </x:c>
      <x:c r="O400" s="18" t="n">
        <x:v>0.07313858695652174</x:v>
      </x:c>
      <x:c r="P400" s="18" t="n">
        <x:f>N400-O400</x:f>
        <x:v>0</x:v>
      </x:c>
      <x:c r="Q400" s="18" t="n">
        <x:f>E400*G400</x:f>
        <x:v>0</x:v>
      </x:c>
      <x:c r="R400" s="18" t="n">
        <x:f>E400*H400</x:f>
        <x:v>24.2235</x:v>
      </x:c>
      <x:c r="S400" s="2" t="n">
        <x:v>172</x:v>
      </x:c>
    </x:row>
    <x:row r="401" ht="21" customHeight="1">
      <x:c r="A401" s="36" t="n">
        <x:v>45659.791666666664</x:v>
      </x:c>
      <x:c r="B401" s="36" t="n">
        <x:v>45659.797333124996</x:v>
      </x:c>
      <x:c r="C401" s="36" t="n">
        <x:v>45659.791666666664</x:v>
      </x:c>
      <x:c r="D401" s="2" t="str">
        <x:v>d</x:v>
      </x:c>
      <x:c r="E401" s="18" t="n">
        <x:v>0.135995</x:v>
      </x:c>
      <x:c r="F401" s="18" t="n">
        <x:f>IF(D401="d",'两日价格与决策'!K179-'两日价格与决策'!N179,IF(D401="u",'两日价格与决策'!K179+'两日价格与决策'!M179,'两日价格与决策'!K179))</x:f>
        <x:v>-100</x:v>
      </x:c>
      <x:c r="G401" s="18" t="n">
        <x:f>MAX(-F401,0)</x:f>
        <x:v>100</x:v>
      </x:c>
      <x:c r="H401" s="18" t="n">
        <x:f>MAX(F401,0)</x:f>
        <x:v>0</x:v>
      </x:c>
      <x:c r="I401" s="18" t="n">
        <x:f>J400</x:f>
        <x:v>12.175719478260426</x:v>
      </x:c>
      <x:c r="J401" s="18" t="n">
        <x:f>I401+E401*(G401*'原始输入与口径'!$D$5-H401/'原始输入与口径'!$D$5)</x:f>
        <x:v>24.687259478260426</x:v>
      </x:c>
      <x:c r="K401" s="18" t="n">
        <x:v>12.175719478260419</x:v>
      </x:c>
      <x:c r="L401" s="18" t="n">
        <x:v>24.687259478260422</x:v>
      </x:c>
      <x:c r="M401" s="18" t="n">
        <x:f>J401-L401</x:f>
        <x:v>3.552713678800501e-15</x:v>
      </x:c>
      <x:c r="N401" s="18" t="n">
        <x:f>E401*(G401*'原始输入与口径'!$D$5+H401/'原始输入与口径'!$D$5)/'原始输入与口径'!$H$5</x:f>
        <x:v>0.03475427777777778</x:v>
      </x:c>
      <x:c r="O401" s="18" t="n">
        <x:v>0.03475427777777778</x:v>
      </x:c>
      <x:c r="P401" s="18" t="n">
        <x:f>N401-O401</x:f>
        <x:v>0</x:v>
      </x:c>
      <x:c r="Q401" s="18" t="n">
        <x:f>E401*G401</x:f>
        <x:v>13.5995</x:v>
      </x:c>
      <x:c r="R401" s="18" t="n">
        <x:f>E401*H401</x:f>
        <x:v>0</x:v>
      </x:c>
      <x:c r="S401" s="2" t="n">
        <x:v>173</x:v>
      </x:c>
    </x:row>
    <x:row r="402" ht="21" customHeight="1">
      <x:c r="A402" s="36" t="n">
        <x:v>45659.797333124996</x:v>
      </x:c>
      <x:c r="B402" s="36" t="n">
        <x:v>45659.80208333333</x:v>
      </x:c>
      <x:c r="C402" s="36" t="n">
        <x:v>45659.791666666664</x:v>
      </x:c>
      <x:c r="D402" s="2" t="str">
        <x:v>0</x:v>
      </x:c>
      <x:c r="E402" s="18" t="n">
        <x:v>0.114005</x:v>
      </x:c>
      <x:c r="F402" s="18" t="n">
        <x:f>IF(D402="d",'两日价格与决策'!K179-'两日价格与决策'!N179,IF(D402="u",'两日价格与决策'!K179+'两日价格与决策'!M179,'两日价格与决策'!K179))</x:f>
        <x:v>0</x:v>
      </x:c>
      <x:c r="G402" s="18" t="n">
        <x:f>MAX(-F402,0)</x:f>
        <x:v>0</x:v>
      </x:c>
      <x:c r="H402" s="18" t="n">
        <x:f>MAX(F402,0)</x:f>
        <x:v>0</x:v>
      </x:c>
      <x:c r="I402" s="18" t="n">
        <x:f>J401</x:f>
        <x:v>24.687259478260426</x:v>
      </x:c>
      <x:c r="J402" s="18" t="n">
        <x:f>I402+E402*(G402*'原始输入与口径'!$D$5-H402/'原始输入与口径'!$D$5)</x:f>
        <x:v>24.687259478260426</x:v>
      </x:c>
      <x:c r="K402" s="18" t="n">
        <x:v>24.687259478260422</x:v>
      </x:c>
      <x:c r="L402" s="18" t="n">
        <x:v>24.687259478260422</x:v>
      </x:c>
      <x:c r="M402" s="18" t="n">
        <x:f>J402-L402</x:f>
        <x:v>3.552713678800501e-15</x:v>
      </x:c>
      <x:c r="N402" s="18" t="n">
        <x:f>E402*(G402*'原始输入与口径'!$D$5+H402/'原始输入与口径'!$D$5)/'原始输入与口径'!$H$5</x:f>
        <x:v>0</x:v>
      </x:c>
      <x:c r="O402" s="18" t="n">
        <x:v>0</x:v>
      </x:c>
      <x:c r="P402" s="18" t="n">
        <x:f>N402-O402</x:f>
        <x:v>0</x:v>
      </x:c>
      <x:c r="Q402" s="18" t="n">
        <x:f>E402*G402</x:f>
        <x:v>0</x:v>
      </x:c>
      <x:c r="R402" s="18" t="n">
        <x:f>E402*H402</x:f>
        <x:v>0</x:v>
      </x:c>
      <x:c r="S402" s="2" t="n">
        <x:v>173</x:v>
      </x:c>
    </x:row>
    <x:row r="403" ht="21" customHeight="1">
      <x:c r="A403" s="36" t="n">
        <x:v>45659.802083333336</x:v>
      </x:c>
      <x:c r="B403" s="36" t="n">
        <x:v>45659.80456916667</x:v>
      </x:c>
      <x:c r="C403" s="36" t="n">
        <x:v>45659.802083333336</x:v>
      </x:c>
      <x:c r="D403" s="2" t="str">
        <x:v>d</x:v>
      </x:c>
      <x:c r="E403" s="18" t="n">
        <x:v>0.059660000000000005</x:v>
      </x:c>
      <x:c r="F403" s="18" t="n">
        <x:f>IF(D403="d",'两日价格与决策'!K180-'两日价格与决策'!N180,IF(D403="u",'两日价格与决策'!K180+'两日价格与决策'!M180,'两日价格与决策'!K180))</x:f>
        <x:v>-100</x:v>
      </x:c>
      <x:c r="G403" s="18" t="n">
        <x:f>MAX(-F403,0)</x:f>
        <x:v>100</x:v>
      </x:c>
      <x:c r="H403" s="18" t="n">
        <x:f>MAX(F403,0)</x:f>
        <x:v>0</x:v>
      </x:c>
      <x:c r="I403" s="18" t="n">
        <x:f>J402</x:f>
        <x:v>24.687259478260426</x:v>
      </x:c>
      <x:c r="J403" s="18" t="n">
        <x:f>I403+E403*(G403*'原始输入与口径'!$D$5-H403/'原始输入与口径'!$D$5)</x:f>
        <x:v>30.175979478260427</x:v>
      </x:c>
      <x:c r="K403" s="18" t="n">
        <x:v>24.687259478260422</x:v>
      </x:c>
      <x:c r="L403" s="18" t="n">
        <x:v>30.175979478260423</x:v>
      </x:c>
      <x:c r="M403" s="18" t="n">
        <x:f>J403-L403</x:f>
        <x:v>3.552713678800501e-15</x:v>
      </x:c>
      <x:c r="N403" s="18" t="n">
        <x:f>E403*(G403*'原始输入与口径'!$D$5+H403/'原始输入与口径'!$D$5)/'原始输入与口径'!$H$5</x:f>
        <x:v>0.015246444444444446</x:v>
      </x:c>
      <x:c r="O403" s="18" t="n">
        <x:v>0.015246444444444446</x:v>
      </x:c>
      <x:c r="P403" s="18" t="n">
        <x:f>N403-O403</x:f>
        <x:v>0</x:v>
      </x:c>
      <x:c r="Q403" s="18" t="n">
        <x:f>E403*G403</x:f>
        <x:v>5.966</x:v>
      </x:c>
      <x:c r="R403" s="18" t="n">
        <x:f>E403*H403</x:f>
        <x:v>0</x:v>
      </x:c>
      <x:c r="S403" s="2" t="n">
        <x:v>174</x:v>
      </x:c>
    </x:row>
    <x:row r="404" ht="21" customHeight="1">
      <x:c r="A404" s="36" t="n">
        <x:v>45659.80456916667</x:v>
      </x:c>
      <x:c r="B404" s="36" t="n">
        <x:v>45659.8125</x:v>
      </x:c>
      <x:c r="C404" s="36" t="n">
        <x:v>45659.802083333336</x:v>
      </x:c>
      <x:c r="D404" s="2" t="str">
        <x:v>0</x:v>
      </x:c>
      <x:c r="E404" s="18" t="n">
        <x:v>0.19034</x:v>
      </x:c>
      <x:c r="F404" s="18" t="n">
        <x:f>IF(D404="d",'两日价格与决策'!K180-'两日价格与决策'!N180,IF(D404="u",'两日价格与决策'!K180+'两日价格与决策'!M180,'两日价格与决策'!K180))</x:f>
        <x:v>0</x:v>
      </x:c>
      <x:c r="G404" s="18" t="n">
        <x:f>MAX(-F404,0)</x:f>
        <x:v>0</x:v>
      </x:c>
      <x:c r="H404" s="18" t="n">
        <x:f>MAX(F404,0)</x:f>
        <x:v>0</x:v>
      </x:c>
      <x:c r="I404" s="18" t="n">
        <x:f>J403</x:f>
        <x:v>30.175979478260427</x:v>
      </x:c>
      <x:c r="J404" s="18" t="n">
        <x:f>I404+E404*(G404*'原始输入与口径'!$D$5-H404/'原始输入与口径'!$D$5)</x:f>
        <x:v>30.175979478260427</x:v>
      </x:c>
      <x:c r="K404" s="18" t="n">
        <x:v>30.175979478260423</x:v>
      </x:c>
      <x:c r="L404" s="18" t="n">
        <x:v>30.175979478260423</x:v>
      </x:c>
      <x:c r="M404" s="18" t="n">
        <x:f>J404-L404</x:f>
        <x:v>3.552713678800501e-15</x:v>
      </x:c>
      <x:c r="N404" s="18" t="n">
        <x:f>E404*(G404*'原始输入与口径'!$D$5+H404/'原始输入与口径'!$D$5)/'原始输入与口径'!$H$5</x:f>
        <x:v>0</x:v>
      </x:c>
      <x:c r="O404" s="18" t="n">
        <x:v>0</x:v>
      </x:c>
      <x:c r="P404" s="18" t="n">
        <x:f>N404-O404</x:f>
        <x:v>0</x:v>
      </x:c>
      <x:c r="Q404" s="18" t="n">
        <x:f>E404*G404</x:f>
        <x:v>0</x:v>
      </x:c>
      <x:c r="R404" s="18" t="n">
        <x:f>E404*H404</x:f>
        <x:v>0</x:v>
      </x:c>
      <x:c r="S404" s="2" t="n">
        <x:v>174</x:v>
      </x:c>
    </x:row>
    <x:row r="405" ht="21" customHeight="1">
      <x:c r="A405" s="36" t="n">
        <x:v>45659.8125</x:v>
      </x:c>
      <x:c r="B405" s="36" t="n">
        <x:v>45659.813656666665</x:v>
      </x:c>
      <x:c r="C405" s="36" t="n">
        <x:v>45659.8125</x:v>
      </x:c>
      <x:c r="D405" s="2" t="str">
        <x:v>d</x:v>
      </x:c>
      <x:c r="E405" s="18" t="n">
        <x:v>0.027759999999999996</x:v>
      </x:c>
      <x:c r="F405" s="18" t="n">
        <x:f>IF(D405="d",'两日价格与决策'!K181-'两日价格与决策'!N181,IF(D405="u",'两日价格与决策'!K181+'两日价格与决策'!M181,'两日价格与决策'!K181))</x:f>
        <x:v>-100</x:v>
      </x:c>
      <x:c r="G405" s="18" t="n">
        <x:f>MAX(-F405,0)</x:f>
        <x:v>100</x:v>
      </x:c>
      <x:c r="H405" s="18" t="n">
        <x:f>MAX(F405,0)</x:f>
        <x:v>0</x:v>
      </x:c>
      <x:c r="I405" s="18" t="n">
        <x:f>J404</x:f>
        <x:v>30.175979478260427</x:v>
      </x:c>
      <x:c r="J405" s="18" t="n">
        <x:f>I405+E405*(G405*'原始输入与口径'!$D$5-H405/'原始输入与口径'!$D$5)</x:f>
        <x:v>32.72989947826043</x:v>
      </x:c>
      <x:c r="K405" s="18" t="n">
        <x:v>30.175979478260423</x:v>
      </x:c>
      <x:c r="L405" s="18" t="n">
        <x:v>32.72989947826042</x:v>
      </x:c>
      <x:c r="M405" s="18" t="n">
        <x:f>J405-L405</x:f>
        <x:v>7.105427357601002e-15</x:v>
      </x:c>
      <x:c r="N405" s="18" t="n">
        <x:f>E405*(G405*'原始输入与口径'!$D$5+H405/'原始输入与口径'!$D$5)/'原始输入与口径'!$H$5</x:f>
        <x:v>0.007094222222222221</x:v>
      </x:c>
      <x:c r="O405" s="18" t="n">
        <x:v>0.007094222222222221</x:v>
      </x:c>
      <x:c r="P405" s="18" t="n">
        <x:f>N405-O405</x:f>
        <x:v>0</x:v>
      </x:c>
      <x:c r="Q405" s="18" t="n">
        <x:f>E405*G405</x:f>
        <x:v>2.776</x:v>
      </x:c>
      <x:c r="R405" s="18" t="n">
        <x:f>E405*H405</x:f>
        <x:v>0</x:v>
      </x:c>
      <x:c r="S405" s="2" t="n">
        <x:v>175</x:v>
      </x:c>
    </x:row>
    <x:row r="406" ht="21" customHeight="1">
      <x:c r="A406" s="36" t="n">
        <x:v>45659.813656666665</x:v>
      </x:c>
      <x:c r="B406" s="36" t="n">
        <x:v>45659.81366375</x:v>
      </x:c>
      <x:c r="C406" s="36" t="n">
        <x:v>45659.8125</x:v>
      </x:c>
      <x:c r="D406" s="2" t="str">
        <x:v>u</x:v>
      </x:c>
      <x:c r="E406" s="18" t="n">
        <x:v>0.00017</x:v>
      </x:c>
      <x:c r="F406" s="18" t="n">
        <x:f>IF(D406="d",'两日价格与决策'!K181-'两日价格与决策'!N181,IF(D406="u",'两日价格与决策'!K181+'两日价格与决策'!M181,'两日价格与决策'!K181))</x:f>
        <x:v>100</x:v>
      </x:c>
      <x:c r="G406" s="18" t="n">
        <x:f>MAX(-F406,0)</x:f>
        <x:v>0</x:v>
      </x:c>
      <x:c r="H406" s="18" t="n">
        <x:f>MAX(F406,0)</x:f>
        <x:v>100</x:v>
      </x:c>
      <x:c r="I406" s="18" t="n">
        <x:f>J405</x:f>
        <x:v>32.72989947826043</x:v>
      </x:c>
      <x:c r="J406" s="18" t="n">
        <x:f>I406+E406*(G406*'原始输入与口径'!$D$5-H406/'原始输入与口径'!$D$5)</x:f>
        <x:v>32.711421217390864</x:v>
      </x:c>
      <x:c r="K406" s="18" t="n">
        <x:v>32.72989947826042</x:v>
      </x:c>
      <x:c r="L406" s="18" t="n">
        <x:v>32.71142121739086</x:v>
      </x:c>
      <x:c r="M406" s="18" t="n">
        <x:f>J406-L406</x:f>
        <x:v>7.105427357601002e-15</x:v>
      </x:c>
      <x:c r="N406" s="18" t="n">
        <x:f>E406*(G406*'原始输入与口径'!$D$5+H406/'原始输入与口径'!$D$5)/'原始输入与口径'!$H$5</x:f>
        <x:v>0.00005132850241545894</x:v>
      </x:c>
      <x:c r="O406" s="18" t="n">
        <x:v>0.00005132850241545894</x:v>
      </x:c>
      <x:c r="P406" s="18" t="n">
        <x:f>N406-O406</x:f>
        <x:v>0</x:v>
      </x:c>
      <x:c r="Q406" s="18" t="n">
        <x:f>E406*G406</x:f>
        <x:v>0</x:v>
      </x:c>
      <x:c r="R406" s="18" t="n">
        <x:f>E406*H406</x:f>
        <x:v>0.017</x:v>
      </x:c>
      <x:c r="S406" s="2" t="n">
        <x:v>175</x:v>
      </x:c>
    </x:row>
    <x:row r="407" ht="21" customHeight="1">
      <x:c r="A407" s="36" t="n">
        <x:v>45659.81366375</x:v>
      </x:c>
      <x:c r="B407" s="36" t="n">
        <x:v>45659.822916666664</x:v>
      </x:c>
      <x:c r="C407" s="36" t="n">
        <x:v>45659.8125</x:v>
      </x:c>
      <x:c r="D407" s="2" t="str">
        <x:v>0</x:v>
      </x:c>
      <x:c r="E407" s="18" t="n">
        <x:v>0.22207</x:v>
      </x:c>
      <x:c r="F407" s="18" t="n">
        <x:f>IF(D407="d",'两日价格与决策'!K181-'两日价格与决策'!N181,IF(D407="u",'两日价格与决策'!K181+'两日价格与决策'!M181,'两日价格与决策'!K181))</x:f>
        <x:v>0</x:v>
      </x:c>
      <x:c r="G407" s="18" t="n">
        <x:f>MAX(-F407,0)</x:f>
        <x:v>0</x:v>
      </x:c>
      <x:c r="H407" s="18" t="n">
        <x:f>MAX(F407,0)</x:f>
        <x:v>0</x:v>
      </x:c>
      <x:c r="I407" s="18" t="n">
        <x:f>J406</x:f>
        <x:v>32.711421217390864</x:v>
      </x:c>
      <x:c r="J407" s="18" t="n">
        <x:f>I407+E407*(G407*'原始输入与口径'!$D$5-H407/'原始输入与口径'!$D$5)</x:f>
        <x:v>32.711421217390864</x:v>
      </x:c>
      <x:c r="K407" s="18" t="n">
        <x:v>32.71142121739086</x:v>
      </x:c>
      <x:c r="L407" s="18" t="n">
        <x:v>32.71142121739086</x:v>
      </x:c>
      <x:c r="M407" s="18" t="n">
        <x:f>J407-L407</x:f>
        <x:v>7.105427357601002e-15</x:v>
      </x:c>
      <x:c r="N407" s="18" t="n">
        <x:f>E407*(G407*'原始输入与口径'!$D$5+H407/'原始输入与口径'!$D$5)/'原始输入与口径'!$H$5</x:f>
        <x:v>0</x:v>
      </x:c>
      <x:c r="O407" s="18" t="n">
        <x:v>0</x:v>
      </x:c>
      <x:c r="P407" s="18" t="n">
        <x:f>N407-O407</x:f>
        <x:v>0</x:v>
      </x:c>
      <x:c r="Q407" s="18" t="n">
        <x:f>E407*G407</x:f>
        <x:v>0</x:v>
      </x:c>
      <x:c r="R407" s="18" t="n">
        <x:f>E407*H407</x:f>
        <x:v>0</x:v>
      </x:c>
      <x:c r="S407" s="2" t="n">
        <x:v>175</x:v>
      </x:c>
    </x:row>
    <x:row r="408" ht="21" customHeight="1">
      <x:c r="A408" s="36" t="n">
        <x:v>45659.822916666664</x:v>
      </x:c>
      <x:c r="B408" s="36" t="n">
        <x:v>45659.82530645833</x:v>
      </x:c>
      <x:c r="C408" s="36" t="n">
        <x:v>45659.822916666664</x:v>
      </x:c>
      <x:c r="D408" s="2" t="str">
        <x:v>d</x:v>
      </x:c>
      <x:c r="E408" s="18" t="n">
        <x:v>0.057355</x:v>
      </x:c>
      <x:c r="F408" s="18" t="n">
        <x:f>IF(D408="d",'两日价格与决策'!K182-'两日价格与决策'!N182,IF(D408="u",'两日价格与决策'!K182+'两日价格与决策'!M182,'两日价格与决策'!K182))</x:f>
        <x:v>-100</x:v>
      </x:c>
      <x:c r="G408" s="18" t="n">
        <x:f>MAX(-F408,0)</x:f>
        <x:v>100</x:v>
      </x:c>
      <x:c r="H408" s="18" t="n">
        <x:f>MAX(F408,0)</x:f>
        <x:v>0</x:v>
      </x:c>
      <x:c r="I408" s="18" t="n">
        <x:f>J407</x:f>
        <x:v>32.711421217390864</x:v>
      </x:c>
      <x:c r="J408" s="18" t="n">
        <x:f>I408+E408*(G408*'原始输入与口径'!$D$5-H408/'原始输入与口径'!$D$5)</x:f>
        <x:v>37.988081217390864</x:v>
      </x:c>
      <x:c r="K408" s="18" t="n">
        <x:v>32.71142121739086</x:v>
      </x:c>
      <x:c r="L408" s="18" t="n">
        <x:v>37.98808121739086</x:v>
      </x:c>
      <x:c r="M408" s="18" t="n">
        <x:f>J408-L408</x:f>
        <x:v>7.105427357601002e-15</x:v>
      </x:c>
      <x:c r="N408" s="18" t="n">
        <x:f>E408*(G408*'原始输入与口径'!$D$5+H408/'原始输入与口径'!$D$5)/'原始输入与口径'!$H$5</x:f>
        <x:v>0.01465738888888889</x:v>
      </x:c>
      <x:c r="O408" s="18" t="n">
        <x:v>0.01465738888888889</x:v>
      </x:c>
      <x:c r="P408" s="18" t="n">
        <x:f>N408-O408</x:f>
        <x:v>0</x:v>
      </x:c>
      <x:c r="Q408" s="18" t="n">
        <x:f>E408*G408</x:f>
        <x:v>5.7355</x:v>
      </x:c>
      <x:c r="R408" s="18" t="n">
        <x:f>E408*H408</x:f>
        <x:v>0</x:v>
      </x:c>
      <x:c r="S408" s="2" t="n">
        <x:v>176</x:v>
      </x:c>
    </x:row>
    <x:row r="409" ht="21" customHeight="1">
      <x:c r="A409" s="36" t="n">
        <x:v>45659.82530645833</x:v>
      </x:c>
      <x:c r="B409" s="36" t="n">
        <x:v>45659.83333333333</x:v>
      </x:c>
      <x:c r="C409" s="36" t="n">
        <x:v>45659.822916666664</x:v>
      </x:c>
      <x:c r="D409" s="2" t="str">
        <x:v>0</x:v>
      </x:c>
      <x:c r="E409" s="18" t="n">
        <x:v>0.192645</x:v>
      </x:c>
      <x:c r="F409" s="18" t="n">
        <x:f>IF(D409="d",'两日价格与决策'!K182-'两日价格与决策'!N182,IF(D409="u",'两日价格与决策'!K182+'两日价格与决策'!M182,'两日价格与决策'!K182))</x:f>
        <x:v>0</x:v>
      </x:c>
      <x:c r="G409" s="18" t="n">
        <x:f>MAX(-F409,0)</x:f>
        <x:v>0</x:v>
      </x:c>
      <x:c r="H409" s="18" t="n">
        <x:f>MAX(F409,0)</x:f>
        <x:v>0</x:v>
      </x:c>
      <x:c r="I409" s="18" t="n">
        <x:f>J408</x:f>
        <x:v>37.988081217390864</x:v>
      </x:c>
      <x:c r="J409" s="18" t="n">
        <x:f>I409+E409*(G409*'原始输入与口径'!$D$5-H409/'原始输入与口径'!$D$5)</x:f>
        <x:v>37.988081217390864</x:v>
      </x:c>
      <x:c r="K409" s="18" t="n">
        <x:v>37.98808121739086</x:v>
      </x:c>
      <x:c r="L409" s="18" t="n">
        <x:v>37.98808121739086</x:v>
      </x:c>
      <x:c r="M409" s="18" t="n">
        <x:f>J409-L409</x:f>
        <x:v>7.105427357601002e-15</x:v>
      </x:c>
      <x:c r="N409" s="18" t="n">
        <x:f>E409*(G409*'原始输入与口径'!$D$5+H409/'原始输入与口径'!$D$5)/'原始输入与口径'!$H$5</x:f>
        <x:v>0</x:v>
      </x:c>
      <x:c r="O409" s="18" t="n">
        <x:v>0</x:v>
      </x:c>
      <x:c r="P409" s="18" t="n">
        <x:f>N409-O409</x:f>
        <x:v>0</x:v>
      </x:c>
      <x:c r="Q409" s="18" t="n">
        <x:f>E409*G409</x:f>
        <x:v>0</x:v>
      </x:c>
      <x:c r="R409" s="18" t="n">
        <x:f>E409*H409</x:f>
        <x:v>0</x:v>
      </x:c>
      <x:c r="S409" s="2" t="n">
        <x:v>176</x:v>
      </x:c>
    </x:row>
    <x:row r="410" ht="21" customHeight="1">
      <x:c r="A410" s="36" t="n">
        <x:v>45659.833333333336</x:v>
      </x:c>
      <x:c r="B410" s="36" t="n">
        <x:v>45659.833502500005</x:v>
      </x:c>
      <x:c r="C410" s="36" t="n">
        <x:v>45659.833333333336</x:v>
      </x:c>
      <x:c r="D410" s="2" t="str">
        <x:v>d</x:v>
      </x:c>
      <x:c r="E410" s="18" t="n">
        <x:v>0.00406</x:v>
      </x:c>
      <x:c r="F410" s="18" t="n">
        <x:f>IF(D410="d",'两日价格与决策'!K183-'两日价格与决策'!N183,IF(D410="u",'两日价格与决策'!K183+'两日价格与决策'!M183,'两日价格与决策'!K183))</x:f>
        <x:v>-100</x:v>
      </x:c>
      <x:c r="G410" s="18" t="n">
        <x:f>MAX(-F410,0)</x:f>
        <x:v>100</x:v>
      </x:c>
      <x:c r="H410" s="18" t="n">
        <x:f>MAX(F410,0)</x:f>
        <x:v>0</x:v>
      </x:c>
      <x:c r="I410" s="18" t="n">
        <x:f>J409</x:f>
        <x:v>37.988081217390864</x:v>
      </x:c>
      <x:c r="J410" s="18" t="n">
        <x:f>I410+E410*(G410*'原始输入与口径'!$D$5-H410/'原始输入与口径'!$D$5)</x:f>
        <x:v>38.36160121739086</x:v>
      </x:c>
      <x:c r="K410" s="18" t="n">
        <x:v>37.98808121739086</x:v>
      </x:c>
      <x:c r="L410" s="18" t="n">
        <x:v>38.361601217390856</x:v>
      </x:c>
      <x:c r="M410" s="18" t="n">
        <x:f>J410-L410</x:f>
        <x:v>7.105427357601002e-15</x:v>
      </x:c>
      <x:c r="N410" s="18" t="n">
        <x:f>E410*(G410*'原始输入与口径'!$D$5+H410/'原始输入与口径'!$D$5)/'原始输入与口径'!$H$5</x:f>
        <x:v>0.0010375555555555557</x:v>
      </x:c>
      <x:c r="O410" s="18" t="n">
        <x:v>0.0010375555555555557</x:v>
      </x:c>
      <x:c r="P410" s="18" t="n">
        <x:f>N410-O410</x:f>
        <x:v>0</x:v>
      </x:c>
      <x:c r="Q410" s="18" t="n">
        <x:f>E410*G410</x:f>
        <x:v>0.406</x:v>
      </x:c>
      <x:c r="R410" s="18" t="n">
        <x:f>E410*H410</x:f>
        <x:v>0</x:v>
      </x:c>
      <x:c r="S410" s="2" t="n">
        <x:v>177</x:v>
      </x:c>
    </x:row>
    <x:row r="411" ht="21" customHeight="1">
      <x:c r="A411" s="36" t="n">
        <x:v>45659.833502500005</x:v>
      </x:c>
      <x:c r="B411" s="36" t="n">
        <x:v>45659.83561666667</x:v>
      </x:c>
      <x:c r="C411" s="36" t="n">
        <x:v>45659.833333333336</x:v>
      </x:c>
      <x:c r="D411" s="2" t="str">
        <x:v>u</x:v>
      </x:c>
      <x:c r="E411" s="18" t="n">
        <x:v>0.05074</x:v>
      </x:c>
      <x:c r="F411" s="18" t="n">
        <x:f>IF(D411="d",'两日价格与决策'!K183-'两日价格与决策'!N183,IF(D411="u",'两日价格与决策'!K183+'两日价格与决策'!M183,'两日价格与决策'!K183))</x:f>
        <x:v>100</x:v>
      </x:c>
      <x:c r="G411" s="18" t="n">
        <x:f>MAX(-F411,0)</x:f>
        <x:v>0</x:v>
      </x:c>
      <x:c r="H411" s="18" t="n">
        <x:f>MAX(F411,0)</x:f>
        <x:v>100</x:v>
      </x:c>
      <x:c r="I411" s="18" t="n">
        <x:f>J410</x:f>
        <x:v>38.36160121739086</x:v>
      </x:c>
      <x:c r="J411" s="18" t="n">
        <x:f>I411+E411*(G411*'原始输入与口径'!$D$5-H411/'原始输入与口径'!$D$5)</x:f>
        <x:v>32.846383826086516</x:v>
      </x:c>
      <x:c r="K411" s="18" t="n">
        <x:v>38.361601217390856</x:v>
      </x:c>
      <x:c r="L411" s="18" t="n">
        <x:v>32.84638382608651</x:v>
      </x:c>
      <x:c r="M411" s="18" t="n">
        <x:f>J411-L411</x:f>
        <x:v>7.105427357601002e-15</x:v>
      </x:c>
      <x:c r="N411" s="18" t="n">
        <x:f>E411*(G411*'原始输入与口径'!$D$5+H411/'原始输入与口径'!$D$5)/'原始输入与口径'!$H$5</x:f>
        <x:v>0.015320048309178741</x:v>
      </x:c>
      <x:c r="O411" s="18" t="n">
        <x:v>0.015320048309178744</x:v>
      </x:c>
      <x:c r="P411" s="18" t="n">
        <x:f>N411-O411</x:f>
        <x:v>-3.469446951953614e-18</x:v>
      </x:c>
      <x:c r="Q411" s="18" t="n">
        <x:f>E411*G411</x:f>
        <x:v>0</x:v>
      </x:c>
      <x:c r="R411" s="18" t="n">
        <x:f>E411*H411</x:f>
        <x:v>5.074</x:v>
      </x:c>
      <x:c r="S411" s="2" t="n">
        <x:v>177</x:v>
      </x:c>
    </x:row>
    <x:row r="412" ht="21" customHeight="1">
      <x:c r="A412" s="36" t="n">
        <x:v>45659.83561666667</x:v>
      </x:c>
      <x:c r="B412" s="36" t="n">
        <x:v>45659.84375</x:v>
      </x:c>
      <x:c r="C412" s="36" t="n">
        <x:v>45659.833333333336</x:v>
      </x:c>
      <x:c r="D412" s="2" t="str">
        <x:v>0</x:v>
      </x:c>
      <x:c r="E412" s="18" t="n">
        <x:v>0.19519999999999998</x:v>
      </x:c>
      <x:c r="F412" s="18" t="n">
        <x:f>IF(D412="d",'两日价格与决策'!K183-'两日价格与决策'!N183,IF(D412="u",'两日价格与决策'!K183+'两日价格与决策'!M183,'两日价格与决策'!K183))</x:f>
        <x:v>0</x:v>
      </x:c>
      <x:c r="G412" s="18" t="n">
        <x:f>MAX(-F412,0)</x:f>
        <x:v>0</x:v>
      </x:c>
      <x:c r="H412" s="18" t="n">
        <x:f>MAX(F412,0)</x:f>
        <x:v>0</x:v>
      </x:c>
      <x:c r="I412" s="18" t="n">
        <x:f>J411</x:f>
        <x:v>32.846383826086516</x:v>
      </x:c>
      <x:c r="J412" s="18" t="n">
        <x:f>I412+E412*(G412*'原始输入与口径'!$D$5-H412/'原始输入与口径'!$D$5)</x:f>
        <x:v>32.846383826086516</x:v>
      </x:c>
      <x:c r="K412" s="18" t="n">
        <x:v>32.84638382608651</x:v>
      </x:c>
      <x:c r="L412" s="18" t="n">
        <x:v>32.84638382608651</x:v>
      </x:c>
      <x:c r="M412" s="18" t="n">
        <x:f>J412-L412</x:f>
        <x:v>7.105427357601002e-15</x:v>
      </x:c>
      <x:c r="N412" s="18" t="n">
        <x:f>E412*(G412*'原始输入与口径'!$D$5+H412/'原始输入与口径'!$D$5)/'原始输入与口径'!$H$5</x:f>
        <x:v>0</x:v>
      </x:c>
      <x:c r="O412" s="18" t="n">
        <x:v>0</x:v>
      </x:c>
      <x:c r="P412" s="18" t="n">
        <x:f>N412-O412</x:f>
        <x:v>0</x:v>
      </x:c>
      <x:c r="Q412" s="18" t="n">
        <x:f>E412*G412</x:f>
        <x:v>0</x:v>
      </x:c>
      <x:c r="R412" s="18" t="n">
        <x:f>E412*H412</x:f>
        <x:v>0</x:v>
      </x:c>
      <x:c r="S412" s="2" t="n">
        <x:v>177</x:v>
      </x:c>
    </x:row>
    <x:row r="413" ht="21" customHeight="1">
      <x:c r="A413" s="36" t="n">
        <x:v>45659.84375</x:v>
      </x:c>
      <x:c r="B413" s="36" t="n">
        <x:v>45659.845421875</x:v>
      </x:c>
      <x:c r="C413" s="36" t="n">
        <x:v>45659.84375</x:v>
      </x:c>
      <x:c r="D413" s="2" t="str">
        <x:v>u</x:v>
      </x:c>
      <x:c r="E413" s="18" t="n">
        <x:v>0.040125</x:v>
      </x:c>
      <x:c r="F413" s="18" t="n">
        <x:f>IF(D413="d",'两日价格与决策'!K184-'两日价格与决策'!N184,IF(D413="u",'两日价格与决策'!K184+'两日价格与决策'!M184,'两日价格与决策'!K184))</x:f>
        <x:v>100</x:v>
      </x:c>
      <x:c r="G413" s="18" t="n">
        <x:f>MAX(-F413,0)</x:f>
        <x:v>0</x:v>
      </x:c>
      <x:c r="H413" s="18" t="n">
        <x:f>MAX(F413,0)</x:f>
        <x:v>100</x:v>
      </x:c>
      <x:c r="I413" s="18" t="n">
        <x:f>J412</x:f>
        <x:v>32.846383826086516</x:v>
      </x:c>
      <x:c r="J413" s="18" t="n">
        <x:f>I413+E413*(G413*'原始输入与口径'!$D$5-H413/'原始输入与口径'!$D$5)</x:f>
        <x:v>28.484970782608254</x:v>
      </x:c>
      <x:c r="K413" s="18" t="n">
        <x:v>32.84638382608651</x:v>
      </x:c>
      <x:c r="L413" s="18" t="n">
        <x:v>28.484970782608247</x:v>
      </x:c>
      <x:c r="M413" s="18" t="n">
        <x:f>J413-L413</x:f>
        <x:v>7.105427357601002e-15</x:v>
      </x:c>
      <x:c r="N413" s="18" t="n">
        <x:f>E413*(G413*'原始输入与口径'!$D$5+H413/'原始输入与口径'!$D$5)/'原始输入与口径'!$H$5</x:f>
        <x:v>0.012115036231884058</x:v>
      </x:c>
      <x:c r="O413" s="18" t="n">
        <x:v>0.012115036231884058</x:v>
      </x:c>
      <x:c r="P413" s="18" t="n">
        <x:f>N413-O413</x:f>
        <x:v>0</x:v>
      </x:c>
      <x:c r="Q413" s="18" t="n">
        <x:f>E413*G413</x:f>
        <x:v>0</x:v>
      </x:c>
      <x:c r="R413" s="18" t="n">
        <x:f>E413*H413</x:f>
        <x:v>4.0125</x:v>
      </x:c>
      <x:c r="S413" s="2" t="n">
        <x:v>178</x:v>
      </x:c>
    </x:row>
    <x:row r="414" ht="21" customHeight="1">
      <x:c r="A414" s="36" t="n">
        <x:v>45659.845421875</x:v>
      </x:c>
      <x:c r="B414" s="36" t="n">
        <x:v>45659.854166666664</x:v>
      </x:c>
      <x:c r="C414" s="36" t="n">
        <x:v>45659.84375</x:v>
      </x:c>
      <x:c r="D414" s="2" t="str">
        <x:v>0</x:v>
      </x:c>
      <x:c r="E414" s="18" t="n">
        <x:v>0.209875</x:v>
      </x:c>
      <x:c r="F414" s="18" t="n">
        <x:f>IF(D414="d",'两日价格与决策'!K184-'两日价格与决策'!N184,IF(D414="u",'两日价格与决策'!K184+'两日价格与决策'!M184,'两日价格与决策'!K184))</x:f>
        <x:v>0</x:v>
      </x:c>
      <x:c r="G414" s="18" t="n">
        <x:f>MAX(-F414,0)</x:f>
        <x:v>0</x:v>
      </x:c>
      <x:c r="H414" s="18" t="n">
        <x:f>MAX(F414,0)</x:f>
        <x:v>0</x:v>
      </x:c>
      <x:c r="I414" s="18" t="n">
        <x:f>J413</x:f>
        <x:v>28.484970782608254</x:v>
      </x:c>
      <x:c r="J414" s="18" t="n">
        <x:f>I414+E414*(G414*'原始输入与口径'!$D$5-H414/'原始输入与口径'!$D$5)</x:f>
        <x:v>28.484970782608254</x:v>
      </x:c>
      <x:c r="K414" s="18" t="n">
        <x:v>28.484970782608247</x:v>
      </x:c>
      <x:c r="L414" s="18" t="n">
        <x:v>28.484970782608247</x:v>
      </x:c>
      <x:c r="M414" s="18" t="n">
        <x:f>J414-L414</x:f>
        <x:v>7.105427357601002e-15</x:v>
      </x:c>
      <x:c r="N414" s="18" t="n">
        <x:f>E414*(G414*'原始输入与口径'!$D$5+H414/'原始输入与口径'!$D$5)/'原始输入与口径'!$H$5</x:f>
        <x:v>0</x:v>
      </x:c>
      <x:c r="O414" s="18" t="n">
        <x:v>0</x:v>
      </x:c>
      <x:c r="P414" s="18" t="n">
        <x:f>N414-O414</x:f>
        <x:v>0</x:v>
      </x:c>
      <x:c r="Q414" s="18" t="n">
        <x:f>E414*G414</x:f>
        <x:v>0</x:v>
      </x:c>
      <x:c r="R414" s="18" t="n">
        <x:f>E414*H414</x:f>
        <x:v>0</x:v>
      </x:c>
      <x:c r="S414" s="2" t="n">
        <x:v>178</x:v>
      </x:c>
    </x:row>
    <x:row r="415" ht="21" customHeight="1">
      <x:c r="A415" s="36" t="n">
        <x:v>45659.854166666664</x:v>
      </x:c>
      <x:c r="B415" s="36" t="n">
        <x:v>45659.85540104166</x:v>
      </x:c>
      <x:c r="C415" s="36" t="n">
        <x:v>45659.854166666664</x:v>
      </x:c>
      <x:c r="D415" s="2" t="str">
        <x:v>u</x:v>
      </x:c>
      <x:c r="E415" s="18" t="n">
        <x:v>0.029625</x:v>
      </x:c>
      <x:c r="F415" s="18" t="n">
        <x:f>IF(D415="d",'两日价格与决策'!K185-'两日价格与决策'!N185,IF(D415="u",'两日价格与决策'!K185+'两日价格与决策'!M185,'两日价格与决策'!K185))</x:f>
        <x:v>100</x:v>
      </x:c>
      <x:c r="G415" s="18" t="n">
        <x:f>MAX(-F415,0)</x:f>
        <x:v>0</x:v>
      </x:c>
      <x:c r="H415" s="18" t="n">
        <x:f>MAX(F415,0)</x:f>
        <x:v>100</x:v>
      </x:c>
      <x:c r="I415" s="18" t="n">
        <x:f>J414</x:f>
        <x:v>28.484970782608254</x:v>
      </x:c>
      <x:c r="J415" s="18" t="n">
        <x:f>I415+E415*(G415*'原始输入与口径'!$D$5-H415/'原始输入与口径'!$D$5)</x:f>
        <x:v>25.264862086956082</x:v>
      </x:c>
      <x:c r="K415" s="18" t="n">
        <x:v>28.484970782608247</x:v>
      </x:c>
      <x:c r="L415" s="18" t="n">
        <x:v>25.26486208695607</x:v>
      </x:c>
      <x:c r="M415" s="18" t="n">
        <x:f>J415-L415</x:f>
        <x:v>1.0658141036401503e-14</x:v>
      </x:c>
      <x:c r="N415" s="18" t="n">
        <x:f>E415*(G415*'原始输入与口径'!$D$5+H415/'原始输入与口径'!$D$5)/'原始输入与口径'!$H$5</x:f>
        <x:v>0.008944746376811592</x:v>
      </x:c>
      <x:c r="O415" s="18" t="n">
        <x:v>0.008944746376811594</x:v>
      </x:c>
      <x:c r="P415" s="18" t="n">
        <x:f>N415-O415</x:f>
        <x:v>-1.734723475976807e-18</x:v>
      </x:c>
      <x:c r="Q415" s="18" t="n">
        <x:f>E415*G415</x:f>
        <x:v>0</x:v>
      </x:c>
      <x:c r="R415" s="18" t="n">
        <x:f>E415*H415</x:f>
        <x:v>2.9625</x:v>
      </x:c>
      <x:c r="S415" s="2" t="n">
        <x:v>179</x:v>
      </x:c>
    </x:row>
    <x:row r="416" ht="21" customHeight="1">
      <x:c r="A416" s="36" t="n">
        <x:v>45659.85540104166</x:v>
      </x:c>
      <x:c r="B416" s="36" t="n">
        <x:v>45659.86458333333</x:v>
      </x:c>
      <x:c r="C416" s="36" t="n">
        <x:v>45659.854166666664</x:v>
      </x:c>
      <x:c r="D416" s="2" t="str">
        <x:v>0</x:v>
      </x:c>
      <x:c r="E416" s="18" t="n">
        <x:v>0.220375</x:v>
      </x:c>
      <x:c r="F416" s="18" t="n">
        <x:f>IF(D416="d",'两日价格与决策'!K185-'两日价格与决策'!N185,IF(D416="u",'两日价格与决策'!K185+'两日价格与决策'!M185,'两日价格与决策'!K185))</x:f>
        <x:v>0</x:v>
      </x:c>
      <x:c r="G416" s="18" t="n">
        <x:f>MAX(-F416,0)</x:f>
        <x:v>0</x:v>
      </x:c>
      <x:c r="H416" s="18" t="n">
        <x:f>MAX(F416,0)</x:f>
        <x:v>0</x:v>
      </x:c>
      <x:c r="I416" s="18" t="n">
        <x:f>J415</x:f>
        <x:v>25.264862086956082</x:v>
      </x:c>
      <x:c r="J416" s="18" t="n">
        <x:f>I416+E416*(G416*'原始输入与口径'!$D$5-H416/'原始输入与口径'!$D$5)</x:f>
        <x:v>25.264862086956082</x:v>
      </x:c>
      <x:c r="K416" s="18" t="n">
        <x:v>25.26486208695607</x:v>
      </x:c>
      <x:c r="L416" s="18" t="n">
        <x:v>25.26486208695607</x:v>
      </x:c>
      <x:c r="M416" s="18" t="n">
        <x:f>J416-L416</x:f>
        <x:v>1.0658141036401503e-14</x:v>
      </x:c>
      <x:c r="N416" s="18" t="n">
        <x:f>E416*(G416*'原始输入与口径'!$D$5+H416/'原始输入与口径'!$D$5)/'原始输入与口径'!$H$5</x:f>
        <x:v>0</x:v>
      </x:c>
      <x:c r="O416" s="18" t="n">
        <x:v>0</x:v>
      </x:c>
      <x:c r="P416" s="18" t="n">
        <x:f>N416-O416</x:f>
        <x:v>0</x:v>
      </x:c>
      <x:c r="Q416" s="18" t="n">
        <x:f>E416*G416</x:f>
        <x:v>0</x:v>
      </x:c>
      <x:c r="R416" s="18" t="n">
        <x:f>E416*H416</x:f>
        <x:v>0</x:v>
      </x:c>
      <x:c r="S416" s="2" t="n">
        <x:v>179</x:v>
      </x:c>
    </x:row>
    <x:row r="417" ht="21" customHeight="1">
      <x:c r="A417" s="36" t="n">
        <x:v>45659.864583333336</x:v>
      </x:c>
      <x:c r="B417" s="36" t="n">
        <x:v>45659.866263958334</x:v>
      </x:c>
      <x:c r="C417" s="36" t="n">
        <x:v>45659.864583333336</x:v>
      </x:c>
      <x:c r="D417" s="2" t="str">
        <x:v>u</x:v>
      </x:c>
      <x:c r="E417" s="18" t="n">
        <x:v>0.040335</x:v>
      </x:c>
      <x:c r="F417" s="18" t="n">
        <x:f>IF(D417="d",'两日价格与决策'!K186-'两日价格与决策'!N186,IF(D417="u",'两日价格与决策'!K186+'两日价格与决策'!M186,'两日价格与决策'!K186))</x:f>
        <x:v>100</x:v>
      </x:c>
      <x:c r="G417" s="18" t="n">
        <x:f>MAX(-F417,0)</x:f>
        <x:v>0</x:v>
      </x:c>
      <x:c r="H417" s="18" t="n">
        <x:f>MAX(F417,0)</x:f>
        <x:v>100</x:v>
      </x:c>
      <x:c r="I417" s="18" t="n">
        <x:f>J416</x:f>
        <x:v>25.264862086956082</x:v>
      </x:c>
      <x:c r="J417" s="18" t="n">
        <x:f>I417+E417*(G417*'原始输入与口径'!$D$5-H417/'原始输入与口径'!$D$5)</x:f>
        <x:v>20.8806229565213</x:v>
      </x:c>
      <x:c r="K417" s="18" t="n">
        <x:v>25.26486208695607</x:v>
      </x:c>
      <x:c r="L417" s="18" t="n">
        <x:v>20.88062295652129</x:v>
      </x:c>
      <x:c r="M417" s="18" t="n">
        <x:f>J417-L417</x:f>
        <x:v>1.0658141036401503e-14</x:v>
      </x:c>
      <x:c r="N417" s="18" t="n">
        <x:f>E417*(G417*'原始输入与口径'!$D$5+H417/'原始输入与口径'!$D$5)/'原始输入与口径'!$H$5</x:f>
        <x:v>0.012178442028985506</x:v>
      </x:c>
      <x:c r="O417" s="18" t="n">
        <x:v>0.012178442028985506</x:v>
      </x:c>
      <x:c r="P417" s="18" t="n">
        <x:f>N417-O417</x:f>
        <x:v>0</x:v>
      </x:c>
      <x:c r="Q417" s="18" t="n">
        <x:f>E417*G417</x:f>
        <x:v>0</x:v>
      </x:c>
      <x:c r="R417" s="18" t="n">
        <x:f>E417*H417</x:f>
        <x:v>4.0335</x:v>
      </x:c>
      <x:c r="S417" s="2" t="n">
        <x:v>180</x:v>
      </x:c>
    </x:row>
    <x:row r="418" ht="21" customHeight="1">
      <x:c r="A418" s="36" t="n">
        <x:v>45659.866263958334</x:v>
      </x:c>
      <x:c r="B418" s="36" t="n">
        <x:v>45659.875</x:v>
      </x:c>
      <x:c r="C418" s="36" t="n">
        <x:v>45659.864583333336</x:v>
      </x:c>
      <x:c r="D418" s="2" t="str">
        <x:v>0</x:v>
      </x:c>
      <x:c r="E418" s="18" t="n">
        <x:v>0.209665</x:v>
      </x:c>
      <x:c r="F418" s="18" t="n">
        <x:f>IF(D418="d",'两日价格与决策'!K186-'两日价格与决策'!N186,IF(D418="u",'两日价格与决策'!K186+'两日价格与决策'!M186,'两日价格与决策'!K186))</x:f>
        <x:v>0</x:v>
      </x:c>
      <x:c r="G418" s="18" t="n">
        <x:f>MAX(-F418,0)</x:f>
        <x:v>0</x:v>
      </x:c>
      <x:c r="H418" s="18" t="n">
        <x:f>MAX(F418,0)</x:f>
        <x:v>0</x:v>
      </x:c>
      <x:c r="I418" s="18" t="n">
        <x:f>J417</x:f>
        <x:v>20.8806229565213</x:v>
      </x:c>
      <x:c r="J418" s="18" t="n">
        <x:f>I418+E418*(G418*'原始输入与口径'!$D$5-H418/'原始输入与口径'!$D$5)</x:f>
        <x:v>20.8806229565213</x:v>
      </x:c>
      <x:c r="K418" s="18" t="n">
        <x:v>20.88062295652129</x:v>
      </x:c>
      <x:c r="L418" s="18" t="n">
        <x:v>20.88062295652129</x:v>
      </x:c>
      <x:c r="M418" s="18" t="n">
        <x:f>J418-L418</x:f>
        <x:v>1.0658141036401503e-14</x:v>
      </x:c>
      <x:c r="N418" s="18" t="n">
        <x:f>E418*(G418*'原始输入与口径'!$D$5+H418/'原始输入与口径'!$D$5)/'原始输入与口径'!$H$5</x:f>
        <x:v>0</x:v>
      </x:c>
      <x:c r="O418" s="18" t="n">
        <x:v>0</x:v>
      </x:c>
      <x:c r="P418" s="18" t="n">
        <x:f>N418-O418</x:f>
        <x:v>0</x:v>
      </x:c>
      <x:c r="Q418" s="18" t="n">
        <x:f>E418*G418</x:f>
        <x:v>0</x:v>
      </x:c>
      <x:c r="R418" s="18" t="n">
        <x:f>E418*H418</x:f>
        <x:v>0</x:v>
      </x:c>
      <x:c r="S418" s="2" t="n">
        <x:v>180</x:v>
      </x:c>
    </x:row>
    <x:row r="419" ht="21" customHeight="1">
      <x:c r="A419" s="36" t="n">
        <x:v>45659.875</x:v>
      </x:c>
      <x:c r="B419" s="36" t="n">
        <x:v>45659.875275</x:v>
      </x:c>
      <x:c r="C419" s="36" t="n">
        <x:v>45659.875</x:v>
      </x:c>
      <x:c r="D419" s="2" t="str">
        <x:v>d</x:v>
      </x:c>
      <x:c r="E419" s="18" t="n">
        <x:v>0.0066</x:v>
      </x:c>
      <x:c r="F419" s="18" t="n">
        <x:f>IF(D419="d",'两日价格与决策'!K187-'两日价格与决策'!N187,IF(D419="u",'两日价格与决策'!K187+'两日价格与决策'!M187,'两日价格与决策'!K187))</x:f>
        <x:v>-61.9999999999923</x:v>
      </x:c>
      <x:c r="G419" s="18" t="n">
        <x:f>MAX(-F419,0)</x:f>
        <x:v>61.9999999999923</x:v>
      </x:c>
      <x:c r="H419" s="18" t="n">
        <x:f>MAX(F419,0)</x:f>
        <x:v>0</x:v>
      </x:c>
      <x:c r="I419" s="18" t="n">
        <x:f>J418</x:f>
        <x:v>20.8806229565213</x:v>
      </x:c>
      <x:c r="J419" s="18" t="n">
        <x:f>I419+E419*(G419*'原始输入与口径'!$D$5-H419/'原始输入与口径'!$D$5)</x:f>
        <x:v>21.257086956521253</x:v>
      </x:c>
      <x:c r="K419" s="18" t="n">
        <x:v>20.88062295652129</x:v>
      </x:c>
      <x:c r="L419" s="18" t="n">
        <x:v>21.257086956521242</x:v>
      </x:c>
      <x:c r="M419" s="18" t="n">
        <x:f>J419-L419</x:f>
        <x:v>1.0658141036401503e-14</x:v>
      </x:c>
      <x:c r="N419" s="18" t="n">
        <x:f>E419*(G419*'原始输入与口径'!$D$5+H419/'原始输入与口径'!$D$5)/'原始输入与口径'!$H$5</x:f>
        <x:v>0.0010457333333332033</x:v>
      </x:c>
      <x:c r="O419" s="18" t="n">
        <x:v>0.0010457333333332033</x:v>
      </x:c>
      <x:c r="P419" s="18" t="n">
        <x:f>N419-O419</x:f>
        <x:v>0</x:v>
      </x:c>
      <x:c r="Q419" s="18" t="n">
        <x:f>E419*G419</x:f>
        <x:v>0.40919999999994916</x:v>
      </x:c>
      <x:c r="R419" s="18" t="n">
        <x:f>E419*H419</x:f>
        <x:v>0</x:v>
      </x:c>
      <x:c r="S419" s="2" t="n">
        <x:v>181</x:v>
      </x:c>
    </x:row>
    <x:row r="420" ht="21" customHeight="1">
      <x:c r="A420" s="36" t="n">
        <x:v>45659.875275</x:v>
      </x:c>
      <x:c r="B420" s="36" t="n">
        <x:v>45659.876019166666</x:v>
      </x:c>
      <x:c r="C420" s="36" t="n">
        <x:v>45659.875</x:v>
      </x:c>
      <x:c r="D420" s="2" t="str">
        <x:v>u</x:v>
      </x:c>
      <x:c r="E420" s="18" t="n">
        <x:v>0.01786</x:v>
      </x:c>
      <x:c r="F420" s="18" t="n">
        <x:f>IF(D420="d",'两日价格与决策'!K187-'两日价格与决策'!N187,IF(D420="u",'两日价格与决策'!K187+'两日价格与决策'!M187,'两日价格与决策'!K187))</x:f>
        <x:v>100.0000000000077</x:v>
      </x:c>
      <x:c r="G420" s="18" t="n">
        <x:f>MAX(-F420,0)</x:f>
        <x:v>0</x:v>
      </x:c>
      <x:c r="H420" s="18" t="n">
        <x:f>MAX(F420,0)</x:f>
        <x:v>100.0000000000077</x:v>
      </x:c>
      <x:c r="I420" s="18" t="n">
        <x:f>J419</x:f>
        <x:v>21.257086956521253</x:v>
      </x:c>
      <x:c r="J420" s="18" t="n">
        <x:f>I420+E420*(G420*'原始输入与口径'!$D$5-H420/'原始输入与口径'!$D$5)</x:f>
        <x:v>19.315782608695017</x:v>
      </x:c>
      <x:c r="K420" s="18" t="n">
        <x:v>21.257086956521242</x:v>
      </x:c>
      <x:c r="L420" s="18" t="n">
        <x:v>19.315782608695006</x:v>
      </x:c>
      <x:c r="M420" s="18" t="n">
        <x:f>J420-L420</x:f>
        <x:v>1.0658141036401503e-14</x:v>
      </x:c>
      <x:c r="N420" s="18" t="n">
        <x:f>E420*(G420*'原始输入与口径'!$D$5+H420/'原始输入与口径'!$D$5)/'原始输入与口径'!$H$5</x:f>
        <x:v>0.005392512077295102</x:v>
      </x:c>
      <x:c r="O420" s="18" t="n">
        <x:v>0.005392512077295102</x:v>
      </x:c>
      <x:c r="P420" s="18" t="n">
        <x:f>N420-O420</x:f>
        <x:v>0</x:v>
      </x:c>
      <x:c r="Q420" s="18" t="n">
        <x:f>E420*G420</x:f>
        <x:v>0</x:v>
      </x:c>
      <x:c r="R420" s="18" t="n">
        <x:f>E420*H420</x:f>
        <x:v>1.7860000000001377</x:v>
      </x:c>
      <x:c r="S420" s="2" t="n">
        <x:v>181</x:v>
      </x:c>
    </x:row>
    <x:row r="421" ht="21" customHeight="1">
      <x:c r="A421" s="36" t="n">
        <x:v>45659.876019166666</x:v>
      </x:c>
      <x:c r="B421" s="36" t="n">
        <x:v>45659.885416666664</x:v>
      </x:c>
      <x:c r="C421" s="36" t="n">
        <x:v>45659.875</x:v>
      </x:c>
      <x:c r="D421" s="2" t="str">
        <x:v>0</x:v>
      </x:c>
      <x:c r="E421" s="18" t="n">
        <x:v>0.22554000000000002</x:v>
      </x:c>
      <x:c r="F421" s="18" t="n">
        <x:f>IF(D421="d",'两日价格与决策'!K187-'两日价格与决策'!N187,IF(D421="u",'两日价格与决策'!K187+'两日价格与决策'!M187,'两日价格与决策'!K187))</x:f>
        <x:v>38.0000000000077</x:v>
      </x:c>
      <x:c r="G421" s="18" t="n">
        <x:f>MAX(-F421,0)</x:f>
        <x:v>0</x:v>
      </x:c>
      <x:c r="H421" s="18" t="n">
        <x:f>MAX(F421,0)</x:f>
        <x:v>38.0000000000077</x:v>
      </x:c>
      <x:c r="I421" s="18" t="n">
        <x:f>J420</x:f>
        <x:v>19.315782608695017</x:v>
      </x:c>
      <x:c r="J421" s="18" t="n">
        <x:f>I421+E421*(G421*'原始输入与口径'!$D$5-H421/'原始输入与口径'!$D$5)</x:f>
        <x:v>9.999999999997476</x:v>
      </x:c>
      <x:c r="K421" s="18" t="n">
        <x:v>19.315782608695006</x:v>
      </x:c>
      <x:c r="L421" s="18" t="n">
        <x:v>9.999999999997465</x:v>
      </x:c>
      <x:c r="M421" s="18" t="n">
        <x:f>J421-L421</x:f>
        <x:v>1.0658141036401503e-14</x:v>
      </x:c>
      <x:c r="N421" s="18" t="n">
        <x:f>E421*(G421*'原始输入与口径'!$D$5+H421/'原始输入与口径'!$D$5)/'原始输入与口径'!$H$5</x:f>
        <x:v>0.025877173913048723</x:v>
      </x:c>
      <x:c r="O421" s="18" t="n">
        <x:v>0.025877173913048723</x:v>
      </x:c>
      <x:c r="P421" s="18" t="n">
        <x:f>N421-O421</x:f>
        <x:v>0</x:v>
      </x:c>
      <x:c r="Q421" s="18" t="n">
        <x:f>E421*G421</x:f>
        <x:v>0</x:v>
      </x:c>
      <x:c r="R421" s="18" t="n">
        <x:f>E421*H421</x:f>
        <x:v>8.570520000001737</x:v>
      </x:c>
      <x:c r="S421" s="2" t="n">
        <x:v>181</x:v>
      </x:c>
    </x:row>
    <x:row r="422" ht="21" customHeight="1">
      <x:c r="A422" s="36" t="n">
        <x:v>45659.885416666664</x:v>
      </x:c>
      <x:c r="B422" s="36" t="n">
        <x:v>45659.89006291667</x:v>
      </x:c>
      <x:c r="C422" s="36" t="n">
        <x:v>45659.885416666664</x:v>
      </x:c>
      <x:c r="D422" s="2" t="str">
        <x:v>d</x:v>
      </x:c>
      <x:c r="E422" s="18" t="n">
        <x:v>0.11151</x:v>
      </x:c>
      <x:c r="F422" s="18" t="n">
        <x:f>IF(D422="d",'两日价格与决策'!K188-'两日价格与决策'!N188,IF(D422="u",'两日价格与决策'!K188+'两日价格与决策'!M188,'两日价格与决策'!K188))</x:f>
        <x:v>-61.9999999999923</x:v>
      </x:c>
      <x:c r="G422" s="18" t="n">
        <x:f>MAX(-F422,0)</x:f>
        <x:v>61.9999999999923</x:v>
      </x:c>
      <x:c r="H422" s="18" t="n">
        <x:f>MAX(F422,0)</x:f>
        <x:v>0</x:v>
      </x:c>
      <x:c r="I422" s="18" t="n">
        <x:f>J421</x:f>
        <x:v>9.999999999997476</x:v>
      </x:c>
      <x:c r="J422" s="18" t="n">
        <x:f>I422+E422*(G422*'原始输入与口径'!$D$5-H422/'原始输入与口径'!$D$5)</x:f>
        <x:v>16.360530399996684</x:v>
      </x:c>
      <x:c r="K422" s="18" t="n">
        <x:v>9.999999999997465</x:v>
      </x:c>
      <x:c r="L422" s="18" t="n">
        <x:v>16.360530399996676</x:v>
      </x:c>
      <x:c r="M422" s="18" t="n">
        <x:f>J422-L422</x:f>
        <x:v>7.105427357601002e-15</x:v>
      </x:c>
      <x:c r="N422" s="18" t="n">
        <x:f>E422*(G422*'原始输入与口径'!$D$5+H422/'原始输入与口径'!$D$5)/'原始输入与口径'!$H$5</x:f>
        <x:v>0.017668139999997803</x:v>
      </x:c>
      <x:c r="O422" s="18" t="n">
        <x:v>0.017668139999997806</x:v>
      </x:c>
      <x:c r="P422" s="18" t="n">
        <x:f>N422-O422</x:f>
        <x:v>-3.469446951953614e-18</x:v>
      </x:c>
      <x:c r="Q422" s="18" t="n">
        <x:f>E422*G422</x:f>
        <x:v>6.913619999999141</x:v>
      </x:c>
      <x:c r="R422" s="18" t="n">
        <x:f>E422*H422</x:f>
        <x:v>0</x:v>
      </x:c>
      <x:c r="S422" s="2" t="n">
        <x:v>182</x:v>
      </x:c>
    </x:row>
    <x:row r="423" ht="21" customHeight="1">
      <x:c r="A423" s="36" t="n">
        <x:v>45659.89006291667</x:v>
      </x:c>
      <x:c r="B423" s="36" t="n">
        <x:v>45659.89583333333</x:v>
      </x:c>
      <x:c r="C423" s="36" t="n">
        <x:v>45659.885416666664</x:v>
      </x:c>
      <x:c r="D423" s="2" t="str">
        <x:v>0</x:v>
      </x:c>
      <x:c r="E423" s="18" t="n">
        <x:v>0.13849</x:v>
      </x:c>
      <x:c r="F423" s="18" t="n">
        <x:f>IF(D423="d",'两日价格与决策'!K188-'两日价格与决策'!N188,IF(D423="u",'两日价格与决策'!K188+'两日价格与决策'!M188,'两日价格与决策'!K188))</x:f>
        <x:v>38.0000000000077</x:v>
      </x:c>
      <x:c r="G423" s="18" t="n">
        <x:f>MAX(-F423,0)</x:f>
        <x:v>0</x:v>
      </x:c>
      <x:c r="H423" s="18" t="n">
        <x:f>MAX(F423,0)</x:f>
        <x:v>38.0000000000077</x:v>
      </x:c>
      <x:c r="I423" s="18" t="n">
        <x:f>J422</x:f>
        <x:v>16.360530399996684</x:v>
      </x:c>
      <x:c r="J423" s="18" t="n">
        <x:f>I423+E423*(G423*'原始输入与口径'!$D$5-H423/'原始输入与口径'!$D$5)</x:f>
        <x:v>10.640291269560741</x:v>
      </x:c>
      <x:c r="K423" s="18" t="n">
        <x:v>16.360530399996676</x:v>
      </x:c>
      <x:c r="L423" s="18" t="n">
        <x:v>10.640291269560734</x:v>
      </x:c>
      <x:c r="M423" s="18" t="n">
        <x:f>J423-L423</x:f>
        <x:v>7.105427357601002e-15</x:v>
      </x:c>
      <x:c r="N423" s="18" t="n">
        <x:f>E423*(G423*'原始输入与口径'!$D$5+H423/'原始输入与口径'!$D$5)/'原始输入与口径'!$H$5</x:f>
        <x:v>0.01588955314009984</x:v>
      </x:c>
      <x:c r="O423" s="18" t="n">
        <x:v>0.01588955314009984</x:v>
      </x:c>
      <x:c r="P423" s="18" t="n">
        <x:f>N423-O423</x:f>
        <x:v>0</x:v>
      </x:c>
      <x:c r="Q423" s="18" t="n">
        <x:f>E423*G423</x:f>
        <x:v>0</x:v>
      </x:c>
      <x:c r="R423" s="18" t="n">
        <x:f>E423*H423</x:f>
        <x:v>5.262620000001067</x:v>
      </x:c>
      <x:c r="S423" s="2" t="n">
        <x:v>182</x:v>
      </x:c>
    </x:row>
    <x:row r="424" ht="21" customHeight="1">
      <x:c r="A424" s="36" t="n">
        <x:v>45659.895833333336</x:v>
      </x:c>
      <x:c r="B424" s="36" t="n">
        <x:v>45659.902018125</x:v>
      </x:c>
      <x:c r="C424" s="36" t="n">
        <x:v>45659.895833333336</x:v>
      </x:c>
      <x:c r="D424" s="2" t="str">
        <x:v>d</x:v>
      </x:c>
      <x:c r="E424" s="18" t="n">
        <x:v>0.148435</x:v>
      </x:c>
      <x:c r="F424" s="18" t="n">
        <x:f>IF(D424="d",'两日价格与决策'!K189-'两日价格与决策'!N189,IF(D424="u",'两日价格与决策'!K189+'两日价格与决策'!M189,'两日价格与决策'!K189))</x:f>
        <x:v>-61.9999999999923</x:v>
      </x:c>
      <x:c r="G424" s="18" t="n">
        <x:f>MAX(-F424,0)</x:f>
        <x:v>61.9999999999923</x:v>
      </x:c>
      <x:c r="H424" s="18" t="n">
        <x:f>MAX(F424,0)</x:f>
        <x:v>0</x:v>
      </x:c>
      <x:c r="I424" s="18" t="n">
        <x:f>J423</x:f>
        <x:v>10.640291269560741</x:v>
      </x:c>
      <x:c r="J424" s="18" t="n">
        <x:f>I424+E424*(G424*'原始输入与口径'!$D$5-H424/'原始输入与口径'!$D$5)</x:f>
        <x:v>19.107023669559688</x:v>
      </x:c>
      <x:c r="K424" s="18" t="n">
        <x:v>10.640291269560734</x:v>
      </x:c>
      <x:c r="L424" s="18" t="n">
        <x:v>19.10702366955968</x:v>
      </x:c>
      <x:c r="M424" s="18" t="n">
        <x:f>J424-L424</x:f>
        <x:v>7.105427357601002e-15</x:v>
      </x:c>
      <x:c r="N424" s="18" t="n">
        <x:f>E424*(G424*'原始输入与口径'!$D$5+H424/'原始输入与口径'!$D$5)/'原始输入与口径'!$H$5</x:f>
        <x:v>0.023518701111108188</x:v>
      </x:c>
      <x:c r="O424" s="18" t="n">
        <x:v>0.023518701111108188</x:v>
      </x:c>
      <x:c r="P424" s="18" t="n">
        <x:f>N424-O424</x:f>
        <x:v>0</x:v>
      </x:c>
      <x:c r="Q424" s="18" t="n">
        <x:f>E424*G424</x:f>
        <x:v>9.202969999998857</x:v>
      </x:c>
      <x:c r="R424" s="18" t="n">
        <x:f>E424*H424</x:f>
        <x:v>0</x:v>
      </x:c>
      <x:c r="S424" s="2" t="n">
        <x:v>183</x:v>
      </x:c>
    </x:row>
    <x:row r="425" ht="21" customHeight="1">
      <x:c r="A425" s="36" t="n">
        <x:v>45659.902018125</x:v>
      </x:c>
      <x:c r="B425" s="36" t="n">
        <x:v>45659.90625</x:v>
      </x:c>
      <x:c r="C425" s="36" t="n">
        <x:v>45659.895833333336</x:v>
      </x:c>
      <x:c r="D425" s="2" t="str">
        <x:v>0</x:v>
      </x:c>
      <x:c r="E425" s="18" t="n">
        <x:v>0.10156499999999999</x:v>
      </x:c>
      <x:c r="F425" s="18" t="n">
        <x:f>IF(D425="d",'两日价格与决策'!K189-'两日价格与决策'!N189,IF(D425="u",'两日价格与决策'!K189+'两日价格与决策'!M189,'两日价格与决策'!K189))</x:f>
        <x:v>38.0000000000077</x:v>
      </x:c>
      <x:c r="G425" s="18" t="n">
        <x:f>MAX(-F425,0)</x:f>
        <x:v>0</x:v>
      </x:c>
      <x:c r="H425" s="18" t="n">
        <x:f>MAX(F425,0)</x:f>
        <x:v>38.0000000000077</x:v>
      </x:c>
      <x:c r="I425" s="18" t="n">
        <x:f>J424</x:f>
        <x:v>19.107023669559688</x:v>
      </x:c>
      <x:c r="J425" s="18" t="n">
        <x:f>I425+E425*(G425*'原始输入与口径'!$D$5-H425/'原始输入与口径'!$D$5)</x:f>
        <x:v>14.911947582602316</x:v>
      </x:c>
      <x:c r="K425" s="18" t="n">
        <x:v>19.10702366955968</x:v>
      </x:c>
      <x:c r="L425" s="18" t="n">
        <x:v>14.91194758260231</x:v>
      </x:c>
      <x:c r="M425" s="18" t="n">
        <x:f>J425-L425</x:f>
        <x:v>7.105427357601002e-15</x:v>
      </x:c>
      <x:c r="N425" s="18" t="n">
        <x:f>E425*(G425*'原始输入与口径'!$D$5+H425/'原始输入与口径'!$D$5)/'原始输入与口径'!$H$5</x:f>
        <x:v>0.011652989130437143</x:v>
      </x:c>
      <x:c r="O425" s="18" t="n">
        <x:v>0.011652989130437143</x:v>
      </x:c>
      <x:c r="P425" s="18" t="n">
        <x:f>N425-O425</x:f>
        <x:v>0</x:v>
      </x:c>
      <x:c r="Q425" s="18" t="n">
        <x:f>E425*G425</x:f>
        <x:v>0</x:v>
      </x:c>
      <x:c r="R425" s="18" t="n">
        <x:f>E425*H425</x:f>
        <x:v>3.859470000000782</x:v>
      </x:c>
      <x:c r="S425" s="2" t="n">
        <x:v>183</x:v>
      </x:c>
    </x:row>
    <x:row r="426" ht="21" customHeight="1">
      <x:c r="A426" s="36" t="n">
        <x:v>45659.90625</x:v>
      </x:c>
      <x:c r="B426" s="36" t="n">
        <x:v>45659.91448020833</x:v>
      </x:c>
      <x:c r="C426" s="36" t="n">
        <x:v>45659.90625</x:v>
      </x:c>
      <x:c r="D426" s="2" t="str">
        <x:v>d</x:v>
      </x:c>
      <x:c r="E426" s="18" t="n">
        <x:v>0.197525</x:v>
      </x:c>
      <x:c r="F426" s="18" t="n">
        <x:f>IF(D426="d",'两日价格与决策'!K190-'两日价格与决策'!N190,IF(D426="u",'两日价格与决策'!K190+'两日价格与决策'!M190,'两日价格与决策'!K190))</x:f>
        <x:v>-61.9999999999923</x:v>
      </x:c>
      <x:c r="G426" s="18" t="n">
        <x:f>MAX(-F426,0)</x:f>
        <x:v>61.9999999999923</x:v>
      </x:c>
      <x:c r="H426" s="18" t="n">
        <x:f>MAX(F426,0)</x:f>
        <x:v>0</x:v>
      </x:c>
      <x:c r="I426" s="18" t="n">
        <x:f>J425</x:f>
        <x:v>14.911947582602316</x:v>
      </x:c>
      <x:c r="J426" s="18" t="n">
        <x:f>I426+E426*(G426*'原始输入与口径'!$D$5-H426/'原始输入与口径'!$D$5)</x:f>
        <x:v>26.17877358260092</x:v>
      </x:c>
      <x:c r="K426" s="18" t="n">
        <x:v>14.91194758260231</x:v>
      </x:c>
      <x:c r="L426" s="18" t="n">
        <x:v>26.17877358260091</x:v>
      </x:c>
      <x:c r="M426" s="18" t="n">
        <x:f>J426-L426</x:f>
        <x:v>7.105427357601002e-15</x:v>
      </x:c>
      <x:c r="N426" s="18" t="n">
        <x:f>E426*(G426*'原始输入与口径'!$D$5+H426/'原始输入与口径'!$D$5)/'原始输入与口径'!$H$5</x:f>
        <x:v>0.031296738888885</x:v>
      </x:c>
      <x:c r="O426" s="18" t="n">
        <x:v>0.031296738888885</x:v>
      </x:c>
      <x:c r="P426" s="18" t="n">
        <x:f>N426-O426</x:f>
        <x:v>0</x:v>
      </x:c>
      <x:c r="Q426" s="18" t="n">
        <x:f>E426*G426</x:f>
        <x:v>12.246549999998479</x:v>
      </x:c>
      <x:c r="R426" s="18" t="n">
        <x:f>E426*H426</x:f>
        <x:v>0</x:v>
      </x:c>
      <x:c r="S426" s="2" t="n">
        <x:v>184</x:v>
      </x:c>
    </x:row>
    <x:row r="427" ht="21" customHeight="1">
      <x:c r="A427" s="36" t="n">
        <x:v>45659.91448020833</x:v>
      </x:c>
      <x:c r="B427" s="36" t="n">
        <x:v>45659.916666666664</x:v>
      </x:c>
      <x:c r="C427" s="36" t="n">
        <x:v>45659.90625</x:v>
      </x:c>
      <x:c r="D427" s="2" t="str">
        <x:v>0</x:v>
      </x:c>
      <x:c r="E427" s="18" t="n">
        <x:v>0.052474999999999994</x:v>
      </x:c>
      <x:c r="F427" s="18" t="n">
        <x:f>IF(D427="d",'两日价格与决策'!K190-'两日价格与决策'!N190,IF(D427="u",'两日价格与决策'!K190+'两日价格与决策'!M190,'两日价格与决策'!K190))</x:f>
        <x:v>38.0000000000077</x:v>
      </x:c>
      <x:c r="G427" s="18" t="n">
        <x:f>MAX(-F427,0)</x:f>
        <x:v>0</x:v>
      </x:c>
      <x:c r="H427" s="18" t="n">
        <x:f>MAX(F427,0)</x:f>
        <x:v>38.0000000000077</x:v>
      </x:c>
      <x:c r="I427" s="18" t="n">
        <x:f>J426</x:f>
        <x:v>26.17877358260092</x:v>
      </x:c>
      <x:c r="J427" s="18" t="n">
        <x:f>I427+E427*(G427*'原始输入与口径'!$D$5-H427/'原始输入与口径'!$D$5)</x:f>
        <x:v>24.011327930426567</x:v>
      </x:c>
      <x:c r="K427" s="18" t="n">
        <x:v>26.17877358260091</x:v>
      </x:c>
      <x:c r="L427" s="18" t="n">
        <x:v>24.01132793042656</x:v>
      </x:c>
      <x:c r="M427" s="18" t="n">
        <x:f>J427-L427</x:f>
        <x:v>7.105427357601002e-15</x:v>
      </x:c>
      <x:c r="N427" s="18" t="n">
        <x:f>E427*(G427*'原始输入与口径'!$D$5+H427/'原始输入与口径'!$D$5)/'原始输入与口径'!$H$5</x:f>
        <x:v>0.006020682367150977</x:v>
      </x:c>
      <x:c r="O427" s="18" t="n">
        <x:v>0.006020682367150978</x:v>
      </x:c>
      <x:c r="P427" s="18" t="n">
        <x:f>N427-O427</x:f>
        <x:v>-1.734723475976807e-18</x:v>
      </x:c>
      <x:c r="Q427" s="18" t="n">
        <x:f>E427*G427</x:f>
        <x:v>0</x:v>
      </x:c>
      <x:c r="R427" s="18" t="n">
        <x:f>E427*H427</x:f>
        <x:v>1.994050000000404</x:v>
      </x:c>
      <x:c r="S427" s="2" t="n">
        <x:v>184</x:v>
      </x:c>
    </x:row>
    <x:row r="428" ht="21" customHeight="1">
      <x:c r="A428" s="36" t="n">
        <x:v>45659.916666666664</x:v>
      </x:c>
      <x:c r="B428" s="36" t="n">
        <x:v>45659.91839770833</x:v>
      </x:c>
      <x:c r="C428" s="36" t="n">
        <x:v>45659.916666666664</x:v>
      </x:c>
      <x:c r="D428" s="2" t="str">
        <x:v>d</x:v>
      </x:c>
      <x:c r="E428" s="18" t="n">
        <x:v>0.041545</x:v>
      </x:c>
      <x:c r="F428" s="18" t="n">
        <x:f>IF(D428="d",'两日价格与决策'!K191-'两日价格与决策'!N191,IF(D428="u",'两日价格与决策'!K191+'两日价格与决策'!M191,'两日价格与决策'!K191))</x:f>
        <x:v>-69.00000000000003</x:v>
      </x:c>
      <x:c r="G428" s="18" t="n">
        <x:f>MAX(-F428,0)</x:f>
        <x:v>69.00000000000003</x:v>
      </x:c>
      <x:c r="H428" s="18" t="n">
        <x:f>MAX(F428,0)</x:f>
        <x:v>0</x:v>
      </x:c>
      <x:c r="I428" s="18" t="n">
        <x:f>J427</x:f>
        <x:v>24.011327930426567</x:v>
      </x:c>
      <x:c r="J428" s="18" t="n">
        <x:f>I428+E428*(G428*'原始输入与口径'!$D$5-H428/'原始输入与口径'!$D$5)</x:f>
        <x:v>26.648604530426567</x:v>
      </x:c>
      <x:c r="K428" s="18" t="n">
        <x:v>24.01132793042656</x:v>
      </x:c>
      <x:c r="L428" s="18" t="n">
        <x:v>26.64860453042656</x:v>
      </x:c>
      <x:c r="M428" s="18" t="n">
        <x:f>J428-L428</x:f>
        <x:v>7.105427357601002e-15</x:v>
      </x:c>
      <x:c r="N428" s="18" t="n">
        <x:f>E428*(G428*'原始输入与口径'!$D$5+H428/'原始输入与口径'!$D$5)/'原始输入与口径'!$H$5</x:f>
        <x:v>0.0073257683333333365</x:v>
      </x:c>
      <x:c r="O428" s="18" t="n">
        <x:v>0.0073257683333333365</x:v>
      </x:c>
      <x:c r="P428" s="18" t="n">
        <x:f>N428-O428</x:f>
        <x:v>0</x:v>
      </x:c>
      <x:c r="Q428" s="18" t="n">
        <x:f>E428*G428</x:f>
        <x:v>2.866605000000001</x:v>
      </x:c>
      <x:c r="R428" s="18" t="n">
        <x:f>E428*H428</x:f>
        <x:v>0</x:v>
      </x:c>
      <x:c r="S428" s="2" t="n">
        <x:v>185</x:v>
      </x:c>
    </x:row>
    <x:row r="429" ht="21" customHeight="1">
      <x:c r="A429" s="36" t="n">
        <x:v>45659.91839770833</x:v>
      </x:c>
      <x:c r="B429" s="36" t="n">
        <x:v>45659.92708333333</x:v>
      </x:c>
      <x:c r="C429" s="36" t="n">
        <x:v>45659.916666666664</x:v>
      </x:c>
      <x:c r="D429" s="2" t="str">
        <x:v>0</x:v>
      </x:c>
      <x:c r="E429" s="18" t="n">
        <x:v>0.208455</x:v>
      </x:c>
      <x:c r="F429" s="18" t="n">
        <x:f>IF(D429="d",'两日价格与决策'!K191-'两日价格与决策'!N191,IF(D429="u",'两日价格与决策'!K191+'两日价格与决策'!M191,'两日价格与决策'!K191))</x:f>
        <x:v>30.999999999999964</x:v>
      </x:c>
      <x:c r="G429" s="18" t="n">
        <x:f>MAX(-F429,0)</x:f>
        <x:v>0</x:v>
      </x:c>
      <x:c r="H429" s="18" t="n">
        <x:f>MAX(F429,0)</x:f>
        <x:v>30.999999999999964</x:v>
      </x:c>
      <x:c r="I429" s="18" t="n">
        <x:f>J428</x:f>
        <x:v>26.648604530426567</x:v>
      </x:c>
      <x:c r="J429" s="18" t="n">
        <x:f>I429+E429*(G429*'原始输入与口径'!$D$5-H429/'原始输入与口径'!$D$5)</x:f>
        <x:v>19.624577356513534</x:v>
      </x:c>
      <x:c r="K429" s="18" t="n">
        <x:v>26.64860453042656</x:v>
      </x:c>
      <x:c r="L429" s="18" t="n">
        <x:v>19.624577356513527</x:v>
      </x:c>
      <x:c r="M429" s="18" t="n">
        <x:f>J429-L429</x:f>
        <x:v>7.105427357601002e-15</x:v>
      </x:c>
      <x:c r="N429" s="18" t="n">
        <x:f>E429*(G429*'原始输入与口径'!$D$5+H429/'原始输入与口径'!$D$5)/'原始输入与口径'!$H$5</x:f>
        <x:v>0.019511186594202874</x:v>
      </x:c>
      <x:c r="O429" s="18" t="n">
        <x:v>0.019511186594202874</x:v>
      </x:c>
      <x:c r="P429" s="18" t="n">
        <x:f>N429-O429</x:f>
        <x:v>0</x:v>
      </x:c>
      <x:c r="Q429" s="18" t="n">
        <x:f>E429*G429</x:f>
        <x:v>0</x:v>
      </x:c>
      <x:c r="R429" s="18" t="n">
        <x:f>E429*H429</x:f>
        <x:v>6.462104999999992</x:v>
      </x:c>
      <x:c r="S429" s="2" t="n">
        <x:v>185</x:v>
      </x:c>
    </x:row>
    <x:row r="430" ht="21" customHeight="1">
      <x:c r="A430" s="36" t="n">
        <x:v>45659.927083333336</x:v>
      </x:c>
      <x:c r="B430" s="36" t="n">
        <x:v>45659.928065625005</x:v>
      </x:c>
      <x:c r="C430" s="36" t="n">
        <x:v>45659.927083333336</x:v>
      </x:c>
      <x:c r="D430" s="2" t="str">
        <x:v>d</x:v>
      </x:c>
      <x:c r="E430" s="18" t="n">
        <x:v>0.023575</x:v>
      </x:c>
      <x:c r="F430" s="18" t="n">
        <x:f>IF(D430="d",'两日价格与决策'!K192-'两日价格与决策'!N192,IF(D430="u",'两日价格与决策'!K192+'两日价格与决策'!M192,'两日价格与决策'!K192))</x:f>
        <x:v>-69.00000000000003</x:v>
      </x:c>
      <x:c r="G430" s="18" t="n">
        <x:f>MAX(-F430,0)</x:f>
        <x:v>69.00000000000003</x:v>
      </x:c>
      <x:c r="H430" s="18" t="n">
        <x:f>MAX(F430,0)</x:f>
        <x:v>0</x:v>
      </x:c>
      <x:c r="I430" s="18" t="n">
        <x:f>J429</x:f>
        <x:v>19.624577356513534</x:v>
      </x:c>
      <x:c r="J430" s="18" t="n">
        <x:f>I430+E430*(G430*'原始输入与口径'!$D$5-H430/'原始输入与口径'!$D$5)</x:f>
        <x:v>21.121118356513534</x:v>
      </x:c>
      <x:c r="K430" s="18" t="n">
        <x:v>19.624577356513527</x:v>
      </x:c>
      <x:c r="L430" s="18" t="n">
        <x:v>21.121118356513527</x:v>
      </x:c>
      <x:c r="M430" s="18" t="n">
        <x:f>J430-L430</x:f>
        <x:v>7.105427357601002e-15</x:v>
      </x:c>
      <x:c r="N430" s="18" t="n">
        <x:f>E430*(G430*'原始输入与口径'!$D$5+H430/'原始输入与口径'!$D$5)/'原始输入与口径'!$H$5</x:f>
        <x:v>0.004157058333333336</x:v>
      </x:c>
      <x:c r="O430" s="18" t="n">
        <x:v>0.004157058333333335</x:v>
      </x:c>
      <x:c r="P430" s="18" t="n">
        <x:f>N430-O430</x:f>
        <x:v>8.673617379884035e-19</x:v>
      </x:c>
      <x:c r="Q430" s="18" t="n">
        <x:f>E430*G430</x:f>
        <x:v>1.6266750000000005</x:v>
      </x:c>
      <x:c r="R430" s="18" t="n">
        <x:f>E430*H430</x:f>
        <x:v>0</x:v>
      </x:c>
      <x:c r="S430" s="2" t="n">
        <x:v>186</x:v>
      </x:c>
    </x:row>
    <x:row r="431" ht="21" customHeight="1">
      <x:c r="A431" s="36" t="n">
        <x:v>45659.928065625005</x:v>
      </x:c>
      <x:c r="B431" s="36" t="n">
        <x:v>45659.9375</x:v>
      </x:c>
      <x:c r="C431" s="36" t="n">
        <x:v>45659.927083333336</x:v>
      </x:c>
      <x:c r="D431" s="2" t="str">
        <x:v>0</x:v>
      </x:c>
      <x:c r="E431" s="18" t="n">
        <x:v>0.226425</x:v>
      </x:c>
      <x:c r="F431" s="18" t="n">
        <x:f>IF(D431="d",'两日价格与决策'!K192-'两日价格与决策'!N192,IF(D431="u",'两日价格与决策'!K192+'两日价格与决策'!M192,'两日价格与决策'!K192))</x:f>
        <x:v>30.999999999999964</x:v>
      </x:c>
      <x:c r="G431" s="18" t="n">
        <x:f>MAX(-F431,0)</x:f>
        <x:v>0</x:v>
      </x:c>
      <x:c r="H431" s="18" t="n">
        <x:f>MAX(F431,0)</x:f>
        <x:v>30.999999999999964</x:v>
      </x:c>
      <x:c r="I431" s="18" t="n">
        <x:f>J430</x:f>
        <x:v>21.121118356513534</x:v>
      </x:c>
      <x:c r="J431" s="18" t="n">
        <x:f>I431+E431*(G431*'原始输入与口径'!$D$5-H431/'原始输入与口径'!$D$5)</x:f>
        <x:v>13.491580313035282</x:v>
      </x:c>
      <x:c r="K431" s="18" t="n">
        <x:v>21.121118356513527</x:v>
      </x:c>
      <x:c r="L431" s="18" t="n">
        <x:v>13.491580313035275</x:v>
      </x:c>
      <x:c r="M431" s="18" t="n">
        <x:f>J431-L431</x:f>
        <x:v>7.105427357601002e-15</x:v>
      </x:c>
      <x:c r="N431" s="18" t="n">
        <x:f>E431*(G431*'原始输入与口径'!$D$5+H431/'原始输入与口径'!$D$5)/'原始输入与口径'!$H$5</x:f>
        <x:v>0.02119316123188403</x:v>
      </x:c>
      <x:c r="O431" s="18" t="n">
        <x:v>0.02119316123188403</x:v>
      </x:c>
      <x:c r="P431" s="18" t="n">
        <x:f>N431-O431</x:f>
        <x:v>0</x:v>
      </x:c>
      <x:c r="Q431" s="18" t="n">
        <x:f>E431*G431</x:f>
        <x:v>0</x:v>
      </x:c>
      <x:c r="R431" s="18" t="n">
        <x:f>E431*H431</x:f>
        <x:v>7.019174999999992</x:v>
      </x:c>
      <x:c r="S431" s="2" t="n">
        <x:v>186</x:v>
      </x:c>
    </x:row>
    <x:row r="432" ht="21" customHeight="1">
      <x:c r="A432" s="36" t="n">
        <x:v>45659.9375</x:v>
      </x:c>
      <x:c r="B432" s="36" t="n">
        <x:v>45659.93983333333</x:v>
      </x:c>
      <x:c r="C432" s="36" t="n">
        <x:v>45659.9375</x:v>
      </x:c>
      <x:c r="D432" s="2" t="str">
        <x:v>d</x:v>
      </x:c>
      <x:c r="E432" s="18" t="n">
        <x:v>0.055999999999999994</x:v>
      </x:c>
      <x:c r="F432" s="18" t="n">
        <x:f>IF(D432="d",'两日价格与决策'!K193-'两日价格与决策'!N193,IF(D432="u",'两日价格与决策'!K193+'两日价格与决策'!M193,'两日价格与决策'!K193))</x:f>
        <x:v>-69.00000000000003</x:v>
      </x:c>
      <x:c r="G432" s="18" t="n">
        <x:f>MAX(-F432,0)</x:f>
        <x:v>69.00000000000003</x:v>
      </x:c>
      <x:c r="H432" s="18" t="n">
        <x:f>MAX(F432,0)</x:f>
        <x:v>0</x:v>
      </x:c>
      <x:c r="I432" s="18" t="n">
        <x:f>J431</x:f>
        <x:v>13.491580313035282</x:v>
      </x:c>
      <x:c r="J432" s="18" t="n">
        <x:f>I432+E432*(G432*'原始输入与口径'!$D$5-H432/'原始输入与口径'!$D$5)</x:f>
        <x:v>17.046460313035283</x:v>
      </x:c>
      <x:c r="K432" s="18" t="n">
        <x:v>13.491580313035275</x:v>
      </x:c>
      <x:c r="L432" s="18" t="n">
        <x:v>17.046460313035276</x:v>
      </x:c>
      <x:c r="M432" s="18" t="n">
        <x:f>J432-L432</x:f>
        <x:v>7.105427357601002e-15</x:v>
      </x:c>
      <x:c r="N432" s="18" t="n">
        <x:f>E432*(G432*'原始输入与口径'!$D$5+H432/'原始输入与口径'!$D$5)/'原始输入与口径'!$H$5</x:f>
        <x:v>0.00987466666666667</x:v>
      </x:c>
      <x:c r="O432" s="18" t="n">
        <x:v>0.00987466666666667</x:v>
      </x:c>
      <x:c r="P432" s="18" t="n">
        <x:f>N432-O432</x:f>
        <x:v>0</x:v>
      </x:c>
      <x:c r="Q432" s="18" t="n">
        <x:f>E432*G432</x:f>
        <x:v>3.864000000000001</x:v>
      </x:c>
      <x:c r="R432" s="18" t="n">
        <x:f>E432*H432</x:f>
        <x:v>0</x:v>
      </x:c>
      <x:c r="S432" s="2" t="n">
        <x:v>187</x:v>
      </x:c>
    </x:row>
    <x:row r="433" ht="21" customHeight="1">
      <x:c r="A433" s="36" t="n">
        <x:v>45659.93983333333</x:v>
      </x:c>
      <x:c r="B433" s="36" t="n">
        <x:v>45659.947916666664</x:v>
      </x:c>
      <x:c r="C433" s="36" t="n">
        <x:v>45659.9375</x:v>
      </x:c>
      <x:c r="D433" s="2" t="str">
        <x:v>0</x:v>
      </x:c>
      <x:c r="E433" s="18" t="n">
        <x:v>0.194</x:v>
      </x:c>
      <x:c r="F433" s="18" t="n">
        <x:f>IF(D433="d",'两日价格与决策'!K193-'两日价格与决策'!N193,IF(D433="u",'两日价格与决策'!K193+'两日价格与决策'!M193,'两日价格与决策'!K193))</x:f>
        <x:v>30.999999999999964</x:v>
      </x:c>
      <x:c r="G433" s="18" t="n">
        <x:f>MAX(-F433,0)</x:f>
        <x:v>0</x:v>
      </x:c>
      <x:c r="H433" s="18" t="n">
        <x:f>MAX(F433,0)</x:f>
        <x:v>30.999999999999964</x:v>
      </x:c>
      <x:c r="I433" s="18" t="n">
        <x:f>J432</x:f>
        <x:v>17.046460313035283</x:v>
      </x:c>
      <x:c r="J433" s="18" t="n">
        <x:f>I433+E433*(G433*'原始输入与口径'!$D$5-H433/'原始输入与口径'!$D$5)</x:f>
        <x:v>10.50950379129616</x:v>
      </x:c>
      <x:c r="K433" s="18" t="n">
        <x:v>17.046460313035276</x:v>
      </x:c>
      <x:c r="L433" s="18" t="n">
        <x:v>10.509503791296153</x:v>
      </x:c>
      <x:c r="M433" s="18" t="n">
        <x:f>J433-L433</x:f>
        <x:v>7.105427357601002e-15</x:v>
      </x:c>
      <x:c r="N433" s="18" t="n">
        <x:f>E433*(G433*'原始输入与口径'!$D$5+H433/'原始输入与口径'!$D$5)/'原始输入与口径'!$H$5</x:f>
        <x:v>0.018158212560386452</x:v>
      </x:c>
      <x:c r="O433" s="18" t="n">
        <x:v>0.018158212560386452</x:v>
      </x:c>
      <x:c r="P433" s="18" t="n">
        <x:f>N433-O433</x:f>
        <x:v>0</x:v>
      </x:c>
      <x:c r="Q433" s="18" t="n">
        <x:f>E433*G433</x:f>
        <x:v>0</x:v>
      </x:c>
      <x:c r="R433" s="18" t="n">
        <x:f>E433*H433</x:f>
        <x:v>6.013999999999993</x:v>
      </x:c>
      <x:c r="S433" s="2" t="n">
        <x:v>187</x:v>
      </x:c>
    </x:row>
    <x:row r="434" ht="21" customHeight="1">
      <x:c r="A434" s="36" t="n">
        <x:v>45659.947916666664</x:v>
      </x:c>
      <x:c r="B434" s="36" t="n">
        <x:v>45659.952365</x:v>
      </x:c>
      <x:c r="C434" s="36" t="n">
        <x:v>45659.947916666664</x:v>
      </x:c>
      <x:c r="D434" s="2" t="str">
        <x:v>d</x:v>
      </x:c>
      <x:c r="E434" s="18" t="n">
        <x:v>0.10676000000000001</x:v>
      </x:c>
      <x:c r="F434" s="18" t="n">
        <x:f>IF(D434="d",'两日价格与决策'!K194-'两日价格与决策'!N194,IF(D434="u",'两日价格与决策'!K194+'两日价格与决策'!M194,'两日价格与决策'!K194))</x:f>
        <x:v>-69.00000000000003</x:v>
      </x:c>
      <x:c r="G434" s="18" t="n">
        <x:f>MAX(-F434,0)</x:f>
        <x:v>69.00000000000003</x:v>
      </x:c>
      <x:c r="H434" s="18" t="n">
        <x:f>MAX(F434,0)</x:f>
        <x:v>0</x:v>
      </x:c>
      <x:c r="I434" s="18" t="n">
        <x:f>J433</x:f>
        <x:v>10.50950379129616</x:v>
      </x:c>
      <x:c r="J434" s="18" t="n">
        <x:f>I434+E434*(G434*'原始输入与口径'!$D$5-H434/'原始输入与口径'!$D$5)</x:f>
        <x:v>17.286628591296164</x:v>
      </x:c>
      <x:c r="K434" s="18" t="n">
        <x:v>10.509503791296153</x:v>
      </x:c>
      <x:c r="L434" s="18" t="n">
        <x:v>17.286628591296157</x:v>
      </x:c>
      <x:c r="M434" s="18" t="n">
        <x:f>J434-L434</x:f>
        <x:v>7.105427357601002e-15</x:v>
      </x:c>
      <x:c r="N434" s="18" t="n">
        <x:f>E434*(G434*'原始输入与口径'!$D$5+H434/'原始输入与口径'!$D$5)/'原始输入与口径'!$H$5</x:f>
        <x:v>0.018825346666666676</x:v>
      </x:c>
      <x:c r="O434" s="18" t="n">
        <x:v>0.018825346666666676</x:v>
      </x:c>
      <x:c r="P434" s="18" t="n">
        <x:f>N434-O434</x:f>
        <x:v>0</x:v>
      </x:c>
      <x:c r="Q434" s="18" t="n">
        <x:f>E434*G434</x:f>
        <x:v>7.366440000000003</x:v>
      </x:c>
      <x:c r="R434" s="18" t="n">
        <x:f>E434*H434</x:f>
        <x:v>0</x:v>
      </x:c>
      <x:c r="S434" s="2" t="n">
        <x:v>188</x:v>
      </x:c>
    </x:row>
    <x:row r="435" ht="21" customHeight="1">
      <x:c r="A435" s="36" t="n">
        <x:v>45659.952365</x:v>
      </x:c>
      <x:c r="B435" s="36" t="n">
        <x:v>45659.95833333333</x:v>
      </x:c>
      <x:c r="C435" s="36" t="n">
        <x:v>45659.947916666664</x:v>
      </x:c>
      <x:c r="D435" s="2" t="str">
        <x:v>0</x:v>
      </x:c>
      <x:c r="E435" s="18" t="n">
        <x:v>0.14323999999999998</x:v>
      </x:c>
      <x:c r="F435" s="18" t="n">
        <x:f>IF(D435="d",'两日价格与决策'!K194-'两日价格与决策'!N194,IF(D435="u",'两日价格与决策'!K194+'两日价格与决策'!M194,'两日价格与决策'!K194))</x:f>
        <x:v>30.999999999999964</x:v>
      </x:c>
      <x:c r="G435" s="18" t="n">
        <x:f>MAX(-F435,0)</x:f>
        <x:v>0</x:v>
      </x:c>
      <x:c r="H435" s="18" t="n">
        <x:f>MAX(F435,0)</x:f>
        <x:v>30.999999999999964</x:v>
      </x:c>
      <x:c r="I435" s="18" t="n">
        <x:f>J434</x:f>
        <x:v>17.286628591296164</x:v>
      </x:c>
      <x:c r="J435" s="18" t="n">
        <x:f>I435+E435*(G435*'原始输入与口径'!$D$5-H435/'原始输入与口径'!$D$5)</x:f>
        <x:v>12.460063373904866</x:v>
      </x:c>
      <x:c r="K435" s="18" t="n">
        <x:v>17.286628591296157</x:v>
      </x:c>
      <x:c r="L435" s="18" t="n">
        <x:v>12.460063373904859</x:v>
      </x:c>
      <x:c r="M435" s="18" t="n">
        <x:f>J435-L435</x:f>
        <x:v>7.105427357601002e-15</x:v>
      </x:c>
      <x:c r="N435" s="18" t="n">
        <x:f>E435*(G435*'原始输入与口径'!$D$5+H435/'原始输入与口径'!$D$5)/'原始输入与口径'!$H$5</x:f>
        <x:v>0.013407125603864718</x:v>
      </x:c>
      <x:c r="O435" s="18" t="n">
        <x:v>0.013407125603864718</x:v>
      </x:c>
      <x:c r="P435" s="18" t="n">
        <x:f>N435-O435</x:f>
        <x:v>0</x:v>
      </x:c>
      <x:c r="Q435" s="18" t="n">
        <x:f>E435*G435</x:f>
        <x:v>0</x:v>
      </x:c>
      <x:c r="R435" s="18" t="n">
        <x:f>E435*H435</x:f>
        <x:v>4.440439999999994</x:v>
      </x:c>
      <x:c r="S435" s="2" t="n">
        <x:v>188</x:v>
      </x:c>
    </x:row>
    <x:row r="436" ht="21" customHeight="1">
      <x:c r="A436" s="36" t="n">
        <x:v>45659.958333333336</x:v>
      </x:c>
      <x:c r="B436" s="36" t="n">
        <x:v>45659.95953666667</x:v>
      </x:c>
      <x:c r="C436" s="36" t="n">
        <x:v>45659.958333333336</x:v>
      </x:c>
      <x:c r="D436" s="2" t="str">
        <x:v>d</x:v>
      </x:c>
      <x:c r="E436" s="18" t="n">
        <x:v>0.02888</x:v>
      </x:c>
      <x:c r="F436" s="18" t="n">
        <x:f>IF(D436="d",'两日价格与决策'!K195-'两日价格与决策'!N195,IF(D436="u",'两日价格与决策'!K195+'两日价格与决策'!M195,'两日价格与决策'!K195))</x:f>
        <x:v>-100</x:v>
      </x:c>
      <x:c r="G436" s="18" t="n">
        <x:f>MAX(-F436,0)</x:f>
        <x:v>100</x:v>
      </x:c>
      <x:c r="H436" s="18" t="n">
        <x:f>MAX(F436,0)</x:f>
        <x:v>0</x:v>
      </x:c>
      <x:c r="I436" s="18" t="n">
        <x:f>J435</x:f>
        <x:v>12.460063373904866</x:v>
      </x:c>
      <x:c r="J436" s="18" t="n">
        <x:f>I436+E436*(G436*'原始输入与口径'!$D$5-H436/'原始输入与口径'!$D$5)</x:f>
        <x:v>15.117023373904866</x:v>
      </x:c>
      <x:c r="K436" s="18" t="n">
        <x:v>12.460063373904859</x:v>
      </x:c>
      <x:c r="L436" s="18" t="n">
        <x:v>15.117023373904859</x:v>
      </x:c>
      <x:c r="M436" s="18" t="n">
        <x:f>J436-L436</x:f>
        <x:v>7.105427357601002e-15</x:v>
      </x:c>
      <x:c r="N436" s="18" t="n">
        <x:f>E436*(G436*'原始输入与口径'!$D$5+H436/'原始输入与口径'!$D$5)/'原始输入与口径'!$H$5</x:f>
        <x:v>0.007380444444444444</x:v>
      </x:c>
      <x:c r="O436" s="18" t="n">
        <x:v>0.007380444444444445</x:v>
      </x:c>
      <x:c r="P436" s="18" t="n">
        <x:f>N436-O436</x:f>
        <x:v>-8.673617379884035e-19</x:v>
      </x:c>
      <x:c r="Q436" s="18" t="n">
        <x:f>E436*G436</x:f>
        <x:v>2.888</x:v>
      </x:c>
      <x:c r="R436" s="18" t="n">
        <x:f>E436*H436</x:f>
        <x:v>0</x:v>
      </x:c>
      <x:c r="S436" s="2" t="n">
        <x:v>189</x:v>
      </x:c>
    </x:row>
    <x:row r="437" ht="21" customHeight="1">
      <x:c r="A437" s="36" t="n">
        <x:v>45659.95953666667</x:v>
      </x:c>
      <x:c r="B437" s="36" t="n">
        <x:v>45659.96875</x:v>
      </x:c>
      <x:c r="C437" s="36" t="n">
        <x:v>45659.958333333336</x:v>
      </x:c>
      <x:c r="D437" s="2" t="str">
        <x:v>0</x:v>
      </x:c>
      <x:c r="E437" s="18" t="n">
        <x:v>0.22112</x:v>
      </x:c>
      <x:c r="F437" s="18" t="n">
        <x:f>IF(D437="d",'两日价格与决策'!K195-'两日价格与决策'!N195,IF(D437="u",'两日价格与决策'!K195+'两日价格与决策'!M195,'两日价格与决策'!K195))</x:f>
        <x:v>0</x:v>
      </x:c>
      <x:c r="G437" s="18" t="n">
        <x:f>MAX(-F437,0)</x:f>
        <x:v>0</x:v>
      </x:c>
      <x:c r="H437" s="18" t="n">
        <x:f>MAX(F437,0)</x:f>
        <x:v>0</x:v>
      </x:c>
      <x:c r="I437" s="18" t="n">
        <x:f>J436</x:f>
        <x:v>15.117023373904866</x:v>
      </x:c>
      <x:c r="J437" s="18" t="n">
        <x:f>I437+E437*(G437*'原始输入与口径'!$D$5-H437/'原始输入与口径'!$D$5)</x:f>
        <x:v>15.117023373904866</x:v>
      </x:c>
      <x:c r="K437" s="18" t="n">
        <x:v>15.117023373904859</x:v>
      </x:c>
      <x:c r="L437" s="18" t="n">
        <x:v>15.117023373904859</x:v>
      </x:c>
      <x:c r="M437" s="18" t="n">
        <x:f>J437-L437</x:f>
        <x:v>7.105427357601002e-15</x:v>
      </x:c>
      <x:c r="N437" s="18" t="n">
        <x:f>E437*(G437*'原始输入与口径'!$D$5+H437/'原始输入与口径'!$D$5)/'原始输入与口径'!$H$5</x:f>
        <x:v>0</x:v>
      </x:c>
      <x:c r="O437" s="18" t="n">
        <x:v>0</x:v>
      </x:c>
      <x:c r="P437" s="18" t="n">
        <x:f>N437-O437</x:f>
        <x:v>0</x:v>
      </x:c>
      <x:c r="Q437" s="18" t="n">
        <x:f>E437*G437</x:f>
        <x:v>0</x:v>
      </x:c>
      <x:c r="R437" s="18" t="n">
        <x:f>E437*H437</x:f>
        <x:v>0</x:v>
      </x:c>
      <x:c r="S437" s="2" t="n">
        <x:v>189</x:v>
      </x:c>
    </x:row>
    <x:row r="438" ht="21" customHeight="1">
      <x:c r="A438" s="36" t="n">
        <x:v>45659.96875</x:v>
      </x:c>
      <x:c r="B438" s="36" t="n">
        <x:v>45659.969850208334</x:v>
      </x:c>
      <x:c r="C438" s="36" t="n">
        <x:v>45659.96875</x:v>
      </x:c>
      <x:c r="D438" s="2" t="str">
        <x:v>d</x:v>
      </x:c>
      <x:c r="E438" s="18" t="n">
        <x:v>0.026404999999999998</x:v>
      </x:c>
      <x:c r="F438" s="18" t="n">
        <x:f>IF(D438="d",'两日价格与决策'!K196-'两日价格与决策'!N196,IF(D438="u",'两日价格与决策'!K196+'两日价格与决策'!M196,'两日价格与决策'!K196))</x:f>
        <x:v>-100</x:v>
      </x:c>
      <x:c r="G438" s="18" t="n">
        <x:f>MAX(-F438,0)</x:f>
        <x:v>100</x:v>
      </x:c>
      <x:c r="H438" s="18" t="n">
        <x:f>MAX(F438,0)</x:f>
        <x:v>0</x:v>
      </x:c>
      <x:c r="I438" s="18" t="n">
        <x:f>J437</x:f>
        <x:v>15.117023373904866</x:v>
      </x:c>
      <x:c r="J438" s="18" t="n">
        <x:f>I438+E438*(G438*'原始输入与口径'!$D$5-H438/'原始输入与口径'!$D$5)</x:f>
        <x:v>17.546283373904867</x:v>
      </x:c>
      <x:c r="K438" s="18" t="n">
        <x:v>15.117023373904859</x:v>
      </x:c>
      <x:c r="L438" s="18" t="n">
        <x:v>17.54628337390486</x:v>
      </x:c>
      <x:c r="M438" s="18" t="n">
        <x:f>J438-L438</x:f>
        <x:v>7.105427357601002e-15</x:v>
      </x:c>
      <x:c r="N438" s="18" t="n">
        <x:f>E438*(G438*'原始输入与口径'!$D$5+H438/'原始输入与口径'!$D$5)/'原始输入与口径'!$H$5</x:f>
        <x:v>0.0067479444444444436</x:v>
      </x:c>
      <x:c r="O438" s="18" t="n">
        <x:v>0.0067479444444444436</x:v>
      </x:c>
      <x:c r="P438" s="18" t="n">
        <x:f>N438-O438</x:f>
        <x:v>0</x:v>
      </x:c>
      <x:c r="Q438" s="18" t="n">
        <x:f>E438*G438</x:f>
        <x:v>2.6405</x:v>
      </x:c>
      <x:c r="R438" s="18" t="n">
        <x:f>E438*H438</x:f>
        <x:v>0</x:v>
      </x:c>
      <x:c r="S438" s="2" t="n">
        <x:v>190</x:v>
      </x:c>
    </x:row>
    <x:row r="439" ht="21" customHeight="1">
      <x:c r="A439" s="36" t="n">
        <x:v>45659.969850208334</x:v>
      </x:c>
      <x:c r="B439" s="36" t="n">
        <x:v>45659.979166666664</x:v>
      </x:c>
      <x:c r="C439" s="36" t="n">
        <x:v>45659.96875</x:v>
      </x:c>
      <x:c r="D439" s="2" t="str">
        <x:v>0</x:v>
      </x:c>
      <x:c r="E439" s="18" t="n">
        <x:v>0.223595</x:v>
      </x:c>
      <x:c r="F439" s="18" t="n">
        <x:f>IF(D439="d",'两日价格与决策'!K196-'两日价格与决策'!N196,IF(D439="u",'两日价格与决策'!K196+'两日价格与决策'!M196,'两日价格与决策'!K196))</x:f>
        <x:v>0</x:v>
      </x:c>
      <x:c r="G439" s="18" t="n">
        <x:f>MAX(-F439,0)</x:f>
        <x:v>0</x:v>
      </x:c>
      <x:c r="H439" s="18" t="n">
        <x:f>MAX(F439,0)</x:f>
        <x:v>0</x:v>
      </x:c>
      <x:c r="I439" s="18" t="n">
        <x:f>J438</x:f>
        <x:v>17.546283373904867</x:v>
      </x:c>
      <x:c r="J439" s="18" t="n">
        <x:f>I439+E439*(G439*'原始输入与口径'!$D$5-H439/'原始输入与口径'!$D$5)</x:f>
        <x:v>17.546283373904867</x:v>
      </x:c>
      <x:c r="K439" s="18" t="n">
        <x:v>17.54628337390486</x:v>
      </x:c>
      <x:c r="L439" s="18" t="n">
        <x:v>17.54628337390486</x:v>
      </x:c>
      <x:c r="M439" s="18" t="n">
        <x:f>J439-L439</x:f>
        <x:v>7.105427357601002e-15</x:v>
      </x:c>
      <x:c r="N439" s="18" t="n">
        <x:f>E439*(G439*'原始输入与口径'!$D$5+H439/'原始输入与口径'!$D$5)/'原始输入与口径'!$H$5</x:f>
        <x:v>0</x:v>
      </x:c>
      <x:c r="O439" s="18" t="n">
        <x:v>0</x:v>
      </x:c>
      <x:c r="P439" s="18" t="n">
        <x:f>N439-O439</x:f>
        <x:v>0</x:v>
      </x:c>
      <x:c r="Q439" s="18" t="n">
        <x:f>E439*G439</x:f>
        <x:v>0</x:v>
      </x:c>
      <x:c r="R439" s="18" t="n">
        <x:f>E439*H439</x:f>
        <x:v>0</x:v>
      </x:c>
      <x:c r="S439" s="2" t="n">
        <x:v>190</x:v>
      </x:c>
    </x:row>
    <x:row r="440" ht="21" customHeight="1">
      <x:c r="A440" s="36" t="n">
        <x:v>45659.979166666664</x:v>
      </x:c>
      <x:c r="B440" s="36" t="n">
        <x:v>45659.97958166667</x:v>
      </x:c>
      <x:c r="C440" s="36" t="n">
        <x:v>45659.979166666664</x:v>
      </x:c>
      <x:c r="D440" s="2" t="str">
        <x:v>d</x:v>
      </x:c>
      <x:c r="E440" s="18" t="n">
        <x:v>0.00996</x:v>
      </x:c>
      <x:c r="F440" s="18" t="n">
        <x:f>IF(D440="d",'两日价格与决策'!K197-'两日价格与决策'!N197,IF(D440="u",'两日价格与决策'!K197+'两日价格与决策'!M197,'两日价格与决策'!K197))</x:f>
        <x:v>-100</x:v>
      </x:c>
      <x:c r="G440" s="18" t="n">
        <x:f>MAX(-F440,0)</x:f>
        <x:v>100</x:v>
      </x:c>
      <x:c r="H440" s="18" t="n">
        <x:f>MAX(F440,0)</x:f>
        <x:v>0</x:v>
      </x:c>
      <x:c r="I440" s="18" t="n">
        <x:f>J439</x:f>
        <x:v>17.546283373904867</x:v>
      </x:c>
      <x:c r="J440" s="18" t="n">
        <x:f>I440+E440*(G440*'原始输入与口径'!$D$5-H440/'原始输入与口径'!$D$5)</x:f>
        <x:v>18.462603373904866</x:v>
      </x:c>
      <x:c r="K440" s="18" t="n">
        <x:v>17.54628337390486</x:v>
      </x:c>
      <x:c r="L440" s="18" t="n">
        <x:v>18.46260337390486</x:v>
      </x:c>
      <x:c r="M440" s="18" t="n">
        <x:f>J440-L440</x:f>
        <x:v>7.105427357601002e-15</x:v>
      </x:c>
      <x:c r="N440" s="18" t="n">
        <x:f>E440*(G440*'原始输入与口径'!$D$5+H440/'原始输入与口径'!$D$5)/'原始输入与口径'!$H$5</x:f>
        <x:v>0.0025453333333333335</x:v>
      </x:c>
      <x:c r="O440" s="18" t="n">
        <x:v>0.0025453333333333335</x:v>
      </x:c>
      <x:c r="P440" s="18" t="n">
        <x:f>N440-O440</x:f>
        <x:v>0</x:v>
      </x:c>
      <x:c r="Q440" s="18" t="n">
        <x:f>E440*G440</x:f>
        <x:v>0.996</x:v>
      </x:c>
      <x:c r="R440" s="18" t="n">
        <x:f>E440*H440</x:f>
        <x:v>0</x:v>
      </x:c>
      <x:c r="S440" s="2" t="n">
        <x:v>191</x:v>
      </x:c>
    </x:row>
    <x:row r="441" ht="21" customHeight="1">
      <x:c r="A441" s="36" t="n">
        <x:v>45659.97958166667</x:v>
      </x:c>
      <x:c r="B441" s="36" t="n">
        <x:v>45659.98958333333</x:v>
      </x:c>
      <x:c r="C441" s="36" t="n">
        <x:v>45659.979166666664</x:v>
      </x:c>
      <x:c r="D441" s="2" t="str">
        <x:v>0</x:v>
      </x:c>
      <x:c r="E441" s="18" t="n">
        <x:v>0.24004</x:v>
      </x:c>
      <x:c r="F441" s="18" t="n">
        <x:f>IF(D441="d",'两日价格与决策'!K197-'两日价格与决策'!N197,IF(D441="u",'两日价格与决策'!K197+'两日价格与决策'!M197,'两日价格与决策'!K197))</x:f>
        <x:v>0</x:v>
      </x:c>
      <x:c r="G441" s="18" t="n">
        <x:f>MAX(-F441,0)</x:f>
        <x:v>0</x:v>
      </x:c>
      <x:c r="H441" s="18" t="n">
        <x:f>MAX(F441,0)</x:f>
        <x:v>0</x:v>
      </x:c>
      <x:c r="I441" s="18" t="n">
        <x:f>J440</x:f>
        <x:v>18.462603373904866</x:v>
      </x:c>
      <x:c r="J441" s="18" t="n">
        <x:f>I441+E441*(G441*'原始输入与口径'!$D$5-H441/'原始输入与口径'!$D$5)</x:f>
        <x:v>18.462603373904866</x:v>
      </x:c>
      <x:c r="K441" s="18" t="n">
        <x:v>18.46260337390486</x:v>
      </x:c>
      <x:c r="L441" s="18" t="n">
        <x:v>18.46260337390486</x:v>
      </x:c>
      <x:c r="M441" s="18" t="n">
        <x:f>J441-L441</x:f>
        <x:v>7.105427357601002e-15</x:v>
      </x:c>
      <x:c r="N441" s="18" t="n">
        <x:f>E441*(G441*'原始输入与口径'!$D$5+H441/'原始输入与口径'!$D$5)/'原始输入与口径'!$H$5</x:f>
        <x:v>0</x:v>
      </x:c>
      <x:c r="O441" s="18" t="n">
        <x:v>0</x:v>
      </x:c>
      <x:c r="P441" s="18" t="n">
        <x:f>N441-O441</x:f>
        <x:v>0</x:v>
      </x:c>
      <x:c r="Q441" s="18" t="n">
        <x:f>E441*G441</x:f>
        <x:v>0</x:v>
      </x:c>
      <x:c r="R441" s="18" t="n">
        <x:f>E441*H441</x:f>
        <x:v>0</x:v>
      </x:c>
      <x:c r="S441" s="2" t="n">
        <x:v>191</x:v>
      </x:c>
    </x:row>
    <x:row r="442" ht="21" customHeight="1">
      <x:c r="A442" s="36" t="n">
        <x:v>45659.989583333336</x:v>
      </x:c>
      <x:c r="B442" s="36" t="n">
        <x:v>45659.99024520833</x:v>
      </x:c>
      <x:c r="C442" s="36" t="n">
        <x:v>45659.989583333336</x:v>
      </x:c>
      <x:c r="D442" s="2" t="str">
        <x:v>d</x:v>
      </x:c>
      <x:c r="E442" s="18" t="n">
        <x:v>0.015885</x:v>
      </x:c>
      <x:c r="F442" s="18" t="n">
        <x:f>IF(D442="d",'两日价格与决策'!K198-'两日价格与决策'!N198,IF(D442="u",'两日价格与决策'!K198+'两日价格与决策'!M198,'两日价格与决策'!K198))</x:f>
        <x:v>-100</x:v>
      </x:c>
      <x:c r="G442" s="18" t="n">
        <x:f>MAX(-F442,0)</x:f>
        <x:v>100</x:v>
      </x:c>
      <x:c r="H442" s="18" t="n">
        <x:f>MAX(F442,0)</x:f>
        <x:v>0</x:v>
      </x:c>
      <x:c r="I442" s="18" t="n">
        <x:f>J441</x:f>
        <x:v>18.462603373904866</x:v>
      </x:c>
      <x:c r="J442" s="18" t="n">
        <x:f>I442+E442*(G442*'原始输入与口径'!$D$5-H442/'原始输入与口径'!$D$5)</x:f>
        <x:v>19.924023373904866</x:v>
      </x:c>
      <x:c r="K442" s="18" t="n">
        <x:v>18.46260337390486</x:v>
      </x:c>
      <x:c r="L442" s="18" t="n">
        <x:v>19.92402337390486</x:v>
      </x:c>
      <x:c r="M442" s="18" t="n">
        <x:f>J442-L442</x:f>
        <x:v>7.105427357601002e-15</x:v>
      </x:c>
      <x:c r="N442" s="18" t="n">
        <x:f>E442*(G442*'原始输入与口径'!$D$5+H442/'原始输入与口径'!$D$5)/'原始输入与口径'!$H$5</x:f>
        <x:v>0.0040595</x:v>
      </x:c>
      <x:c r="O442" s="18" t="n">
        <x:v>0.004059500000000001</x:v>
      </x:c>
      <x:c r="P442" s="18" t="n">
        <x:f>N442-O442</x:f>
        <x:v>-8.673617379884035e-19</x:v>
      </x:c>
      <x:c r="Q442" s="18" t="n">
        <x:f>E442*G442</x:f>
        <x:v>1.5885</x:v>
      </x:c>
      <x:c r="R442" s="18" t="n">
        <x:f>E442*H442</x:f>
        <x:v>0</x:v>
      </x:c>
      <x:c r="S442" s="2" t="n">
        <x:v>192</x:v>
      </x:c>
    </x:row>
    <x:row r="443" ht="21" customHeight="1">
      <x:c r="A443" s="36" t="n">
        <x:v>45659.99024520833</x:v>
      </x:c>
      <x:c r="B443" s="36" t="n">
        <x:v>45660</x:v>
      </x:c>
      <x:c r="C443" s="36" t="n">
        <x:v>45659.989583333336</x:v>
      </x:c>
      <x:c r="D443" s="2" t="str">
        <x:v>0</x:v>
      </x:c>
      <x:c r="E443" s="18" t="n">
        <x:v>0.234115</x:v>
      </x:c>
      <x:c r="F443" s="18" t="n">
        <x:f>IF(D443="d",'两日价格与决策'!K198-'两日价格与决策'!N198,IF(D443="u",'两日价格与决策'!K198+'两日价格与决策'!M198,'两日价格与决策'!K198))</x:f>
        <x:v>0</x:v>
      </x:c>
      <x:c r="G443" s="18" t="n">
        <x:f>MAX(-F443,0)</x:f>
        <x:v>0</x:v>
      </x:c>
      <x:c r="H443" s="18" t="n">
        <x:f>MAX(F443,0)</x:f>
        <x:v>0</x:v>
      </x:c>
      <x:c r="I443" s="18" t="n">
        <x:f>J442</x:f>
        <x:v>19.924023373904866</x:v>
      </x:c>
      <x:c r="J443" s="18" t="n">
        <x:f>I443+E443*(G443*'原始输入与口径'!$D$5-H443/'原始输入与口径'!$D$5)</x:f>
        <x:v>19.924023373904866</x:v>
      </x:c>
      <x:c r="K443" s="18" t="n">
        <x:v>19.92402337390486</x:v>
      </x:c>
      <x:c r="L443" s="18" t="n">
        <x:v>19.92402337390486</x:v>
      </x:c>
      <x:c r="M443" s="18" t="n">
        <x:f>J443-L443</x:f>
        <x:v>7.105427357601002e-15</x:v>
      </x:c>
      <x:c r="N443" s="18" t="n">
        <x:f>E443*(G443*'原始输入与口径'!$D$5+H443/'原始输入与口径'!$D$5)/'原始输入与口径'!$H$5</x:f>
        <x:v>0</x:v>
      </x:c>
      <x:c r="O443" s="18" t="n">
        <x:v>0</x:v>
      </x:c>
      <x:c r="P443" s="18" t="n">
        <x:f>N443-O443</x:f>
        <x:v>0</x:v>
      </x:c>
      <x:c r="Q443" s="18" t="n">
        <x:f>E443*G443</x:f>
        <x:v>0</x:v>
      </x:c>
      <x:c r="R443" s="18" t="n">
        <x:f>E443*H443</x:f>
        <x:v>0</x:v>
      </x:c>
      <x:c r="S443" s="2" t="n">
        <x:v>192</x:v>
      </x:c>
    </x:row>
    <x:row r="444" ht="21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</x:row>
    <x:row r="445" ht="21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</x:row>
  </x:sheetData>
  <x:conditionalFormatting sqref="M7:M443">
    <x:cfRule type="expression" dxfId="6" priority="1">
      <x:formula>ABS(M7)&gt;0.000001</x:formula>
    </x:cfRule>
  </x:conditionalFormatting>
  <x:conditionalFormatting sqref="P7:P443">
    <x:cfRule type="expression" dxfId="7" priority="2">
      <x:formula>ABS(P7)&gt;0.0000001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18" hidden="0" customWidth="1"/>
    <x:col min="6" max="6" width="18" hidden="0" customWidth="1"/>
    <x:col min="7" max="7" width="27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7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</x:row>
    <x:row r="2" ht="21" customHeight="1">
      <x:c r="A2" s="3" t="str">
        <x:v>源输入与原模型记录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</x:row>
    <x:row r="3" ht="21" customHeight="1">
      <x:c r="A3" s="4" t="str">
        <x:v>原输入保留缺失；数字未按显示精度截断。价格已为EUR；本文件不重复换汇。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</x:row>
    <x:row r="4" ht="21" customHeight="1">
      <x:c r="A4" s="4" t="str">
        <x:v>无2024-12-31运行账本；10MWh是正式期初始化。蓝字为来源数值；改表不会重新运行MILP。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</x:row>
    <x:row r="5" ht="21" customHeight="1">
      <x:c r="A5" s="2" t="str">
        <x:v>初始SOC MWh</x:v>
      </x:c>
      <x:c r="B5" s="5" t="n">
        <x:v>10</x:v>
      </x:c>
      <x:c r="C5" s="5" t="str">
        <x:v>单向效率</x:v>
      </x:c>
      <x:c r="D5" s="5" t="n">
        <x:v>0.92</x:v>
      </x:c>
      <x:c r="E5" s="5" t="str">
        <x:v>容量现金系数</x:v>
      </x:c>
      <x:c r="F5" s="5" t="n">
        <x:v>1</x:v>
      </x:c>
      <x:c r="G5" s="5" t="str">
        <x:v>EFC分母 MWh</x:v>
      </x:c>
      <x:c r="H5" s="5" t="n">
        <x:v>360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</x:row>
    <x:row r="6" ht="21" customHeight="1">
      <x:c r="A6" s="2" t="str">
        <x:v>时间尺度h</x:v>
      </x:c>
      <x:c r="B6" s="5" t="n">
        <x:v>0.25</x:v>
      </x:c>
      <x:c r="C6" s="5" t="str">
        <x:v>模型名义MWh</x:v>
      </x:c>
      <x:c r="D6" s="5" t="n">
        <x:v>200</x:v>
      </x:c>
      <x:c r="E6" s="5" t="str">
        <x:v>功率上限MW</x:v>
      </x:c>
      <x:c r="F6" s="5" t="n">
        <x:v>100</x:v>
      </x:c>
      <x:c r="G6" s="5" t="str">
        <x:v>时区</x:v>
      </x:c>
      <x:c r="H6" s="5" t="str">
        <x:v>Europe/Bucharest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</x:row>
    <x:row r="8" ht="52" customHeight="1">
      <x:c r="A8" s="9" t="str">
        <x:v>delivery_start_utc</x:v>
      </x:c>
      <x:c r="B8" s="9" t="str">
        <x:v>delivery_end_utc</x:v>
      </x:c>
      <x:c r="C8" s="9" t="str">
        <x:v>local_time</x:v>
      </x:c>
      <x:c r="D8" s="9" t="str">
        <x:v>local_date</x:v>
      </x:c>
      <x:c r="E8" s="9" t="str">
        <x:v>duration_hours</x:v>
      </x:c>
      <x:c r="F8" s="9" t="str">
        <x:v>period_role</x:v>
      </x:c>
      <x:c r="G8" s="9" t="str">
        <x:v>capacity_hour_start_utc</x:v>
      </x:c>
      <x:c r="H8" s="9" t="str">
        <x:v>da_price_eur_per_mwh</x:v>
      </x:c>
      <x:c r="I8" s="9" t="str">
        <x:v>da_contract_id</x:v>
      </x:c>
      <x:c r="J8" s="9" t="str">
        <x:v>da_native_resolution_minutes</x:v>
      </x:c>
      <x:c r="K8" s="9" t="str">
        <x:v>da_source_key</x:v>
      </x:c>
      <x:c r="L8" s="9" t="str">
        <x:v>fx_fixing_date</x:v>
      </x:c>
      <x:c r="M8" s="9" t="str">
        <x:v>fx_ron_per_eur</x:v>
      </x:c>
      <x:c r="N8" s="9" t="str">
        <x:v>fx_source_key</x:v>
      </x:c>
      <x:c r="O8" s="9" t="str">
        <x:v>fcr_accepted_capacity_mw</x:v>
      </x:c>
      <x:c r="P8" s="9" t="str">
        <x:v>fcr_capacity_order_id</x:v>
      </x:c>
      <x:c r="Q8" s="9" t="str">
        <x:v>fcr_capacity_source_key</x:v>
      </x:c>
      <x:c r="R8" s="9" t="str">
        <x:v>fcr_capacity_price_eur_per_mw_h_proxy</x:v>
      </x:c>
      <x:c r="S8" s="9" t="str">
        <x:v>fcr_capacity_status</x:v>
      </x:c>
      <x:c r="T8" s="9" t="str">
        <x:v>afrr_up_accepted_capacity_mw</x:v>
      </x:c>
      <x:c r="U8" s="9" t="str">
        <x:v>afrr_up_capacity_order_id</x:v>
      </x:c>
      <x:c r="V8" s="9" t="str">
        <x:v>afrr_up_capacity_source_key</x:v>
      </x:c>
      <x:c r="W8" s="9" t="str">
        <x:v>afrr_up_capacity_price_eur_per_mw_h_proxy</x:v>
      </x:c>
      <x:c r="X8" s="9" t="str">
        <x:v>afrr_up_capacity_status</x:v>
      </x:c>
      <x:c r="Y8" s="9" t="str">
        <x:v>afrr_down_accepted_capacity_mw</x:v>
      </x:c>
      <x:c r="Z8" s="9" t="str">
        <x:v>afrr_down_capacity_order_id</x:v>
      </x:c>
      <x:c r="AA8" s="9" t="str">
        <x:v>afrr_down_capacity_source_key</x:v>
      </x:c>
      <x:c r="AB8" s="9" t="str">
        <x:v>afrr_down_capacity_price_eur_per_mw_h_proxy</x:v>
      </x:c>
      <x:c r="AC8" s="9" t="str">
        <x:v>afrr_down_capacity_status</x:v>
      </x:c>
      <x:c r="AD8" s="9" t="str">
        <x:v>fcr_activation_price_eur_per_mwh_proxy</x:v>
      </x:c>
      <x:c r="AE8" s="9" t="str">
        <x:v>fcr_activation_price_status</x:v>
      </x:c>
      <x:c r="AF8" s="9" t="str">
        <x:v>fcr_system_activation_energy_mwh</x:v>
      </x:c>
      <x:c r="AG8" s="9" t="str">
        <x:v>afrr_up_activation_price_eur_per_mwh_proxy</x:v>
      </x:c>
      <x:c r="AH8" s="9" t="str">
        <x:v>afrr_up_activation_price_status</x:v>
      </x:c>
      <x:c r="AI8" s="9" t="str">
        <x:v>afrr_up_system_activation_energy_mwh</x:v>
      </x:c>
      <x:c r="AJ8" s="9" t="str">
        <x:v>afrr_down_activation_price_eur_per_mwh_proxy</x:v>
      </x:c>
      <x:c r="AK8" s="9" t="str">
        <x:v>afrr_down_activation_price_status</x:v>
      </x:c>
      <x:c r="AL8" s="9" t="str">
        <x:v>afrr_down_system_activation_energy_mwh</x:v>
      </x:c>
      <x:c r="AM8" s="9" t="str">
        <x:v>activation_price_source_key</x:v>
      </x:c>
      <x:c r="AN8" s="9" t="str">
        <x:v>activation_energy_source_key</x:v>
      </x:c>
      <x:c r="AO8" s="9" t="str">
        <x:v>da_price_status</x:v>
      </x:c>
      <x:c r="AP8" s="9" t="str">
        <x:v>alpha_up_raw</x:v>
      </x:c>
      <x:c r="AQ8" s="9" t="str">
        <x:v>alpha_down_raw</x:v>
      </x:c>
      <x:c r="AR8" s="9" t="str">
        <x:v>alpha_sum_raw</x:v>
      </x:c>
      <x:c r="AS8" s="9" t="str">
        <x:v>alpha_computable</x:v>
      </x:c>
      <x:c r="AT8" s="9" t="str">
        <x:v>alpha_strict_valid</x:v>
      </x:c>
      <x:c r="AU8" s="9" t="str">
        <x:v>afrr_price_inputs_valid</x:v>
      </x:c>
      <x:c r="AV8" s="9" t="str">
        <x:v>afrr_qh_data_valid</x:v>
      </x:c>
      <x:c r="AW8" s="9" t="str">
        <x:v>afrr_hour_data_valid</x:v>
      </x:c>
      <x:c r="AX8" s="9" t="str">
        <x:v>fcr_qh_data_valid</x:v>
      </x:c>
      <x:c r="AY8" s="9" t="str">
        <x:v>fcr_hour_data_valid</x:v>
      </x:c>
      <x:c r="AZ8" s="9" t="str">
        <x:v>da_contract_data_valid</x:v>
      </x:c>
      <x:c r="BA8" s="9" t="str">
        <x:v>afrr_qh_failure_reason</x:v>
      </x:c>
      <x:c r="BB8" s="9" t="str">
        <x:v>afrr_order_gate_reason</x:v>
      </x:c>
      <x:c r="BC8" s="9" t="str">
        <x:v>price_currency</x:v>
      </x:c>
      <x:c r="BD8" s="9" t="str">
        <x:v>ledger_ein_mwh</x:v>
      </x:c>
      <x:c r="BE8" s="9" t="str">
        <x:v>ledger_eout_mwh</x:v>
      </x:c>
      <x:c r="BF8" s="9" t="str">
        <x:v>ledger_da_mw</x:v>
      </x:c>
      <x:c r="BG8" s="9" t="str">
        <x:v>ledger_fcr_mw</x:v>
      </x:c>
      <x:c r="BH8" s="9" t="str">
        <x:v>ledger_afrr_up_mw</x:v>
      </x:c>
      <x:c r="BI8" s="9" t="str">
        <x:v>ledger_afrr_down_mw</x:v>
      </x:c>
      <x:c r="BJ8" s="9" t="str">
        <x:v>ledger_afrr_up_activation_mwh</x:v>
      </x:c>
      <x:c r="BK8" s="9" t="str">
        <x:v>ledger_afrr_down_activation_mwh</x:v>
      </x:c>
      <x:c r="BL8" s="9" t="str">
        <x:v>ledger_da_eur</x:v>
      </x:c>
      <x:c r="BM8" s="9" t="str">
        <x:v>ledger_fcr_capacity_eur</x:v>
      </x:c>
      <x:c r="BN8" s="9" t="str">
        <x:v>ledger_afrr_up_capacity_eur</x:v>
      </x:c>
      <x:c r="BO8" s="9" t="str">
        <x:v>ledger_afrr_down_capacity_eur</x:v>
      </x:c>
      <x:c r="BP8" s="9" t="str">
        <x:v>ledger_afrr_up_activation_eur</x:v>
      </x:c>
      <x:c r="BQ8" s="9" t="str">
        <x:v>ledger_afrr_down_activation_eur</x:v>
      </x:c>
      <x:c r="BR8" s="9" t="str">
        <x:v>ledger_total_eur</x:v>
      </x:c>
      <x:c r="BS8" s="9" t="str">
        <x:v>ledger_efc</x:v>
      </x:c>
    </x:row>
    <x:row r="9" ht="21" customHeight="1">
      <x:c r="A9" s="14" t="n">
        <x:v>45657.916666666664</x:v>
      </x:c>
      <x:c r="B9" s="14" t="n">
        <x:v>45657.927083333336</x:v>
      </x:c>
      <x:c r="C9" s="14" t="n">
        <x:v>45658</x:v>
      </x:c>
      <x:c r="D9" s="15" t="n">
        <x:v>45658</x:v>
      </x:c>
      <x:c r="E9" s="12" t="n">
        <x:v>0.25</x:v>
      </x:c>
      <x:c r="F9" s="12" t="str">
        <x:v>FORMAL</x:v>
      </x:c>
      <x:c r="G9" s="14" t="n">
        <x:v>45657.916666666664</x:v>
      </x:c>
      <x:c r="H9" s="12" t="n">
        <x:v>117.75</x:v>
      </x:c>
      <x:c r="I9" s="12" t="str">
        <x:v>2024-12-31_24</x:v>
      </x:c>
      <x:c r="J9" s="12" t="n">
        <x:v>60</x:v>
      </x:c>
      <x:c r="K9" s="12" t="str">
        <x:v>DA_2024-12-31@aea074dcfcb9</x:v>
      </x:c>
      <x:c r="L9" s="15" t="n">
        <x:v>45657</x:v>
      </x:c>
      <x:c r="M9" s="12" t="n">
        <x:v>4.9741</x:v>
      </x:c>
      <x:c r="N9" s="12" t="str">
        <x:v>BNR2024_BOUNDARY@c4397e7f9c31</x:v>
      </x:c>
      <x:c r="O9" s="12"/>
      <x:c r="P9" s="12"/>
      <x:c r="Q9" s="12"/>
      <x:c r="R9" s="12"/>
      <x:c r="S9" s="12" t="str">
        <x:v>OUT_OF_RESEARCH_COVERAGE_PRE_2025_06</x:v>
      </x:c>
      <x:c r="T9" s="12" t="n">
        <x:v>200</x:v>
      </x:c>
      <x:c r="U9" s="12" t="str">
        <x:v>aFRRUp_2024-12-31T22:00:00Z</x:v>
      </x:c>
      <x:c r="V9" s="12" t="str">
        <x:v>tenderStatistics_2025-01@c14c9dea784d</x:v>
      </x:c>
      <x:c r="W9" s="12" t="n">
        <x:v>13.670814820771596</x:v>
      </x:c>
      <x:c r="X9" s="12" t="str">
        <x:v>PUBLISHED_PROXY</x:v>
      </x:c>
      <x:c r="Y9" s="12" t="n">
        <x:v>200</x:v>
      </x:c>
      <x:c r="Z9" s="12" t="str">
        <x:v>aFRRDown_2024-12-31T22:00:00Z</x:v>
      </x:c>
      <x:c r="AA9" s="12" t="str">
        <x:v>tenderStatistics_2025-01@c14c9dea784d</x:v>
      </x:c>
      <x:c r="AB9" s="12" t="n">
        <x:v>14.710198829939085</x:v>
      </x:c>
      <x:c r="AC9" s="12" t="str">
        <x:v>PUBLISHED_PROXY</x:v>
      </x:c>
      <x:c r="AD9" s="12"/>
      <x:c r="AE9" s="12" t="str">
        <x:v>SOURCE_NULL_NOT_MODELED</x:v>
      </x:c>
      <x:c r="AF9" s="12"/>
      <x:c r="AG9" s="12" t="n">
        <x:v>203.1481071952715</x:v>
      </x:c>
      <x:c r="AH9" s="12" t="str">
        <x:v>PUBLISHED_PROXY</x:v>
      </x:c>
      <x:c r="AI9" s="12" t="n">
        <x:v>16.079</x:v>
      </x:c>
      <x:c r="AJ9" s="12" t="n">
        <x:v>0</x:v>
      </x:c>
      <x:c r="AK9" s="12" t="str">
        <x:v>PUBLISHED_PROXY</x:v>
      </x:c>
      <x:c r="AL9" s="12" t="n">
        <x:v>0</x:v>
      </x:c>
      <x:c r="AM9" s="12" t="str">
        <x:v>marginalPricesOverview_2025-01@5b9daf9d82d7</x:v>
      </x:c>
      <x:c r="AN9" s="12" t="str">
        <x:v>activatedBalancingEnergyOverview_2025-01@4135ac664b2a</x:v>
      </x:c>
      <x:c r="AO9" s="12" t="str">
        <x:v>PUBLISHED_NATIVE</x:v>
      </x:c>
      <x:c r="AP9" s="12" t="n">
        <x:v>0.32158</x:v>
      </x:c>
      <x:c r="AQ9" s="12" t="n">
        <x:v>0</x:v>
      </x:c>
      <x:c r="AR9" s="12" t="n">
        <x:v>0.32158</x:v>
      </x:c>
      <x:c r="AS9" s="13" t="b">
        <x:v>1</x:v>
      </x:c>
      <x:c r="AT9" s="13" t="b">
        <x:v>1</x:v>
      </x:c>
      <x:c r="AU9" s="13" t="b">
        <x:v>1</x:v>
      </x:c>
      <x:c r="AV9" s="13" t="b">
        <x:v>1</x:v>
      </x:c>
      <x:c r="AW9" s="13" t="b">
        <x:v>1</x:v>
      </x:c>
      <x:c r="AX9" s="13" t="b">
        <x:v>0</x:v>
      </x:c>
      <x:c r="AY9" s="13" t="b">
        <x:v>0</x:v>
      </x:c>
      <x:c r="AZ9" s="13" t="b">
        <x:v>1</x:v>
      </x:c>
      <x:c r="BA9" s="12" t="str">
        <x:v>OK</x:v>
      </x:c>
      <x:c r="BB9" s="12" t="str">
        <x:v>OK</x:v>
      </x:c>
      <x:c r="BC9" s="12" t="str">
        <x:v>EUR</x:v>
      </x:c>
      <x:c r="BD9" s="12" t="n">
        <x:v>10</x:v>
      </x:c>
      <x:c r="BE9" s="12" t="n">
        <x:v>10</x:v>
      </x:c>
      <x:c r="BF9" s="12" t="n">
        <x:v>0</x:v>
      </x:c>
      <x:c r="BG9" s="12" t="n">
        <x:v>0</x:v>
      </x:c>
      <x:c r="BH9" s="12" t="n">
        <x:v>0</x:v>
      </x:c>
      <x:c r="BI9" s="12" t="n">
        <x:v>0</x:v>
      </x:c>
      <x:c r="BJ9" s="12" t="n">
        <x:v>0</x:v>
      </x:c>
      <x:c r="BK9" s="12" t="n">
        <x:v>0</x:v>
      </x:c>
      <x:c r="BL9" s="12" t="n">
        <x:v>0</x:v>
      </x:c>
      <x:c r="BM9" s="12" t="n">
        <x:v>0</x:v>
      </x:c>
      <x:c r="BN9" s="12" t="n">
        <x:v>0</x:v>
      </x:c>
      <x:c r="BO9" s="12" t="n">
        <x:v>0</x:v>
      </x:c>
      <x:c r="BP9" s="12" t="n">
        <x:v>0</x:v>
      </x:c>
      <x:c r="BQ9" s="12" t="n">
        <x:v>0</x:v>
      </x:c>
      <x:c r="BR9" s="12" t="n">
        <x:v>0</x:v>
      </x:c>
      <x:c r="BS9" s="12" t="n">
        <x:v>0</x:v>
      </x:c>
    </x:row>
    <x:row r="10" ht="21" customHeight="1">
      <x:c r="A10" s="14" t="n">
        <x:v>45657.927083333336</x:v>
      </x:c>
      <x:c r="B10" s="14" t="n">
        <x:v>45657.9375</x:v>
      </x:c>
      <x:c r="C10" s="14" t="n">
        <x:v>45658.010416666664</x:v>
      </x:c>
      <x:c r="D10" s="15" t="n">
        <x:v>45658</x:v>
      </x:c>
      <x:c r="E10" s="12" t="n">
        <x:v>0.25</x:v>
      </x:c>
      <x:c r="F10" s="12" t="str">
        <x:v>FORMAL</x:v>
      </x:c>
      <x:c r="G10" s="14" t="n">
        <x:v>45657.916666666664</x:v>
      </x:c>
      <x:c r="H10" s="12" t="n">
        <x:v>117.75</x:v>
      </x:c>
      <x:c r="I10" s="12" t="str">
        <x:v>2024-12-31_24</x:v>
      </x:c>
      <x:c r="J10" s="12" t="n">
        <x:v>60</x:v>
      </x:c>
      <x:c r="K10" s="12" t="str">
        <x:v>DA_2024-12-31@aea074dcfcb9</x:v>
      </x:c>
      <x:c r="L10" s="15" t="n">
        <x:v>45657</x:v>
      </x:c>
      <x:c r="M10" s="12" t="n">
        <x:v>4.9741</x:v>
      </x:c>
      <x:c r="N10" s="12" t="str">
        <x:v>BNR2024_BOUNDARY@c4397e7f9c31</x:v>
      </x:c>
      <x:c r="O10" s="12"/>
      <x:c r="P10" s="12"/>
      <x:c r="Q10" s="12"/>
      <x:c r="R10" s="12"/>
      <x:c r="S10" s="12" t="str">
        <x:v>OUT_OF_RESEARCH_COVERAGE_PRE_2025_06</x:v>
      </x:c>
      <x:c r="T10" s="12" t="n">
        <x:v>200</x:v>
      </x:c>
      <x:c r="U10" s="12" t="str">
        <x:v>aFRRUp_2024-12-31T22:00:00Z</x:v>
      </x:c>
      <x:c r="V10" s="12" t="str">
        <x:v>tenderStatistics_2025-01@c14c9dea784d</x:v>
      </x:c>
      <x:c r="W10" s="12" t="n">
        <x:v>13.670814820771596</x:v>
      </x:c>
      <x:c r="X10" s="12" t="str">
        <x:v>PUBLISHED_PROXY</x:v>
      </x:c>
      <x:c r="Y10" s="12" t="n">
        <x:v>200</x:v>
      </x:c>
      <x:c r="Z10" s="12" t="str">
        <x:v>aFRRDown_2024-12-31T22:00:00Z</x:v>
      </x:c>
      <x:c r="AA10" s="12" t="str">
        <x:v>tenderStatistics_2025-01@c14c9dea784d</x:v>
      </x:c>
      <x:c r="AB10" s="12" t="n">
        <x:v>14.710198829939085</x:v>
      </x:c>
      <x:c r="AC10" s="12" t="str">
        <x:v>PUBLISHED_PROXY</x:v>
      </x:c>
      <x:c r="AD10" s="12"/>
      <x:c r="AE10" s="12" t="str">
        <x:v>SOURCE_NULL_NOT_MODELED</x:v>
      </x:c>
      <x:c r="AF10" s="12"/>
      <x:c r="AG10" s="12" t="n">
        <x:v>189.08023562051426</x:v>
      </x:c>
      <x:c r="AH10" s="12" t="str">
        <x:v>PUBLISHED_PROXY</x:v>
      </x:c>
      <x:c r="AI10" s="12" t="n">
        <x:v>10.434</x:v>
      </x:c>
      <x:c r="AJ10" s="12" t="n">
        <x:v>0</x:v>
      </x:c>
      <x:c r="AK10" s="12" t="str">
        <x:v>PUBLISHED_PROXY</x:v>
      </x:c>
      <x:c r="AL10" s="12" t="n">
        <x:v>0</x:v>
      </x:c>
      <x:c r="AM10" s="12" t="str">
        <x:v>marginalPricesOverview_2025-01@5b9daf9d82d7</x:v>
      </x:c>
      <x:c r="AN10" s="12" t="str">
        <x:v>activatedBalancingEnergyOverview_2025-01@4135ac664b2a</x:v>
      </x:c>
      <x:c r="AO10" s="12" t="str">
        <x:v>PUBLISHED_NATIVE</x:v>
      </x:c>
      <x:c r="AP10" s="12" t="n">
        <x:v>0.2086799999999999</x:v>
      </x:c>
      <x:c r="AQ10" s="12" t="n">
        <x:v>0</x:v>
      </x:c>
      <x:c r="AR10" s="12" t="n">
        <x:v>0.2086799999999999</x:v>
      </x:c>
      <x:c r="AS10" s="13" t="b">
        <x:v>1</x:v>
      </x:c>
      <x:c r="AT10" s="13" t="b">
        <x:v>1</x:v>
      </x:c>
      <x:c r="AU10" s="13" t="b">
        <x:v>1</x:v>
      </x:c>
      <x:c r="AV10" s="13" t="b">
        <x:v>1</x:v>
      </x:c>
      <x:c r="AW10" s="13" t="b">
        <x:v>1</x:v>
      </x:c>
      <x:c r="AX10" s="13" t="b">
        <x:v>0</x:v>
      </x:c>
      <x:c r="AY10" s="13" t="b">
        <x:v>0</x:v>
      </x:c>
      <x:c r="AZ10" s="13" t="b">
        <x:v>1</x:v>
      </x:c>
      <x:c r="BA10" s="12" t="str">
        <x:v>OK</x:v>
      </x:c>
      <x:c r="BB10" s="12" t="str">
        <x:v>OK</x:v>
      </x:c>
      <x:c r="BC10" s="12" t="str">
        <x:v>EUR</x:v>
      </x:c>
      <x:c r="BD10" s="12" t="n">
        <x:v>10</x:v>
      </x:c>
      <x:c r="BE10" s="12" t="n">
        <x:v>10</x:v>
      </x:c>
      <x:c r="BF10" s="12" t="n">
        <x:v>0</x:v>
      </x:c>
      <x:c r="BG10" s="12" t="n">
        <x:v>0</x:v>
      </x:c>
      <x:c r="BH10" s="12" t="n">
        <x:v>0</x:v>
      </x:c>
      <x:c r="BI10" s="12" t="n">
        <x:v>0</x:v>
      </x:c>
      <x:c r="BJ10" s="12" t="n">
        <x:v>0</x:v>
      </x:c>
      <x:c r="BK10" s="12" t="n">
        <x:v>0</x:v>
      </x:c>
      <x:c r="BL10" s="12" t="n">
        <x:v>0</x:v>
      </x:c>
      <x:c r="BM10" s="12" t="n">
        <x:v>0</x:v>
      </x:c>
      <x:c r="BN10" s="12" t="n">
        <x:v>0</x:v>
      </x:c>
      <x:c r="BO10" s="12" t="n">
        <x:v>0</x:v>
      </x:c>
      <x:c r="BP10" s="12" t="n">
        <x:v>0</x:v>
      </x:c>
      <x:c r="BQ10" s="12" t="n">
        <x:v>0</x:v>
      </x:c>
      <x:c r="BR10" s="12" t="n">
        <x:v>0</x:v>
      </x:c>
      <x:c r="BS10" s="12" t="n">
        <x:v>0</x:v>
      </x:c>
    </x:row>
    <x:row r="11" ht="21" customHeight="1">
      <x:c r="A11" s="14" t="n">
        <x:v>45657.9375</x:v>
      </x:c>
      <x:c r="B11" s="14" t="n">
        <x:v>45657.947916666664</x:v>
      </x:c>
      <x:c r="C11" s="14" t="n">
        <x:v>45658.020833333336</x:v>
      </x:c>
      <x:c r="D11" s="15" t="n">
        <x:v>45658</x:v>
      </x:c>
      <x:c r="E11" s="12" t="n">
        <x:v>0.25</x:v>
      </x:c>
      <x:c r="F11" s="12" t="str">
        <x:v>FORMAL</x:v>
      </x:c>
      <x:c r="G11" s="14" t="n">
        <x:v>45657.916666666664</x:v>
      </x:c>
      <x:c r="H11" s="12" t="n">
        <x:v>117.75</x:v>
      </x:c>
      <x:c r="I11" s="12" t="str">
        <x:v>2024-12-31_24</x:v>
      </x:c>
      <x:c r="J11" s="12" t="n">
        <x:v>60</x:v>
      </x:c>
      <x:c r="K11" s="12" t="str">
        <x:v>DA_2024-12-31@aea074dcfcb9</x:v>
      </x:c>
      <x:c r="L11" s="15" t="n">
        <x:v>45657</x:v>
      </x:c>
      <x:c r="M11" s="12" t="n">
        <x:v>4.9741</x:v>
      </x:c>
      <x:c r="N11" s="12" t="str">
        <x:v>BNR2024_BOUNDARY@c4397e7f9c31</x:v>
      </x:c>
      <x:c r="O11" s="12"/>
      <x:c r="P11" s="12"/>
      <x:c r="Q11" s="12"/>
      <x:c r="R11" s="12"/>
      <x:c r="S11" s="12" t="str">
        <x:v>OUT_OF_RESEARCH_COVERAGE_PRE_2025_06</x:v>
      </x:c>
      <x:c r="T11" s="12" t="n">
        <x:v>200</x:v>
      </x:c>
      <x:c r="U11" s="12" t="str">
        <x:v>aFRRUp_2024-12-31T22:00:00Z</x:v>
      </x:c>
      <x:c r="V11" s="12" t="str">
        <x:v>tenderStatistics_2025-01@c14c9dea784d</x:v>
      </x:c>
      <x:c r="W11" s="12" t="n">
        <x:v>13.670814820771596</x:v>
      </x:c>
      <x:c r="X11" s="12" t="str">
        <x:v>PUBLISHED_PROXY</x:v>
      </x:c>
      <x:c r="Y11" s="12" t="n">
        <x:v>200</x:v>
      </x:c>
      <x:c r="Z11" s="12" t="str">
        <x:v>aFRRDown_2024-12-31T22:00:00Z</x:v>
      </x:c>
      <x:c r="AA11" s="12" t="str">
        <x:v>tenderStatistics_2025-01@c14c9dea784d</x:v>
      </x:c>
      <x:c r="AB11" s="12" t="n">
        <x:v>14.710198829939085</x:v>
      </x:c>
      <x:c r="AC11" s="12" t="str">
        <x:v>PUBLISHED_PROXY</x:v>
      </x:c>
      <x:c r="AD11" s="12"/>
      <x:c r="AE11" s="12" t="str">
        <x:v>SOURCE_NULL_NOT_MODELED</x:v>
      </x:c>
      <x:c r="AF11" s="12"/>
      <x:c r="AG11" s="12" t="n">
        <x:v>136.70814820771596</x:v>
      </x:c>
      <x:c r="AH11" s="12" t="str">
        <x:v>PUBLISHED_PROXY</x:v>
      </x:c>
      <x:c r="AI11" s="12" t="n">
        <x:v>0.28</x:v>
      </x:c>
      <x:c r="AJ11" s="12" t="n">
        <x:v>60.1113769325104</x:v>
      </x:c>
      <x:c r="AK11" s="12" t="str">
        <x:v>PUBLISHED_PROXY</x:v>
      </x:c>
      <x:c r="AL11" s="12" t="n">
        <x:v>0.016</x:v>
      </x:c>
      <x:c r="AM11" s="12" t="str">
        <x:v>marginalPricesOverview_2025-01@5b9daf9d82d7</x:v>
      </x:c>
      <x:c r="AN11" s="12" t="str">
        <x:v>activatedBalancingEnergyOverview_2025-01@4135ac664b2a</x:v>
      </x:c>
      <x:c r="AO11" s="12" t="str">
        <x:v>PUBLISHED_NATIVE</x:v>
      </x:c>
      <x:c r="AP11" s="12" t="n">
        <x:v>0.0056</x:v>
      </x:c>
      <x:c r="AQ11" s="12" t="n">
        <x:v>0.00032</x:v>
      </x:c>
      <x:c r="AR11" s="12" t="n">
        <x:v>0.00592</x:v>
      </x:c>
      <x:c r="AS11" s="13" t="b">
        <x:v>1</x:v>
      </x:c>
      <x:c r="AT11" s="13" t="b">
        <x:v>1</x:v>
      </x:c>
      <x:c r="AU11" s="13" t="b">
        <x:v>1</x:v>
      </x:c>
      <x:c r="AV11" s="13" t="b">
        <x:v>1</x:v>
      </x:c>
      <x:c r="AW11" s="13" t="b">
        <x:v>1</x:v>
      </x:c>
      <x:c r="AX11" s="13" t="b">
        <x:v>0</x:v>
      </x:c>
      <x:c r="AY11" s="13" t="b">
        <x:v>0</x:v>
      </x:c>
      <x:c r="AZ11" s="13" t="b">
        <x:v>1</x:v>
      </x:c>
      <x:c r="BA11" s="12" t="str">
        <x:v>OK</x:v>
      </x:c>
      <x:c r="BB11" s="12" t="str">
        <x:v>OK</x:v>
      </x:c>
      <x:c r="BC11" s="12" t="str">
        <x:v>EUR</x:v>
      </x:c>
      <x:c r="BD11" s="12" t="n">
        <x:v>10</x:v>
      </x:c>
      <x:c r="BE11" s="12" t="n">
        <x:v>10</x:v>
      </x:c>
      <x:c r="BF11" s="12" t="n">
        <x:v>0</x:v>
      </x:c>
      <x:c r="BG11" s="12" t="n">
        <x:v>0</x:v>
      </x:c>
      <x:c r="BH11" s="12" t="n">
        <x:v>0</x:v>
      </x:c>
      <x:c r="BI11" s="12" t="n">
        <x:v>0</x:v>
      </x:c>
      <x:c r="BJ11" s="12" t="n">
        <x:v>0</x:v>
      </x:c>
      <x:c r="BK11" s="12" t="n">
        <x:v>0</x:v>
      </x:c>
      <x:c r="BL11" s="12" t="n">
        <x:v>0</x:v>
      </x:c>
      <x:c r="BM11" s="12" t="n">
        <x:v>0</x:v>
      </x:c>
      <x:c r="BN11" s="12" t="n">
        <x:v>0</x:v>
      </x:c>
      <x:c r="BO11" s="12" t="n">
        <x:v>0</x:v>
      </x:c>
      <x:c r="BP11" s="12" t="n">
        <x:v>0</x:v>
      </x:c>
      <x:c r="BQ11" s="12" t="n">
        <x:v>0</x:v>
      </x:c>
      <x:c r="BR11" s="12" t="n">
        <x:v>0</x:v>
      </x:c>
      <x:c r="BS11" s="12" t="n">
        <x:v>0</x:v>
      </x:c>
    </x:row>
    <x:row r="12" ht="21" customHeight="1">
      <x:c r="A12" s="14" t="n">
        <x:v>45657.947916666664</x:v>
      </x:c>
      <x:c r="B12" s="14" t="n">
        <x:v>45657.958333333336</x:v>
      </x:c>
      <x:c r="C12" s="14" t="n">
        <x:v>45658.03125</x:v>
      </x:c>
      <x:c r="D12" s="15" t="n">
        <x:v>45658</x:v>
      </x:c>
      <x:c r="E12" s="12" t="n">
        <x:v>0.25</x:v>
      </x:c>
      <x:c r="F12" s="12" t="str">
        <x:v>FORMAL</x:v>
      </x:c>
      <x:c r="G12" s="14" t="n">
        <x:v>45657.916666666664</x:v>
      </x:c>
      <x:c r="H12" s="12" t="n">
        <x:v>117.75</x:v>
      </x:c>
      <x:c r="I12" s="12" t="str">
        <x:v>2024-12-31_24</x:v>
      </x:c>
      <x:c r="J12" s="12" t="n">
        <x:v>60</x:v>
      </x:c>
      <x:c r="K12" s="12" t="str">
        <x:v>DA_2024-12-31@aea074dcfcb9</x:v>
      </x:c>
      <x:c r="L12" s="15" t="n">
        <x:v>45657</x:v>
      </x:c>
      <x:c r="M12" s="12" t="n">
        <x:v>4.9741</x:v>
      </x:c>
      <x:c r="N12" s="12" t="str">
        <x:v>BNR2024_BOUNDARY@c4397e7f9c31</x:v>
      </x:c>
      <x:c r="O12" s="12"/>
      <x:c r="P12" s="12"/>
      <x:c r="Q12" s="12"/>
      <x:c r="R12" s="12"/>
      <x:c r="S12" s="12" t="str">
        <x:v>OUT_OF_RESEARCH_COVERAGE_PRE_2025_06</x:v>
      </x:c>
      <x:c r="T12" s="12" t="n">
        <x:v>200</x:v>
      </x:c>
      <x:c r="U12" s="12" t="str">
        <x:v>aFRRUp_2024-12-31T22:00:00Z</x:v>
      </x:c>
      <x:c r="V12" s="12" t="str">
        <x:v>tenderStatistics_2025-01@c14c9dea784d</x:v>
      </x:c>
      <x:c r="W12" s="12" t="n">
        <x:v>13.670814820771596</x:v>
      </x:c>
      <x:c r="X12" s="12" t="str">
        <x:v>PUBLISHED_PROXY</x:v>
      </x:c>
      <x:c r="Y12" s="12" t="n">
        <x:v>200</x:v>
      </x:c>
      <x:c r="Z12" s="12" t="str">
        <x:v>aFRRDown_2024-12-31T22:00:00Z</x:v>
      </x:c>
      <x:c r="AA12" s="12" t="str">
        <x:v>tenderStatistics_2025-01@c14c9dea784d</x:v>
      </x:c>
      <x:c r="AB12" s="12" t="n">
        <x:v>14.710198829939085</x:v>
      </x:c>
      <x:c r="AC12" s="12" t="str">
        <x:v>PUBLISHED_PROXY</x:v>
      </x:c>
      <x:c r="AD12" s="12"/>
      <x:c r="AE12" s="12" t="str">
        <x:v>SOURCE_NULL_NOT_MODELED</x:v>
      </x:c>
      <x:c r="AF12" s="12"/>
      <x:c r="AG12" s="12" t="n">
        <x:v>136.70814820771596</x:v>
      </x:c>
      <x:c r="AH12" s="12" t="str">
        <x:v>PUBLISHED_PROXY</x:v>
      </x:c>
      <x:c r="AI12" s="12" t="n">
        <x:v>0.207</x:v>
      </x:c>
      <x:c r="AJ12" s="12" t="n">
        <x:v>60.1113769325104</x:v>
      </x:c>
      <x:c r="AK12" s="12" t="str">
        <x:v>PUBLISHED_PROXY</x:v>
      </x:c>
      <x:c r="AL12" s="12" t="n">
        <x:v>0.032</x:v>
      </x:c>
      <x:c r="AM12" s="12" t="str">
        <x:v>marginalPricesOverview_2025-01@5b9daf9d82d7</x:v>
      </x:c>
      <x:c r="AN12" s="12" t="str">
        <x:v>activatedBalancingEnergyOverview_2025-01@4135ac664b2a</x:v>
      </x:c>
      <x:c r="AO12" s="12" t="str">
        <x:v>PUBLISHED_NATIVE</x:v>
      </x:c>
      <x:c r="AP12" s="12" t="n">
        <x:v>0.00414</x:v>
      </x:c>
      <x:c r="AQ12" s="12" t="n">
        <x:v>0.00064</x:v>
      </x:c>
      <x:c r="AR12" s="12" t="n">
        <x:v>0.0047799999999999</x:v>
      </x:c>
      <x:c r="AS12" s="13" t="b">
        <x:v>1</x:v>
      </x:c>
      <x:c r="AT12" s="13" t="b">
        <x:v>1</x:v>
      </x:c>
      <x:c r="AU12" s="13" t="b">
        <x:v>1</x:v>
      </x:c>
      <x:c r="AV12" s="13" t="b">
        <x:v>1</x:v>
      </x:c>
      <x:c r="AW12" s="13" t="b">
        <x:v>1</x:v>
      </x:c>
      <x:c r="AX12" s="13" t="b">
        <x:v>0</x:v>
      </x:c>
      <x:c r="AY12" s="13" t="b">
        <x:v>0</x:v>
      </x:c>
      <x:c r="AZ12" s="13" t="b">
        <x:v>1</x:v>
      </x:c>
      <x:c r="BA12" s="12" t="str">
        <x:v>OK</x:v>
      </x:c>
      <x:c r="BB12" s="12" t="str">
        <x:v>OK</x:v>
      </x:c>
      <x:c r="BC12" s="12" t="str">
        <x:v>EUR</x:v>
      </x:c>
      <x:c r="BD12" s="12" t="n">
        <x:v>10</x:v>
      </x:c>
      <x:c r="BE12" s="12" t="n">
        <x:v>10</x:v>
      </x:c>
      <x:c r="BF12" s="12" t="n">
        <x:v>0</x:v>
      </x:c>
      <x:c r="BG12" s="12" t="n">
        <x:v>0</x:v>
      </x:c>
      <x:c r="BH12" s="12" t="n">
        <x:v>0</x:v>
      </x:c>
      <x:c r="BI12" s="12" t="n">
        <x:v>0</x:v>
      </x:c>
      <x:c r="BJ12" s="12" t="n">
        <x:v>0</x:v>
      </x:c>
      <x:c r="BK12" s="12" t="n">
        <x:v>0</x:v>
      </x:c>
      <x:c r="BL12" s="12" t="n">
        <x:v>0</x:v>
      </x:c>
      <x:c r="BM12" s="12" t="n">
        <x:v>0</x:v>
      </x:c>
      <x:c r="BN12" s="12" t="n">
        <x:v>0</x:v>
      </x:c>
      <x:c r="BO12" s="12" t="n">
        <x:v>0</x:v>
      </x:c>
      <x:c r="BP12" s="12" t="n">
        <x:v>0</x:v>
      </x:c>
      <x:c r="BQ12" s="12" t="n">
        <x:v>0</x:v>
      </x:c>
      <x:c r="BR12" s="12" t="n">
        <x:v>0</x:v>
      </x:c>
      <x:c r="BS12" s="12" t="n">
        <x:v>0</x:v>
      </x:c>
    </x:row>
    <x:row r="13" ht="21" customHeight="1">
      <x:c r="A13" s="14" t="n">
        <x:v>45657.958333333336</x:v>
      </x:c>
      <x:c r="B13" s="14" t="n">
        <x:v>45657.96875</x:v>
      </x:c>
      <x:c r="C13" s="14" t="n">
        <x:v>45658.041666666664</x:v>
      </x:c>
      <x:c r="D13" s="15" t="n">
        <x:v>45658</x:v>
      </x:c>
      <x:c r="E13" s="12" t="n">
        <x:v>0.25</x:v>
      </x:c>
      <x:c r="F13" s="12" t="str">
        <x:v>FORMAL</x:v>
      </x:c>
      <x:c r="G13" s="14" t="n">
        <x:v>45657.958333333336</x:v>
      </x:c>
      <x:c r="H13" s="12" t="n">
        <x:v>138.7</x:v>
      </x:c>
      <x:c r="I13" s="12" t="str">
        <x:v>2025-01-01_1</x:v>
      </x:c>
      <x:c r="J13" s="12" t="n">
        <x:v>60</x:v>
      </x:c>
      <x:c r="K13" s="12" t="str">
        <x:v>DA_2025-01-01@80c3f1a8e3ee</x:v>
      </x:c>
      <x:c r="L13" s="15" t="n">
        <x:v>45657</x:v>
      </x:c>
      <x:c r="M13" s="12" t="n">
        <x:v>4.9741</x:v>
      </x:c>
      <x:c r="N13" s="12" t="str">
        <x:v>BNR2024_BOUNDARY@c4397e7f9c31</x:v>
      </x:c>
      <x:c r="O13" s="12"/>
      <x:c r="P13" s="12"/>
      <x:c r="Q13" s="12"/>
      <x:c r="R13" s="12"/>
      <x:c r="S13" s="12" t="str">
        <x:v>OUT_OF_RESEARCH_COVERAGE_PRE_2025_06</x:v>
      </x:c>
      <x:c r="T13" s="12" t="n">
        <x:v>200</x:v>
      </x:c>
      <x:c r="U13" s="12" t="str">
        <x:v>aFRRUp_2024-12-31T23:00:00Z</x:v>
      </x:c>
      <x:c r="V13" s="12" t="str">
        <x:v>tenderStatistics_2025-01@c14c9dea784d</x:v>
      </x:c>
      <x:c r="W13" s="12" t="n">
        <x:v>13.670814820771596</x:v>
      </x:c>
      <x:c r="X13" s="12" t="str">
        <x:v>PUBLISHED_PROXY</x:v>
      </x:c>
      <x:c r="Y13" s="12" t="n">
        <x:v>200</x:v>
      </x:c>
      <x:c r="Z13" s="12" t="str">
        <x:v>aFRRDown_2024-12-31T23:00:00Z</x:v>
      </x:c>
      <x:c r="AA13" s="12" t="str">
        <x:v>tenderStatistics_2025-01@c14c9dea784d</x:v>
      </x:c>
      <x:c r="AB13" s="12" t="n">
        <x:v>14.710198829939085</x:v>
      </x:c>
      <x:c r="AC13" s="12" t="str">
        <x:v>PUBLISHED_PROXY</x:v>
      </x:c>
      <x:c r="AD13" s="12"/>
      <x:c r="AE13" s="12" t="str">
        <x:v>SOURCE_NULL_NOT_MODELED</x:v>
      </x:c>
      <x:c r="AF13" s="12"/>
      <x:c r="AG13" s="12" t="n">
        <x:v>136.70814820771596</x:v>
      </x:c>
      <x:c r="AH13" s="12" t="str">
        <x:v>PUBLISHED_PROXY</x:v>
      </x:c>
      <x:c r="AI13" s="12" t="n">
        <x:v>0.276</x:v>
      </x:c>
      <x:c r="AJ13" s="12" t="n">
        <x:v>60.1113769325104</x:v>
      </x:c>
      <x:c r="AK13" s="12" t="str">
        <x:v>PUBLISHED_PROXY</x:v>
      </x:c>
      <x:c r="AL13" s="12" t="n">
        <x:v>0.015</x:v>
      </x:c>
      <x:c r="AM13" s="12" t="str">
        <x:v>marginalPricesOverview_2025-01@5b9daf9d82d7</x:v>
      </x:c>
      <x:c r="AN13" s="12" t="str">
        <x:v>activatedBalancingEnergyOverview_2025-01@4135ac664b2a</x:v>
      </x:c>
      <x:c r="AO13" s="12" t="str">
        <x:v>PUBLISHED_NATIVE</x:v>
      </x:c>
      <x:c r="AP13" s="12" t="n">
        <x:v>0.00552</x:v>
      </x:c>
      <x:c r="AQ13" s="12" t="n">
        <x:v>0.0003</x:v>
      </x:c>
      <x:c r="AR13" s="12" t="n">
        <x:v>0.00582</x:v>
      </x:c>
      <x:c r="AS13" s="13" t="b">
        <x:v>1</x:v>
      </x:c>
      <x:c r="AT13" s="13" t="b">
        <x:v>1</x:v>
      </x:c>
      <x:c r="AU13" s="13" t="b">
        <x:v>1</x:v>
      </x:c>
      <x:c r="AV13" s="13" t="b">
        <x:v>1</x:v>
      </x:c>
      <x:c r="AW13" s="13" t="b">
        <x:v>1</x:v>
      </x:c>
      <x:c r="AX13" s="13" t="b">
        <x:v>0</x:v>
      </x:c>
      <x:c r="AY13" s="13" t="b">
        <x:v>0</x:v>
      </x:c>
      <x:c r="AZ13" s="13" t="b">
        <x:v>1</x:v>
      </x:c>
      <x:c r="BA13" s="12" t="str">
        <x:v>OK</x:v>
      </x:c>
      <x:c r="BB13" s="12" t="str">
        <x:v>OK</x:v>
      </x:c>
      <x:c r="BC13" s="12" t="str">
        <x:v>EUR</x:v>
      </x:c>
      <x:c r="BD13" s="12" t="n">
        <x:v>10</x:v>
      </x:c>
      <x:c r="BE13" s="12" t="n">
        <x:v>10</x:v>
      </x:c>
      <x:c r="BF13" s="12" t="n">
        <x:v>0</x:v>
      </x:c>
      <x:c r="BG13" s="12" t="n">
        <x:v>0</x:v>
      </x:c>
      <x:c r="BH13" s="12" t="n">
        <x:v>0</x:v>
      </x:c>
      <x:c r="BI13" s="12" t="n">
        <x:v>0</x:v>
      </x:c>
      <x:c r="BJ13" s="12" t="n">
        <x:v>0</x:v>
      </x:c>
      <x:c r="BK13" s="12" t="n">
        <x:v>0</x:v>
      </x:c>
      <x:c r="BL13" s="12" t="n">
        <x:v>0</x:v>
      </x:c>
      <x:c r="BM13" s="12" t="n">
        <x:v>0</x:v>
      </x:c>
      <x:c r="BN13" s="12" t="n">
        <x:v>0</x:v>
      </x:c>
      <x:c r="BO13" s="12" t="n">
        <x:v>0</x:v>
      </x:c>
      <x:c r="BP13" s="12" t="n">
        <x:v>0</x:v>
      </x:c>
      <x:c r="BQ13" s="12" t="n">
        <x:v>0</x:v>
      </x:c>
      <x:c r="BR13" s="12" t="n">
        <x:v>0</x:v>
      </x:c>
      <x:c r="BS13" s="12" t="n">
        <x:v>0</x:v>
      </x:c>
    </x:row>
    <x:row r="14" ht="21" customHeight="1">
      <x:c r="A14" s="14" t="n">
        <x:v>45657.96875</x:v>
      </x:c>
      <x:c r="B14" s="14" t="n">
        <x:v>45657.979166666664</x:v>
      </x:c>
      <x:c r="C14" s="14" t="n">
        <x:v>45658.052083333336</x:v>
      </x:c>
      <x:c r="D14" s="15" t="n">
        <x:v>45658</x:v>
      </x:c>
      <x:c r="E14" s="12" t="n">
        <x:v>0.25</x:v>
      </x:c>
      <x:c r="F14" s="12" t="str">
        <x:v>FORMAL</x:v>
      </x:c>
      <x:c r="G14" s="14" t="n">
        <x:v>45657.958333333336</x:v>
      </x:c>
      <x:c r="H14" s="12" t="n">
        <x:v>138.7</x:v>
      </x:c>
      <x:c r="I14" s="12" t="str">
        <x:v>2025-01-01_1</x:v>
      </x:c>
      <x:c r="J14" s="12" t="n">
        <x:v>60</x:v>
      </x:c>
      <x:c r="K14" s="12" t="str">
        <x:v>DA_2025-01-01@80c3f1a8e3ee</x:v>
      </x:c>
      <x:c r="L14" s="15" t="n">
        <x:v>45657</x:v>
      </x:c>
      <x:c r="M14" s="12" t="n">
        <x:v>4.9741</x:v>
      </x:c>
      <x:c r="N14" s="12" t="str">
        <x:v>BNR2024_BOUNDARY@c4397e7f9c31</x:v>
      </x:c>
      <x:c r="O14" s="12"/>
      <x:c r="P14" s="12"/>
      <x:c r="Q14" s="12"/>
      <x:c r="R14" s="12"/>
      <x:c r="S14" s="12" t="str">
        <x:v>OUT_OF_RESEARCH_COVERAGE_PRE_2025_06</x:v>
      </x:c>
      <x:c r="T14" s="12" t="n">
        <x:v>200</x:v>
      </x:c>
      <x:c r="U14" s="12" t="str">
        <x:v>aFRRUp_2024-12-31T23:00:00Z</x:v>
      </x:c>
      <x:c r="V14" s="12" t="str">
        <x:v>tenderStatistics_2025-01@c14c9dea784d</x:v>
      </x:c>
      <x:c r="W14" s="12" t="n">
        <x:v>13.670814820771596</x:v>
      </x:c>
      <x:c r="X14" s="12" t="str">
        <x:v>PUBLISHED_PROXY</x:v>
      </x:c>
      <x:c r="Y14" s="12" t="n">
        <x:v>200</x:v>
      </x:c>
      <x:c r="Z14" s="12" t="str">
        <x:v>aFRRDown_2024-12-31T23:00:00Z</x:v>
      </x:c>
      <x:c r="AA14" s="12" t="str">
        <x:v>tenderStatistics_2025-01@c14c9dea784d</x:v>
      </x:c>
      <x:c r="AB14" s="12" t="n">
        <x:v>14.710198829939085</x:v>
      </x:c>
      <x:c r="AC14" s="12" t="str">
        <x:v>PUBLISHED_PROXY</x:v>
      </x:c>
      <x:c r="AD14" s="12"/>
      <x:c r="AE14" s="12" t="str">
        <x:v>SOURCE_NULL_NOT_MODELED</x:v>
      </x:c>
      <x:c r="AF14" s="12"/>
      <x:c r="AG14" s="12" t="n">
        <x:v>136.70814820771596</x:v>
      </x:c>
      <x:c r="AH14" s="12" t="str">
        <x:v>PUBLISHED_PROXY</x:v>
      </x:c>
      <x:c r="AI14" s="12" t="n">
        <x:v>0.128</x:v>
      </x:c>
      <x:c r="AJ14" s="12" t="n">
        <x:v>60.1113769325104</x:v>
      </x:c>
      <x:c r="AK14" s="12" t="str">
        <x:v>PUBLISHED_PROXY</x:v>
      </x:c>
      <x:c r="AL14" s="12" t="n">
        <x:v>0.014</x:v>
      </x:c>
      <x:c r="AM14" s="12" t="str">
        <x:v>marginalPricesOverview_2025-01@5b9daf9d82d7</x:v>
      </x:c>
      <x:c r="AN14" s="12" t="str">
        <x:v>activatedBalancingEnergyOverview_2025-01@4135ac664b2a</x:v>
      </x:c>
      <x:c r="AO14" s="12" t="str">
        <x:v>PUBLISHED_NATIVE</x:v>
      </x:c>
      <x:c r="AP14" s="12" t="n">
        <x:v>0.00256</x:v>
      </x:c>
      <x:c r="AQ14" s="12" t="n">
        <x:v>0.00028</x:v>
      </x:c>
      <x:c r="AR14" s="12" t="n">
        <x:v>0.00284</x:v>
      </x:c>
      <x:c r="AS14" s="13" t="b">
        <x:v>1</x:v>
      </x:c>
      <x:c r="AT14" s="13" t="b">
        <x:v>1</x:v>
      </x:c>
      <x:c r="AU14" s="13" t="b">
        <x:v>1</x:v>
      </x:c>
      <x:c r="AV14" s="13" t="b">
        <x:v>1</x:v>
      </x:c>
      <x:c r="AW14" s="13" t="b">
        <x:v>1</x:v>
      </x:c>
      <x:c r="AX14" s="13" t="b">
        <x:v>0</x:v>
      </x:c>
      <x:c r="AY14" s="13" t="b">
        <x:v>0</x:v>
      </x:c>
      <x:c r="AZ14" s="13" t="b">
        <x:v>1</x:v>
      </x:c>
      <x:c r="BA14" s="12" t="str">
        <x:v>OK</x:v>
      </x:c>
      <x:c r="BB14" s="12" t="str">
        <x:v>OK</x:v>
      </x:c>
      <x:c r="BC14" s="12" t="str">
        <x:v>EUR</x:v>
      </x:c>
      <x:c r="BD14" s="12" t="n">
        <x:v>10</x:v>
      </x:c>
      <x:c r="BE14" s="12" t="n">
        <x:v>10</x:v>
      </x:c>
      <x:c r="BF14" s="12" t="n">
        <x:v>0</x:v>
      </x:c>
      <x:c r="BG14" s="12" t="n">
        <x:v>0</x:v>
      </x:c>
      <x:c r="BH14" s="12" t="n">
        <x:v>0</x:v>
      </x:c>
      <x:c r="BI14" s="12" t="n">
        <x:v>0</x:v>
      </x:c>
      <x:c r="BJ14" s="12" t="n">
        <x:v>0</x:v>
      </x:c>
      <x:c r="BK14" s="12" t="n">
        <x:v>0</x:v>
      </x:c>
      <x:c r="BL14" s="12" t="n">
        <x:v>0</x:v>
      </x:c>
      <x:c r="BM14" s="12" t="n">
        <x:v>0</x:v>
      </x:c>
      <x:c r="BN14" s="12" t="n">
        <x:v>0</x:v>
      </x:c>
      <x:c r="BO14" s="12" t="n">
        <x:v>0</x:v>
      </x:c>
      <x:c r="BP14" s="12" t="n">
        <x:v>0</x:v>
      </x:c>
      <x:c r="BQ14" s="12" t="n">
        <x:v>0</x:v>
      </x:c>
      <x:c r="BR14" s="12" t="n">
        <x:v>0</x:v>
      </x:c>
      <x:c r="BS14" s="12" t="n">
        <x:v>0</x:v>
      </x:c>
    </x:row>
    <x:row r="15" ht="21" customHeight="1">
      <x:c r="A15" s="14" t="n">
        <x:v>45657.979166666664</x:v>
      </x:c>
      <x:c r="B15" s="14" t="n">
        <x:v>45657.989583333336</x:v>
      </x:c>
      <x:c r="C15" s="14" t="n">
        <x:v>45658.0625</x:v>
      </x:c>
      <x:c r="D15" s="15" t="n">
        <x:v>45658</x:v>
      </x:c>
      <x:c r="E15" s="12" t="n">
        <x:v>0.25</x:v>
      </x:c>
      <x:c r="F15" s="12" t="str">
        <x:v>FORMAL</x:v>
      </x:c>
      <x:c r="G15" s="14" t="n">
        <x:v>45657.958333333336</x:v>
      </x:c>
      <x:c r="H15" s="12" t="n">
        <x:v>138.7</x:v>
      </x:c>
      <x:c r="I15" s="12" t="str">
        <x:v>2025-01-01_1</x:v>
      </x:c>
      <x:c r="J15" s="12" t="n">
        <x:v>60</x:v>
      </x:c>
      <x:c r="K15" s="12" t="str">
        <x:v>DA_2025-01-01@80c3f1a8e3ee</x:v>
      </x:c>
      <x:c r="L15" s="15" t="n">
        <x:v>45657</x:v>
      </x:c>
      <x:c r="M15" s="12" t="n">
        <x:v>4.9741</x:v>
      </x:c>
      <x:c r="N15" s="12" t="str">
        <x:v>BNR2024_BOUNDARY@c4397e7f9c31</x:v>
      </x:c>
      <x:c r="O15" s="12"/>
      <x:c r="P15" s="12"/>
      <x:c r="Q15" s="12"/>
      <x:c r="R15" s="12"/>
      <x:c r="S15" s="12" t="str">
        <x:v>OUT_OF_RESEARCH_COVERAGE_PRE_2025_06</x:v>
      </x:c>
      <x:c r="T15" s="12" t="n">
        <x:v>200</x:v>
      </x:c>
      <x:c r="U15" s="12" t="str">
        <x:v>aFRRUp_2024-12-31T23:00:00Z</x:v>
      </x:c>
      <x:c r="V15" s="12" t="str">
        <x:v>tenderStatistics_2025-01@c14c9dea784d</x:v>
      </x:c>
      <x:c r="W15" s="12" t="n">
        <x:v>13.670814820771596</x:v>
      </x:c>
      <x:c r="X15" s="12" t="str">
        <x:v>PUBLISHED_PROXY</x:v>
      </x:c>
      <x:c r="Y15" s="12" t="n">
        <x:v>200</x:v>
      </x:c>
      <x:c r="Z15" s="12" t="str">
        <x:v>aFRRDown_2024-12-31T23:00:00Z</x:v>
      </x:c>
      <x:c r="AA15" s="12" t="str">
        <x:v>tenderStatistics_2025-01@c14c9dea784d</x:v>
      </x:c>
      <x:c r="AB15" s="12" t="n">
        <x:v>14.710198829939085</x:v>
      </x:c>
      <x:c r="AC15" s="12" t="str">
        <x:v>PUBLISHED_PROXY</x:v>
      </x:c>
      <x:c r="AD15" s="12"/>
      <x:c r="AE15" s="12" t="str">
        <x:v>SOURCE_NULL_NOT_MODELED</x:v>
      </x:c>
      <x:c r="AF15" s="12"/>
      <x:c r="AG15" s="12" t="n">
        <x:v>136.70814820771596</x:v>
      </x:c>
      <x:c r="AH15" s="12" t="str">
        <x:v>PUBLISHED_PROXY</x:v>
      </x:c>
      <x:c r="AI15" s="12" t="n">
        <x:v>0.023</x:v>
      </x:c>
      <x:c r="AJ15" s="12" t="n">
        <x:v>59.9069178343821</x:v>
      </x:c>
      <x:c r="AK15" s="12" t="str">
        <x:v>PUBLISHED_PROXY</x:v>
      </x:c>
      <x:c r="AL15" s="12" t="n">
        <x:v>0.115</x:v>
      </x:c>
      <x:c r="AM15" s="12" t="str">
        <x:v>marginalPricesOverview_2025-01@5b9daf9d82d7</x:v>
      </x:c>
      <x:c r="AN15" s="12" t="str">
        <x:v>activatedBalancingEnergyOverview_2025-01@4135ac664b2a</x:v>
      </x:c>
      <x:c r="AO15" s="12" t="str">
        <x:v>PUBLISHED_NATIVE</x:v>
      </x:c>
      <x:c r="AP15" s="12" t="n">
        <x:v>0.00046</x:v>
      </x:c>
      <x:c r="AQ15" s="12" t="n">
        <x:v>0.0023</x:v>
      </x:c>
      <x:c r="AR15" s="12" t="n">
        <x:v>0.00276</x:v>
      </x:c>
      <x:c r="AS15" s="13" t="b">
        <x:v>1</x:v>
      </x:c>
      <x:c r="AT15" s="13" t="b">
        <x:v>1</x:v>
      </x:c>
      <x:c r="AU15" s="13" t="b">
        <x:v>1</x:v>
      </x:c>
      <x:c r="AV15" s="13" t="b">
        <x:v>1</x:v>
      </x:c>
      <x:c r="AW15" s="13" t="b">
        <x:v>1</x:v>
      </x:c>
      <x:c r="AX15" s="13" t="b">
        <x:v>0</x:v>
      </x:c>
      <x:c r="AY15" s="13" t="b">
        <x:v>0</x:v>
      </x:c>
      <x:c r="AZ15" s="13" t="b">
        <x:v>1</x:v>
      </x:c>
      <x:c r="BA15" s="12" t="str">
        <x:v>OK</x:v>
      </x:c>
      <x:c r="BB15" s="12" t="str">
        <x:v>OK</x:v>
      </x:c>
      <x:c r="BC15" s="12" t="str">
        <x:v>EUR</x:v>
      </x:c>
      <x:c r="BD15" s="12" t="n">
        <x:v>10</x:v>
      </x:c>
      <x:c r="BE15" s="12" t="n">
        <x:v>10</x:v>
      </x:c>
      <x:c r="BF15" s="12" t="n">
        <x:v>0</x:v>
      </x:c>
      <x:c r="BG15" s="12" t="n">
        <x:v>0</x:v>
      </x:c>
      <x:c r="BH15" s="12" t="n">
        <x:v>0</x:v>
      </x:c>
      <x:c r="BI15" s="12" t="n">
        <x:v>0</x:v>
      </x:c>
      <x:c r="BJ15" s="12" t="n">
        <x:v>0</x:v>
      </x:c>
      <x:c r="BK15" s="12" t="n">
        <x:v>0</x:v>
      </x:c>
      <x:c r="BL15" s="12" t="n">
        <x:v>0</x:v>
      </x:c>
      <x:c r="BM15" s="12" t="n">
        <x:v>0</x:v>
      </x:c>
      <x:c r="BN15" s="12" t="n">
        <x:v>0</x:v>
      </x:c>
      <x:c r="BO15" s="12" t="n">
        <x:v>0</x:v>
      </x:c>
      <x:c r="BP15" s="12" t="n">
        <x:v>0</x:v>
      </x:c>
      <x:c r="BQ15" s="12" t="n">
        <x:v>0</x:v>
      </x:c>
      <x:c r="BR15" s="12" t="n">
        <x:v>0</x:v>
      </x:c>
      <x:c r="BS15" s="12" t="n">
        <x:v>0</x:v>
      </x:c>
    </x:row>
    <x:row r="16" ht="21" customHeight="1">
      <x:c r="A16" s="14" t="n">
        <x:v>45657.989583333336</x:v>
      </x:c>
      <x:c r="B16" s="14" t="n">
        <x:v>45658</x:v>
      </x:c>
      <x:c r="C16" s="14" t="n">
        <x:v>45658.072916666664</x:v>
      </x:c>
      <x:c r="D16" s="15" t="n">
        <x:v>45658</x:v>
      </x:c>
      <x:c r="E16" s="12" t="n">
        <x:v>0.25</x:v>
      </x:c>
      <x:c r="F16" s="12" t="str">
        <x:v>FORMAL</x:v>
      </x:c>
      <x:c r="G16" s="14" t="n">
        <x:v>45657.958333333336</x:v>
      </x:c>
      <x:c r="H16" s="12" t="n">
        <x:v>138.7</x:v>
      </x:c>
      <x:c r="I16" s="12" t="str">
        <x:v>2025-01-01_1</x:v>
      </x:c>
      <x:c r="J16" s="12" t="n">
        <x:v>60</x:v>
      </x:c>
      <x:c r="K16" s="12" t="str">
        <x:v>DA_2025-01-01@80c3f1a8e3ee</x:v>
      </x:c>
      <x:c r="L16" s="15" t="n">
        <x:v>45657</x:v>
      </x:c>
      <x:c r="M16" s="12" t="n">
        <x:v>4.9741</x:v>
      </x:c>
      <x:c r="N16" s="12" t="str">
        <x:v>BNR2024_BOUNDARY@c4397e7f9c31</x:v>
      </x:c>
      <x:c r="O16" s="12"/>
      <x:c r="P16" s="12"/>
      <x:c r="Q16" s="12"/>
      <x:c r="R16" s="12"/>
      <x:c r="S16" s="12" t="str">
        <x:v>OUT_OF_RESEARCH_COVERAGE_PRE_2025_06</x:v>
      </x:c>
      <x:c r="T16" s="12" t="n">
        <x:v>200</x:v>
      </x:c>
      <x:c r="U16" s="12" t="str">
        <x:v>aFRRUp_2024-12-31T23:00:00Z</x:v>
      </x:c>
      <x:c r="V16" s="12" t="str">
        <x:v>tenderStatistics_2025-01@c14c9dea784d</x:v>
      </x:c>
      <x:c r="W16" s="12" t="n">
        <x:v>13.670814820771596</x:v>
      </x:c>
      <x:c r="X16" s="12" t="str">
        <x:v>PUBLISHED_PROXY</x:v>
      </x:c>
      <x:c r="Y16" s="12" t="n">
        <x:v>200</x:v>
      </x:c>
      <x:c r="Z16" s="12" t="str">
        <x:v>aFRRDown_2024-12-31T23:00:00Z</x:v>
      </x:c>
      <x:c r="AA16" s="12" t="str">
        <x:v>tenderStatistics_2025-01@c14c9dea784d</x:v>
      </x:c>
      <x:c r="AB16" s="12" t="n">
        <x:v>14.710198829939085</x:v>
      </x:c>
      <x:c r="AC16" s="12" t="str">
        <x:v>PUBLISHED_PROXY</x:v>
      </x:c>
      <x:c r="AD16" s="12"/>
      <x:c r="AE16" s="12" t="str">
        <x:v>SOURCE_NULL_NOT_MODELED</x:v>
      </x:c>
      <x:c r="AF16" s="12"/>
      <x:c r="AG16" s="12" t="n">
        <x:v>136.70814820771596</x:v>
      </x:c>
      <x:c r="AH16" s="12" t="str">
        <x:v>PUBLISHED_PROXY</x:v>
      </x:c>
      <x:c r="AI16" s="12" t="n">
        <x:v>0.078</x:v>
      </x:c>
      <x:c r="AJ16" s="12" t="n">
        <x:v>60.062925956454436</x:v>
      </x:c>
      <x:c r="AK16" s="12" t="str">
        <x:v>PUBLISHED_PROXY</x:v>
      </x:c>
      <x:c r="AL16" s="12" t="n">
        <x:v>0.112</x:v>
      </x:c>
      <x:c r="AM16" s="12" t="str">
        <x:v>marginalPricesOverview_2025-01@5b9daf9d82d7</x:v>
      </x:c>
      <x:c r="AN16" s="12" t="str">
        <x:v>activatedBalancingEnergyOverview_2025-01@4135ac664b2a</x:v>
      </x:c>
      <x:c r="AO16" s="12" t="str">
        <x:v>PUBLISHED_NATIVE</x:v>
      </x:c>
      <x:c r="AP16" s="12" t="n">
        <x:v>0.00156</x:v>
      </x:c>
      <x:c r="AQ16" s="12" t="n">
        <x:v>0.00224</x:v>
      </x:c>
      <x:c r="AR16" s="12" t="n">
        <x:v>0.0038</x:v>
      </x:c>
      <x:c r="AS16" s="13" t="b">
        <x:v>1</x:v>
      </x:c>
      <x:c r="AT16" s="13" t="b">
        <x:v>1</x:v>
      </x:c>
      <x:c r="AU16" s="13" t="b">
        <x:v>1</x:v>
      </x:c>
      <x:c r="AV16" s="13" t="b">
        <x:v>1</x:v>
      </x:c>
      <x:c r="AW16" s="13" t="b">
        <x:v>1</x:v>
      </x:c>
      <x:c r="AX16" s="13" t="b">
        <x:v>0</x:v>
      </x:c>
      <x:c r="AY16" s="13" t="b">
        <x:v>0</x:v>
      </x:c>
      <x:c r="AZ16" s="13" t="b">
        <x:v>1</x:v>
      </x:c>
      <x:c r="BA16" s="12" t="str">
        <x:v>OK</x:v>
      </x:c>
      <x:c r="BB16" s="12" t="str">
        <x:v>OK</x:v>
      </x:c>
      <x:c r="BC16" s="12" t="str">
        <x:v>EUR</x:v>
      </x:c>
      <x:c r="BD16" s="12" t="n">
        <x:v>10</x:v>
      </x:c>
      <x:c r="BE16" s="12" t="n">
        <x:v>10</x:v>
      </x:c>
      <x:c r="BF16" s="12" t="n">
        <x:v>0</x:v>
      </x:c>
      <x:c r="BG16" s="12" t="n">
        <x:v>0</x:v>
      </x:c>
      <x:c r="BH16" s="12" t="n">
        <x:v>0</x:v>
      </x:c>
      <x:c r="BI16" s="12" t="n">
        <x:v>0</x:v>
      </x:c>
      <x:c r="BJ16" s="12" t="n">
        <x:v>0</x:v>
      </x:c>
      <x:c r="BK16" s="12" t="n">
        <x:v>0</x:v>
      </x:c>
      <x:c r="BL16" s="12" t="n">
        <x:v>0</x:v>
      </x:c>
      <x:c r="BM16" s="12" t="n">
        <x:v>0</x:v>
      </x:c>
      <x:c r="BN16" s="12" t="n">
        <x:v>0</x:v>
      </x:c>
      <x:c r="BO16" s="12" t="n">
        <x:v>0</x:v>
      </x:c>
      <x:c r="BP16" s="12" t="n">
        <x:v>0</x:v>
      </x:c>
      <x:c r="BQ16" s="12" t="n">
        <x:v>0</x:v>
      </x:c>
      <x:c r="BR16" s="12" t="n">
        <x:v>0</x:v>
      </x:c>
      <x:c r="BS16" s="12" t="n">
        <x:v>0</x:v>
      </x:c>
    </x:row>
    <x:row r="17" ht="21" customHeight="1">
      <x:c r="A17" s="14" t="n">
        <x:v>45658</x:v>
      </x:c>
      <x:c r="B17" s="14" t="n">
        <x:v>45658.010416666664</x:v>
      </x:c>
      <x:c r="C17" s="14" t="n">
        <x:v>45658.083333333336</x:v>
      </x:c>
      <x:c r="D17" s="15" t="n">
        <x:v>45658</x:v>
      </x:c>
      <x:c r="E17" s="12" t="n">
        <x:v>0.25</x:v>
      </x:c>
      <x:c r="F17" s="12" t="str">
        <x:v>FORMAL</x:v>
      </x:c>
      <x:c r="G17" s="14" t="n">
        <x:v>45658</x:v>
      </x:c>
      <x:c r="H17" s="12" t="n">
        <x:v>134.06</x:v>
      </x:c>
      <x:c r="I17" s="12" t="str">
        <x:v>2025-01-01_2</x:v>
      </x:c>
      <x:c r="J17" s="12" t="n">
        <x:v>60</x:v>
      </x:c>
      <x:c r="K17" s="12" t="str">
        <x:v>DA_2025-01-01@80c3f1a8e3ee</x:v>
      </x:c>
      <x:c r="L17" s="15" t="n">
        <x:v>45657</x:v>
      </x:c>
      <x:c r="M17" s="12" t="n">
        <x:v>4.9741</x:v>
      </x:c>
      <x:c r="N17" s="12" t="str">
        <x:v>BNR2024_BOUNDARY@c4397e7f9c31</x:v>
      </x:c>
      <x:c r="O17" s="12"/>
      <x:c r="P17" s="12"/>
      <x:c r="Q17" s="12"/>
      <x:c r="R17" s="12"/>
      <x:c r="S17" s="12" t="str">
        <x:v>OUT_OF_RESEARCH_COVERAGE_PRE_2025_06</x:v>
      </x:c>
      <x:c r="T17" s="12" t="n">
        <x:v>200</x:v>
      </x:c>
      <x:c r="U17" s="12" t="str">
        <x:v>aFRRUp_2025-01-01T00:00:00Z</x:v>
      </x:c>
      <x:c r="V17" s="12" t="str">
        <x:v>tenderStatistics_2025-01@c14c9dea784d</x:v>
      </x:c>
      <x:c r="W17" s="12" t="n">
        <x:v>13.71102309965622</x:v>
      </x:c>
      <x:c r="X17" s="12" t="str">
        <x:v>PUBLISHED_PROXY</x:v>
      </x:c>
      <x:c r="Y17" s="12" t="n">
        <x:v>200</x:v>
      </x:c>
      <x:c r="Z17" s="12" t="str">
        <x:v>aFRRDown_2025-01-01T00:00:00Z</x:v>
      </x:c>
      <x:c r="AA17" s="12" t="str">
        <x:v>tenderStatistics_2025-01@c14c9dea784d</x:v>
      </x:c>
      <x:c r="AB17" s="12" t="n">
        <x:v>14.710198829939085</x:v>
      </x:c>
      <x:c r="AC17" s="12" t="str">
        <x:v>PUBLISHED_PROXY</x:v>
      </x:c>
      <x:c r="AD17" s="12"/>
      <x:c r="AE17" s="12" t="str">
        <x:v>SOURCE_NULL_NOT_MODELED</x:v>
      </x:c>
      <x:c r="AF17" s="12"/>
      <x:c r="AG17" s="12" t="n">
        <x:v>166.07647614643855</x:v>
      </x:c>
      <x:c r="AH17" s="12" t="str">
        <x:v>PUBLISHED_PROXY</x:v>
      </x:c>
      <x:c r="AI17" s="12" t="n">
        <x:v>5.337</x:v>
      </x:c>
      <x:c r="AJ17" s="12" t="n">
        <x:v>0</x:v>
      </x:c>
      <x:c r="AK17" s="12" t="str">
        <x:v>PUBLISHED_PROXY</x:v>
      </x:c>
      <x:c r="AL17" s="12" t="n">
        <x:v>0</x:v>
      </x:c>
      <x:c r="AM17" s="12" t="str">
        <x:v>marginalPricesOverview_2025-01@5b9daf9d82d7</x:v>
      </x:c>
      <x:c r="AN17" s="12" t="str">
        <x:v>activatedBalancingEnergyOverview_2025-01@4135ac664b2a</x:v>
      </x:c>
      <x:c r="AO17" s="12" t="str">
        <x:v>PUBLISHED_NATIVE</x:v>
      </x:c>
      <x:c r="AP17" s="12" t="n">
        <x:v>0.10674</x:v>
      </x:c>
      <x:c r="AQ17" s="12" t="n">
        <x:v>0</x:v>
      </x:c>
      <x:c r="AR17" s="12" t="n">
        <x:v>0.10674</x:v>
      </x:c>
      <x:c r="AS17" s="13" t="b">
        <x:v>1</x:v>
      </x:c>
      <x:c r="AT17" s="13" t="b">
        <x:v>1</x:v>
      </x:c>
      <x:c r="AU17" s="13" t="b">
        <x:v>1</x:v>
      </x:c>
      <x:c r="AV17" s="13" t="b">
        <x:v>1</x:v>
      </x:c>
      <x:c r="AW17" s="13" t="b">
        <x:v>1</x:v>
      </x:c>
      <x:c r="AX17" s="13" t="b">
        <x:v>0</x:v>
      </x:c>
      <x:c r="AY17" s="13" t="b">
        <x:v>0</x:v>
      </x:c>
      <x:c r="AZ17" s="13" t="b">
        <x:v>1</x:v>
      </x:c>
      <x:c r="BA17" s="12" t="str">
        <x:v>OK</x:v>
      </x:c>
      <x:c r="BB17" s="12" t="str">
        <x:v>OK</x:v>
      </x:c>
      <x:c r="BC17" s="12" t="str">
        <x:v>EUR</x:v>
      </x:c>
      <x:c r="BD17" s="12" t="n">
        <x:v>10</x:v>
      </x:c>
      <x:c r="BE17" s="12" t="n">
        <x:v>10</x:v>
      </x:c>
      <x:c r="BF17" s="12" t="n">
        <x:v>0</x:v>
      </x:c>
      <x:c r="BG17" s="12" t="n">
        <x:v>0</x:v>
      </x:c>
      <x:c r="BH17" s="12" t="n">
        <x:v>0</x:v>
      </x:c>
      <x:c r="BI17" s="12" t="n">
        <x:v>0</x:v>
      </x:c>
      <x:c r="BJ17" s="12" t="n">
        <x:v>0</x:v>
      </x:c>
      <x:c r="BK17" s="12" t="n">
        <x:v>0</x:v>
      </x:c>
      <x:c r="BL17" s="12" t="n">
        <x:v>0</x:v>
      </x:c>
      <x:c r="BM17" s="12" t="n">
        <x:v>0</x:v>
      </x:c>
      <x:c r="BN17" s="12" t="n">
        <x:v>0</x:v>
      </x:c>
      <x:c r="BO17" s="12" t="n">
        <x:v>0</x:v>
      </x:c>
      <x:c r="BP17" s="12" t="n">
        <x:v>0</x:v>
      </x:c>
      <x:c r="BQ17" s="12" t="n">
        <x:v>0</x:v>
      </x:c>
      <x:c r="BR17" s="12" t="n">
        <x:v>0</x:v>
      </x:c>
      <x:c r="BS17" s="12" t="n">
        <x:v>0</x:v>
      </x:c>
    </x:row>
    <x:row r="18" ht="21" customHeight="1">
      <x:c r="A18" s="14" t="n">
        <x:v>45658.010416666664</x:v>
      </x:c>
      <x:c r="B18" s="14" t="n">
        <x:v>45658.020833333336</x:v>
      </x:c>
      <x:c r="C18" s="14" t="n">
        <x:v>45658.09375</x:v>
      </x:c>
      <x:c r="D18" s="15" t="n">
        <x:v>45658</x:v>
      </x:c>
      <x:c r="E18" s="12" t="n">
        <x:v>0.25</x:v>
      </x:c>
      <x:c r="F18" s="12" t="str">
        <x:v>FORMAL</x:v>
      </x:c>
      <x:c r="G18" s="14" t="n">
        <x:v>45658</x:v>
      </x:c>
      <x:c r="H18" s="12" t="n">
        <x:v>134.06</x:v>
      </x:c>
      <x:c r="I18" s="12" t="str">
        <x:v>2025-01-01_2</x:v>
      </x:c>
      <x:c r="J18" s="12" t="n">
        <x:v>60</x:v>
      </x:c>
      <x:c r="K18" s="12" t="str">
        <x:v>DA_2025-01-01@80c3f1a8e3ee</x:v>
      </x:c>
      <x:c r="L18" s="15" t="n">
        <x:v>45657</x:v>
      </x:c>
      <x:c r="M18" s="12" t="n">
        <x:v>4.9741</x:v>
      </x:c>
      <x:c r="N18" s="12" t="str">
        <x:v>BNR2024_BOUNDARY@c4397e7f9c31</x:v>
      </x:c>
      <x:c r="O18" s="12"/>
      <x:c r="P18" s="12"/>
      <x:c r="Q18" s="12"/>
      <x:c r="R18" s="12"/>
      <x:c r="S18" s="12" t="str">
        <x:v>OUT_OF_RESEARCH_COVERAGE_PRE_2025_06</x:v>
      </x:c>
      <x:c r="T18" s="12" t="n">
        <x:v>200</x:v>
      </x:c>
      <x:c r="U18" s="12" t="str">
        <x:v>aFRRUp_2025-01-01T00:00:00Z</x:v>
      </x:c>
      <x:c r="V18" s="12" t="str">
        <x:v>tenderStatistics_2025-01@c14c9dea784d</x:v>
      </x:c>
      <x:c r="W18" s="12" t="n">
        <x:v>13.71102309965622</x:v>
      </x:c>
      <x:c r="X18" s="12" t="str">
        <x:v>PUBLISHED_PROXY</x:v>
      </x:c>
      <x:c r="Y18" s="12" t="n">
        <x:v>200</x:v>
      </x:c>
      <x:c r="Z18" s="12" t="str">
        <x:v>aFRRDown_2025-01-01T00:00:00Z</x:v>
      </x:c>
      <x:c r="AA18" s="12" t="str">
        <x:v>tenderStatistics_2025-01@c14c9dea784d</x:v>
      </x:c>
      <x:c r="AB18" s="12" t="n">
        <x:v>14.710198829939085</x:v>
      </x:c>
      <x:c r="AC18" s="12" t="str">
        <x:v>PUBLISHED_PROXY</x:v>
      </x:c>
      <x:c r="AD18" s="12"/>
      <x:c r="AE18" s="12" t="str">
        <x:v>SOURCE_NULL_NOT_MODELED</x:v>
      </x:c>
      <x:c r="AF18" s="12"/>
      <x:c r="AG18" s="12" t="n">
        <x:v>136.70814820771596</x:v>
      </x:c>
      <x:c r="AH18" s="12" t="str">
        <x:v>PUBLISHED_PROXY</x:v>
      </x:c>
      <x:c r="AI18" s="12" t="n">
        <x:v>0.934</x:v>
      </x:c>
      <x:c r="AJ18" s="12" t="n">
        <x:v>0</x:v>
      </x:c>
      <x:c r="AK18" s="12" t="str">
        <x:v>PUBLISHED_PROXY</x:v>
      </x:c>
      <x:c r="AL18" s="12" t="n">
        <x:v>0</x:v>
      </x:c>
      <x:c r="AM18" s="12" t="str">
        <x:v>marginalPricesOverview_2025-01@5b9daf9d82d7</x:v>
      </x:c>
      <x:c r="AN18" s="12" t="str">
        <x:v>activatedBalancingEnergyOverview_2025-01@4135ac664b2a</x:v>
      </x:c>
      <x:c r="AO18" s="12" t="str">
        <x:v>PUBLISHED_NATIVE</x:v>
      </x:c>
      <x:c r="AP18" s="12" t="n">
        <x:v>0.01868</x:v>
      </x:c>
      <x:c r="AQ18" s="12" t="n">
        <x:v>0</x:v>
      </x:c>
      <x:c r="AR18" s="12" t="n">
        <x:v>0.01868</x:v>
      </x:c>
      <x:c r="AS18" s="13" t="b">
        <x:v>1</x:v>
      </x:c>
      <x:c r="AT18" s="13" t="b">
        <x:v>1</x:v>
      </x:c>
      <x:c r="AU18" s="13" t="b">
        <x:v>1</x:v>
      </x:c>
      <x:c r="AV18" s="13" t="b">
        <x:v>1</x:v>
      </x:c>
      <x:c r="AW18" s="13" t="b">
        <x:v>1</x:v>
      </x:c>
      <x:c r="AX18" s="13" t="b">
        <x:v>0</x:v>
      </x:c>
      <x:c r="AY18" s="13" t="b">
        <x:v>0</x:v>
      </x:c>
      <x:c r="AZ18" s="13" t="b">
        <x:v>1</x:v>
      </x:c>
      <x:c r="BA18" s="12" t="str">
        <x:v>OK</x:v>
      </x:c>
      <x:c r="BB18" s="12" t="str">
        <x:v>OK</x:v>
      </x:c>
      <x:c r="BC18" s="12" t="str">
        <x:v>EUR</x:v>
      </x:c>
      <x:c r="BD18" s="12" t="n">
        <x:v>10</x:v>
      </x:c>
      <x:c r="BE18" s="12" t="n">
        <x:v>10</x:v>
      </x:c>
      <x:c r="BF18" s="12" t="n">
        <x:v>0</x:v>
      </x:c>
      <x:c r="BG18" s="12" t="n">
        <x:v>0</x:v>
      </x:c>
      <x:c r="BH18" s="12" t="n">
        <x:v>0</x:v>
      </x:c>
      <x:c r="BI18" s="12" t="n">
        <x:v>0</x:v>
      </x:c>
      <x:c r="BJ18" s="12" t="n">
        <x:v>0</x:v>
      </x:c>
      <x:c r="BK18" s="12" t="n">
        <x:v>0</x:v>
      </x:c>
      <x:c r="BL18" s="12" t="n">
        <x:v>0</x:v>
      </x:c>
      <x:c r="BM18" s="12" t="n">
        <x:v>0</x:v>
      </x:c>
      <x:c r="BN18" s="12" t="n">
        <x:v>0</x:v>
      </x:c>
      <x:c r="BO18" s="12" t="n">
        <x:v>0</x:v>
      </x:c>
      <x:c r="BP18" s="12" t="n">
        <x:v>0</x:v>
      </x:c>
      <x:c r="BQ18" s="12" t="n">
        <x:v>0</x:v>
      </x:c>
      <x:c r="BR18" s="12" t="n">
        <x:v>0</x:v>
      </x:c>
      <x:c r="BS18" s="12" t="n">
        <x:v>0</x:v>
      </x:c>
    </x:row>
    <x:row r="19" ht="21" customHeight="1">
      <x:c r="A19" s="14" t="n">
        <x:v>45658.020833333336</x:v>
      </x:c>
      <x:c r="B19" s="14" t="n">
        <x:v>45658.03125</x:v>
      </x:c>
      <x:c r="C19" s="14" t="n">
        <x:v>45658.104166666664</x:v>
      </x:c>
      <x:c r="D19" s="15" t="n">
        <x:v>45658</x:v>
      </x:c>
      <x:c r="E19" s="12" t="n">
        <x:v>0.25</x:v>
      </x:c>
      <x:c r="F19" s="12" t="str">
        <x:v>FORMAL</x:v>
      </x:c>
      <x:c r="G19" s="14" t="n">
        <x:v>45658</x:v>
      </x:c>
      <x:c r="H19" s="12" t="n">
        <x:v>134.06</x:v>
      </x:c>
      <x:c r="I19" s="12" t="str">
        <x:v>2025-01-01_2</x:v>
      </x:c>
      <x:c r="J19" s="12" t="n">
        <x:v>60</x:v>
      </x:c>
      <x:c r="K19" s="12" t="str">
        <x:v>DA_2025-01-01@80c3f1a8e3ee</x:v>
      </x:c>
      <x:c r="L19" s="15" t="n">
        <x:v>45657</x:v>
      </x:c>
      <x:c r="M19" s="12" t="n">
        <x:v>4.9741</x:v>
      </x:c>
      <x:c r="N19" s="12" t="str">
        <x:v>BNR2024_BOUNDARY@c4397e7f9c31</x:v>
      </x:c>
      <x:c r="O19" s="12"/>
      <x:c r="P19" s="12"/>
      <x:c r="Q19" s="12"/>
      <x:c r="R19" s="12"/>
      <x:c r="S19" s="12" t="str">
        <x:v>OUT_OF_RESEARCH_COVERAGE_PRE_2025_06</x:v>
      </x:c>
      <x:c r="T19" s="12" t="n">
        <x:v>200</x:v>
      </x:c>
      <x:c r="U19" s="12" t="str">
        <x:v>aFRRUp_2025-01-01T00:00:00Z</x:v>
      </x:c>
      <x:c r="V19" s="12" t="str">
        <x:v>tenderStatistics_2025-01@c14c9dea784d</x:v>
      </x:c>
      <x:c r="W19" s="12" t="n">
        <x:v>13.71102309965622</x:v>
      </x:c>
      <x:c r="X19" s="12" t="str">
        <x:v>PUBLISHED_PROXY</x:v>
      </x:c>
      <x:c r="Y19" s="12" t="n">
        <x:v>200</x:v>
      </x:c>
      <x:c r="Z19" s="12" t="str">
        <x:v>aFRRDown_2025-01-01T00:00:00Z</x:v>
      </x:c>
      <x:c r="AA19" s="12" t="str">
        <x:v>tenderStatistics_2025-01@c14c9dea784d</x:v>
      </x:c>
      <x:c r="AB19" s="12" t="n">
        <x:v>14.710198829939085</x:v>
      </x:c>
      <x:c r="AC19" s="12" t="str">
        <x:v>PUBLISHED_PROXY</x:v>
      </x:c>
      <x:c r="AD19" s="12"/>
      <x:c r="AE19" s="12" t="str">
        <x:v>SOURCE_NULL_NOT_MODELED</x:v>
      </x:c>
      <x:c r="AF19" s="12"/>
      <x:c r="AG19" s="12" t="n">
        <x:v>136.70814820771596</x:v>
      </x:c>
      <x:c r="AH19" s="12" t="str">
        <x:v>PUBLISHED_PROXY</x:v>
      </x:c>
      <x:c r="AI19" s="12" t="n">
        <x:v>0.142</x:v>
      </x:c>
      <x:c r="AJ19" s="12" t="n">
        <x:v>60.1113769325104</x:v>
      </x:c>
      <x:c r="AK19" s="12" t="str">
        <x:v>PUBLISHED_PROXY</x:v>
      </x:c>
      <x:c r="AL19" s="12" t="n">
        <x:v>0.008</x:v>
      </x:c>
      <x:c r="AM19" s="12" t="str">
        <x:v>marginalPricesOverview_2025-01@5b9daf9d82d7</x:v>
      </x:c>
      <x:c r="AN19" s="12" t="str">
        <x:v>activatedBalancingEnergyOverview_2025-01@4135ac664b2a</x:v>
      </x:c>
      <x:c r="AO19" s="12" t="str">
        <x:v>PUBLISHED_NATIVE</x:v>
      </x:c>
      <x:c r="AP19" s="12" t="n">
        <x:v>0.0028399999999999</x:v>
      </x:c>
      <x:c r="AQ19" s="12" t="n">
        <x:v>0.00016</x:v>
      </x:c>
      <x:c r="AR19" s="12" t="n">
        <x:v>0.0029999999999999</x:v>
      </x:c>
      <x:c r="AS19" s="13" t="b">
        <x:v>1</x:v>
      </x:c>
      <x:c r="AT19" s="13" t="b">
        <x:v>1</x:v>
      </x:c>
      <x:c r="AU19" s="13" t="b">
        <x:v>1</x:v>
      </x:c>
      <x:c r="AV19" s="13" t="b">
        <x:v>1</x:v>
      </x:c>
      <x:c r="AW19" s="13" t="b">
        <x:v>1</x:v>
      </x:c>
      <x:c r="AX19" s="13" t="b">
        <x:v>0</x:v>
      </x:c>
      <x:c r="AY19" s="13" t="b">
        <x:v>0</x:v>
      </x:c>
      <x:c r="AZ19" s="13" t="b">
        <x:v>1</x:v>
      </x:c>
      <x:c r="BA19" s="12" t="str">
        <x:v>OK</x:v>
      </x:c>
      <x:c r="BB19" s="12" t="str">
        <x:v>OK</x:v>
      </x:c>
      <x:c r="BC19" s="12" t="str">
        <x:v>EUR</x:v>
      </x:c>
      <x:c r="BD19" s="12" t="n">
        <x:v>10</x:v>
      </x:c>
      <x:c r="BE19" s="12" t="n">
        <x:v>10</x:v>
      </x:c>
      <x:c r="BF19" s="12" t="n">
        <x:v>0</x:v>
      </x:c>
      <x:c r="BG19" s="12" t="n">
        <x:v>0</x:v>
      </x:c>
      <x:c r="BH19" s="12" t="n">
        <x:v>0</x:v>
      </x:c>
      <x:c r="BI19" s="12" t="n">
        <x:v>0</x:v>
      </x:c>
      <x:c r="BJ19" s="12" t="n">
        <x:v>0</x:v>
      </x:c>
      <x:c r="BK19" s="12" t="n">
        <x:v>0</x:v>
      </x:c>
      <x:c r="BL19" s="12" t="n">
        <x:v>0</x:v>
      </x:c>
      <x:c r="BM19" s="12" t="n">
        <x:v>0</x:v>
      </x:c>
      <x:c r="BN19" s="12" t="n">
        <x:v>0</x:v>
      </x:c>
      <x:c r="BO19" s="12" t="n">
        <x:v>0</x:v>
      </x:c>
      <x:c r="BP19" s="12" t="n">
        <x:v>0</x:v>
      </x:c>
      <x:c r="BQ19" s="12" t="n">
        <x:v>0</x:v>
      </x:c>
      <x:c r="BR19" s="12" t="n">
        <x:v>0</x:v>
      </x:c>
      <x:c r="BS19" s="12" t="n">
        <x:v>0</x:v>
      </x:c>
    </x:row>
    <x:row r="20" ht="21" customHeight="1">
      <x:c r="A20" s="14" t="n">
        <x:v>45658.03125</x:v>
      </x:c>
      <x:c r="B20" s="14" t="n">
        <x:v>45658.041666666664</x:v>
      </x:c>
      <x:c r="C20" s="14" t="n">
        <x:v>45658.114583333336</x:v>
      </x:c>
      <x:c r="D20" s="15" t="n">
        <x:v>45658</x:v>
      </x:c>
      <x:c r="E20" s="12" t="n">
        <x:v>0.25</x:v>
      </x:c>
      <x:c r="F20" s="12" t="str">
        <x:v>FORMAL</x:v>
      </x:c>
      <x:c r="G20" s="14" t="n">
        <x:v>45658</x:v>
      </x:c>
      <x:c r="H20" s="12" t="n">
        <x:v>134.06</x:v>
      </x:c>
      <x:c r="I20" s="12" t="str">
        <x:v>2025-01-01_2</x:v>
      </x:c>
      <x:c r="J20" s="12" t="n">
        <x:v>60</x:v>
      </x:c>
      <x:c r="K20" s="12" t="str">
        <x:v>DA_2025-01-01@80c3f1a8e3ee</x:v>
      </x:c>
      <x:c r="L20" s="15" t="n">
        <x:v>45657</x:v>
      </x:c>
      <x:c r="M20" s="12" t="n">
        <x:v>4.9741</x:v>
      </x:c>
      <x:c r="N20" s="12" t="str">
        <x:v>BNR2024_BOUNDARY@c4397e7f9c31</x:v>
      </x:c>
      <x:c r="O20" s="12"/>
      <x:c r="P20" s="12"/>
      <x:c r="Q20" s="12"/>
      <x:c r="R20" s="12"/>
      <x:c r="S20" s="12" t="str">
        <x:v>OUT_OF_RESEARCH_COVERAGE_PRE_2025_06</x:v>
      </x:c>
      <x:c r="T20" s="12" t="n">
        <x:v>200</x:v>
      </x:c>
      <x:c r="U20" s="12" t="str">
        <x:v>aFRRUp_2025-01-01T00:00:00Z</x:v>
      </x:c>
      <x:c r="V20" s="12" t="str">
        <x:v>tenderStatistics_2025-01@c14c9dea784d</x:v>
      </x:c>
      <x:c r="W20" s="12" t="n">
        <x:v>13.71102309965622</x:v>
      </x:c>
      <x:c r="X20" s="12" t="str">
        <x:v>PUBLISHED_PROXY</x:v>
      </x:c>
      <x:c r="Y20" s="12" t="n">
        <x:v>200</x:v>
      </x:c>
      <x:c r="Z20" s="12" t="str">
        <x:v>aFRRDown_2025-01-01T00:00:00Z</x:v>
      </x:c>
      <x:c r="AA20" s="12" t="str">
        <x:v>tenderStatistics_2025-01@c14c9dea784d</x:v>
      </x:c>
      <x:c r="AB20" s="12" t="n">
        <x:v>14.710198829939085</x:v>
      </x:c>
      <x:c r="AC20" s="12" t="str">
        <x:v>PUBLISHED_PROXY</x:v>
      </x:c>
      <x:c r="AD20" s="12"/>
      <x:c r="AE20" s="12" t="str">
        <x:v>SOURCE_NULL_NOT_MODELED</x:v>
      </x:c>
      <x:c r="AF20" s="12"/>
      <x:c r="AG20" s="12" t="n">
        <x:v>136.70814820771596</x:v>
      </x:c>
      <x:c r="AH20" s="12" t="str">
        <x:v>PUBLISHED_PROXY</x:v>
      </x:c>
      <x:c r="AI20" s="12" t="n">
        <x:v>0.083</x:v>
      </x:c>
      <x:c r="AJ20" s="12" t="n">
        <x:v>58.3020043827024</x:v>
      </x:c>
      <x:c r="AK20" s="12" t="str">
        <x:v>PUBLISHED_PROXY</x:v>
      </x:c>
      <x:c r="AL20" s="12" t="n">
        <x:v>0.059</x:v>
      </x:c>
      <x:c r="AM20" s="12" t="str">
        <x:v>marginalPricesOverview_2025-01@5b9daf9d82d7</x:v>
      </x:c>
      <x:c r="AN20" s="12" t="str">
        <x:v>activatedBalancingEnergyOverview_2025-01@4135ac664b2a</x:v>
      </x:c>
      <x:c r="AO20" s="12" t="str">
        <x:v>PUBLISHED_NATIVE</x:v>
      </x:c>
      <x:c r="AP20" s="12" t="n">
        <x:v>0.00166</x:v>
      </x:c>
      <x:c r="AQ20" s="12" t="n">
        <x:v>0.0011799999999999</x:v>
      </x:c>
      <x:c r="AR20" s="12" t="n">
        <x:v>0.0028399999999999</x:v>
      </x:c>
      <x:c r="AS20" s="13" t="b">
        <x:v>1</x:v>
      </x:c>
      <x:c r="AT20" s="13" t="b">
        <x:v>1</x:v>
      </x:c>
      <x:c r="AU20" s="13" t="b">
        <x:v>1</x:v>
      </x:c>
      <x:c r="AV20" s="13" t="b">
        <x:v>1</x:v>
      </x:c>
      <x:c r="AW20" s="13" t="b">
        <x:v>1</x:v>
      </x:c>
      <x:c r="AX20" s="13" t="b">
        <x:v>0</x:v>
      </x:c>
      <x:c r="AY20" s="13" t="b">
        <x:v>0</x:v>
      </x:c>
      <x:c r="AZ20" s="13" t="b">
        <x:v>1</x:v>
      </x:c>
      <x:c r="BA20" s="12" t="str">
        <x:v>OK</x:v>
      </x:c>
      <x:c r="BB20" s="12" t="str">
        <x:v>OK</x:v>
      </x:c>
      <x:c r="BC20" s="12" t="str">
        <x:v>EUR</x:v>
      </x:c>
      <x:c r="BD20" s="12" t="n">
        <x:v>10</x:v>
      </x:c>
      <x:c r="BE20" s="12" t="n">
        <x:v>10</x:v>
      </x:c>
      <x:c r="BF20" s="12" t="n">
        <x:v>0</x:v>
      </x:c>
      <x:c r="BG20" s="12" t="n">
        <x:v>0</x:v>
      </x:c>
      <x:c r="BH20" s="12" t="n">
        <x:v>0</x:v>
      </x:c>
      <x:c r="BI20" s="12" t="n">
        <x:v>0</x:v>
      </x:c>
      <x:c r="BJ20" s="12" t="n">
        <x:v>0</x:v>
      </x:c>
      <x:c r="BK20" s="12" t="n">
        <x:v>0</x:v>
      </x:c>
      <x:c r="BL20" s="12" t="n">
        <x:v>0</x:v>
      </x:c>
      <x:c r="BM20" s="12" t="n">
        <x:v>0</x:v>
      </x:c>
      <x:c r="BN20" s="12" t="n">
        <x:v>0</x:v>
      </x:c>
      <x:c r="BO20" s="12" t="n">
        <x:v>0</x:v>
      </x:c>
      <x:c r="BP20" s="12" t="n">
        <x:v>0</x:v>
      </x:c>
      <x:c r="BQ20" s="12" t="n">
        <x:v>0</x:v>
      </x:c>
      <x:c r="BR20" s="12" t="n">
        <x:v>0</x:v>
      </x:c>
      <x:c r="BS20" s="12" t="n">
        <x:v>0</x:v>
      </x:c>
    </x:row>
    <x:row r="21" ht="21" customHeight="1">
      <x:c r="A21" s="14" t="n">
        <x:v>45658.041666666664</x:v>
      </x:c>
      <x:c r="B21" s="14" t="n">
        <x:v>45658.052083333336</x:v>
      </x:c>
      <x:c r="C21" s="14" t="n">
        <x:v>45658.125</x:v>
      </x:c>
      <x:c r="D21" s="15" t="n">
        <x:v>45658</x:v>
      </x:c>
      <x:c r="E21" s="12" t="n">
        <x:v>0.25</x:v>
      </x:c>
      <x:c r="F21" s="12" t="str">
        <x:v>FORMAL</x:v>
      </x:c>
      <x:c r="G21" s="14" t="n">
        <x:v>45658.041666666664</x:v>
      </x:c>
      <x:c r="H21" s="12" t="n">
        <x:v>124.42</x:v>
      </x:c>
      <x:c r="I21" s="12" t="str">
        <x:v>2025-01-01_3</x:v>
      </x:c>
      <x:c r="J21" s="12" t="n">
        <x:v>60</x:v>
      </x:c>
      <x:c r="K21" s="12" t="str">
        <x:v>DA_2025-01-01@80c3f1a8e3ee</x:v>
      </x:c>
      <x:c r="L21" s="15" t="n">
        <x:v>45657</x:v>
      </x:c>
      <x:c r="M21" s="12" t="n">
        <x:v>4.9741</x:v>
      </x:c>
      <x:c r="N21" s="12" t="str">
        <x:v>BNR2024_BOUNDARY@c4397e7f9c31</x:v>
      </x:c>
      <x:c r="O21" s="12"/>
      <x:c r="P21" s="12"/>
      <x:c r="Q21" s="12"/>
      <x:c r="R21" s="12"/>
      <x:c r="S21" s="12" t="str">
        <x:v>OUT_OF_RESEARCH_COVERAGE_PRE_2025_06</x:v>
      </x:c>
      <x:c r="T21" s="12" t="n">
        <x:v>200</x:v>
      </x:c>
      <x:c r="U21" s="12" t="str">
        <x:v>aFRRUp_2025-01-01T01:00:00Z</x:v>
      </x:c>
      <x:c r="V21" s="12" t="str">
        <x:v>tenderStatistics_2025-01@c14c9dea784d</x:v>
      </x:c>
      <x:c r="W21" s="12" t="n">
        <x:v>13.71102309965622</x:v>
      </x:c>
      <x:c r="X21" s="12" t="str">
        <x:v>PUBLISHED_PROXY</x:v>
      </x:c>
      <x:c r="Y21" s="12" t="n">
        <x:v>200</x:v>
      </x:c>
      <x:c r="Z21" s="12" t="str">
        <x:v>aFRRDown_2025-01-01T01:00:00Z</x:v>
      </x:c>
      <x:c r="AA21" s="12" t="str">
        <x:v>tenderStatistics_2025-01@c14c9dea784d</x:v>
      </x:c>
      <x:c r="AB21" s="12" t="n">
        <x:v>14.710198829939085</x:v>
      </x:c>
      <x:c r="AC21" s="12" t="str">
        <x:v>PUBLISHED_PROXY</x:v>
      </x:c>
      <x:c r="AD21" s="12"/>
      <x:c r="AE21" s="12" t="str">
        <x:v>SOURCE_NULL_NOT_MODELED</x:v>
      </x:c>
      <x:c r="AF21" s="12"/>
      <x:c r="AG21" s="12" t="n">
        <x:v>136.70814820771596</x:v>
      </x:c>
      <x:c r="AH21" s="12" t="str">
        <x:v>PUBLISHED_PROXY</x:v>
      </x:c>
      <x:c r="AI21" s="12" t="n">
        <x:v>1.539</x:v>
      </x:c>
      <x:c r="AJ21" s="12" t="n">
        <x:v>60.1113769325104</x:v>
      </x:c>
      <x:c r="AK21" s="12" t="str">
        <x:v>PUBLISHED_PROXY</x:v>
      </x:c>
      <x:c r="AL21" s="12" t="n">
        <x:v>0.005</x:v>
      </x:c>
      <x:c r="AM21" s="12" t="str">
        <x:v>marginalPricesOverview_2025-01@5b9daf9d82d7</x:v>
      </x:c>
      <x:c r="AN21" s="12" t="str">
        <x:v>activatedBalancingEnergyOverview_2025-01@4135ac664b2a</x:v>
      </x:c>
      <x:c r="AO21" s="12" t="str">
        <x:v>PUBLISHED_NATIVE</x:v>
      </x:c>
      <x:c r="AP21" s="12" t="n">
        <x:v>0.03078</x:v>
      </x:c>
      <x:c r="AQ21" s="12" t="n">
        <x:v>0.0001</x:v>
      </x:c>
      <x:c r="AR21" s="12" t="n">
        <x:v>0.0308799999999999</x:v>
      </x:c>
      <x:c r="AS21" s="13" t="b">
        <x:v>1</x:v>
      </x:c>
      <x:c r="AT21" s="13" t="b">
        <x:v>1</x:v>
      </x:c>
      <x:c r="AU21" s="13" t="b">
        <x:v>1</x:v>
      </x:c>
      <x:c r="AV21" s="13" t="b">
        <x:v>1</x:v>
      </x:c>
      <x:c r="AW21" s="13" t="b">
        <x:v>1</x:v>
      </x:c>
      <x:c r="AX21" s="13" t="b">
        <x:v>0</x:v>
      </x:c>
      <x:c r="AY21" s="13" t="b">
        <x:v>0</x:v>
      </x:c>
      <x:c r="AZ21" s="13" t="b">
        <x:v>1</x:v>
      </x:c>
      <x:c r="BA21" s="12" t="str">
        <x:v>OK</x:v>
      </x:c>
      <x:c r="BB21" s="12" t="str">
        <x:v>OK</x:v>
      </x:c>
      <x:c r="BC21" s="12" t="str">
        <x:v>EUR</x:v>
      </x:c>
      <x:c r="BD21" s="12" t="n">
        <x:v>10</x:v>
      </x:c>
      <x:c r="BE21" s="12" t="n">
        <x:v>10</x:v>
      </x:c>
      <x:c r="BF21" s="12" t="n">
        <x:v>0</x:v>
      </x:c>
      <x:c r="BG21" s="12" t="n">
        <x:v>0</x:v>
      </x:c>
      <x:c r="BH21" s="12" t="n">
        <x:v>0</x:v>
      </x:c>
      <x:c r="BI21" s="12" t="n">
        <x:v>0</x:v>
      </x:c>
      <x:c r="BJ21" s="12" t="n">
        <x:v>0</x:v>
      </x:c>
      <x:c r="BK21" s="12" t="n">
        <x:v>0</x:v>
      </x:c>
      <x:c r="BL21" s="12" t="n">
        <x:v>0</x:v>
      </x:c>
      <x:c r="BM21" s="12" t="n">
        <x:v>0</x:v>
      </x:c>
      <x:c r="BN21" s="12" t="n">
        <x:v>0</x:v>
      </x:c>
      <x:c r="BO21" s="12" t="n">
        <x:v>0</x:v>
      </x:c>
      <x:c r="BP21" s="12" t="n">
        <x:v>0</x:v>
      </x:c>
      <x:c r="BQ21" s="12" t="n">
        <x:v>0</x:v>
      </x:c>
      <x:c r="BR21" s="12" t="n">
        <x:v>0</x:v>
      </x:c>
      <x:c r="BS21" s="12" t="n">
        <x:v>0</x:v>
      </x:c>
    </x:row>
    <x:row r="22" ht="21" customHeight="1">
      <x:c r="A22" s="14" t="n">
        <x:v>45658.052083333336</x:v>
      </x:c>
      <x:c r="B22" s="14" t="n">
        <x:v>45658.0625</x:v>
      </x:c>
      <x:c r="C22" s="14" t="n">
        <x:v>45658.135416666664</x:v>
      </x:c>
      <x:c r="D22" s="15" t="n">
        <x:v>45658</x:v>
      </x:c>
      <x:c r="E22" s="12" t="n">
        <x:v>0.25</x:v>
      </x:c>
      <x:c r="F22" s="12" t="str">
        <x:v>FORMAL</x:v>
      </x:c>
      <x:c r="G22" s="14" t="n">
        <x:v>45658.041666666664</x:v>
      </x:c>
      <x:c r="H22" s="12" t="n">
        <x:v>124.42</x:v>
      </x:c>
      <x:c r="I22" s="12" t="str">
        <x:v>2025-01-01_3</x:v>
      </x:c>
      <x:c r="J22" s="12" t="n">
        <x:v>60</x:v>
      </x:c>
      <x:c r="K22" s="12" t="str">
        <x:v>DA_2025-01-01@80c3f1a8e3ee</x:v>
      </x:c>
      <x:c r="L22" s="15" t="n">
        <x:v>45657</x:v>
      </x:c>
      <x:c r="M22" s="12" t="n">
        <x:v>4.9741</x:v>
      </x:c>
      <x:c r="N22" s="12" t="str">
        <x:v>BNR2024_BOUNDARY@c4397e7f9c31</x:v>
      </x:c>
      <x:c r="O22" s="12"/>
      <x:c r="P22" s="12"/>
      <x:c r="Q22" s="12"/>
      <x:c r="R22" s="12"/>
      <x:c r="S22" s="12" t="str">
        <x:v>OUT_OF_RESEARCH_COVERAGE_PRE_2025_06</x:v>
      </x:c>
      <x:c r="T22" s="12" t="n">
        <x:v>200</x:v>
      </x:c>
      <x:c r="U22" s="12" t="str">
        <x:v>aFRRUp_2025-01-01T01:00:00Z</x:v>
      </x:c>
      <x:c r="V22" s="12" t="str">
        <x:v>tenderStatistics_2025-01@c14c9dea784d</x:v>
      </x:c>
      <x:c r="W22" s="12" t="n">
        <x:v>13.71102309965622</x:v>
      </x:c>
      <x:c r="X22" s="12" t="str">
        <x:v>PUBLISHED_PROXY</x:v>
      </x:c>
      <x:c r="Y22" s="12" t="n">
        <x:v>200</x:v>
      </x:c>
      <x:c r="Z22" s="12" t="str">
        <x:v>aFRRDown_2025-01-01T01:00:00Z</x:v>
      </x:c>
      <x:c r="AA22" s="12" t="str">
        <x:v>tenderStatistics_2025-01@c14c9dea784d</x:v>
      </x:c>
      <x:c r="AB22" s="12" t="n">
        <x:v>14.710198829939085</x:v>
      </x:c>
      <x:c r="AC22" s="12" t="str">
        <x:v>PUBLISHED_PROXY</x:v>
      </x:c>
      <x:c r="AD22" s="12"/>
      <x:c r="AE22" s="12" t="str">
        <x:v>SOURCE_NULL_NOT_MODELED</x:v>
      </x:c>
      <x:c r="AF22" s="12"/>
      <x:c r="AG22" s="12" t="n">
        <x:v>136.70814820771596</x:v>
      </x:c>
      <x:c r="AH22" s="12" t="str">
        <x:v>PUBLISHED_PROXY</x:v>
      </x:c>
      <x:c r="AI22" s="12" t="n">
        <x:v>0.062</x:v>
      </x:c>
      <x:c r="AJ22" s="12" t="n">
        <x:v>60.1113769325104</x:v>
      </x:c>
      <x:c r="AK22" s="12" t="str">
        <x:v>PUBLISHED_PROXY</x:v>
      </x:c>
      <x:c r="AL22" s="12" t="n">
        <x:v>0.028</x:v>
      </x:c>
      <x:c r="AM22" s="12" t="str">
        <x:v>marginalPricesOverview_2025-01@5b9daf9d82d7</x:v>
      </x:c>
      <x:c r="AN22" s="12" t="str">
        <x:v>activatedBalancingEnergyOverview_2025-01@4135ac664b2a</x:v>
      </x:c>
      <x:c r="AO22" s="12" t="str">
        <x:v>PUBLISHED_NATIVE</x:v>
      </x:c>
      <x:c r="AP22" s="12" t="n">
        <x:v>0.00124</x:v>
      </x:c>
      <x:c r="AQ22" s="12" t="n">
        <x:v>0.00056</x:v>
      </x:c>
      <x:c r="AR22" s="12" t="n">
        <x:v>0.0018</x:v>
      </x:c>
      <x:c r="AS22" s="13" t="b">
        <x:v>1</x:v>
      </x:c>
      <x:c r="AT22" s="13" t="b">
        <x:v>1</x:v>
      </x:c>
      <x:c r="AU22" s="13" t="b">
        <x:v>1</x:v>
      </x:c>
      <x:c r="AV22" s="13" t="b">
        <x:v>1</x:v>
      </x:c>
      <x:c r="AW22" s="13" t="b">
        <x:v>1</x:v>
      </x:c>
      <x:c r="AX22" s="13" t="b">
        <x:v>0</x:v>
      </x:c>
      <x:c r="AY22" s="13" t="b">
        <x:v>0</x:v>
      </x:c>
      <x:c r="AZ22" s="13" t="b">
        <x:v>1</x:v>
      </x:c>
      <x:c r="BA22" s="12" t="str">
        <x:v>OK</x:v>
      </x:c>
      <x:c r="BB22" s="12" t="str">
        <x:v>OK</x:v>
      </x:c>
      <x:c r="BC22" s="12" t="str">
        <x:v>EUR</x:v>
      </x:c>
      <x:c r="BD22" s="12" t="n">
        <x:v>10</x:v>
      </x:c>
      <x:c r="BE22" s="12" t="n">
        <x:v>10</x:v>
      </x:c>
      <x:c r="BF22" s="12" t="n">
        <x:v>0</x:v>
      </x:c>
      <x:c r="BG22" s="12" t="n">
        <x:v>0</x:v>
      </x:c>
      <x:c r="BH22" s="12" t="n">
        <x:v>0</x:v>
      </x:c>
      <x:c r="BI22" s="12" t="n">
        <x:v>0</x:v>
      </x:c>
      <x:c r="BJ22" s="12" t="n">
        <x:v>0</x:v>
      </x:c>
      <x:c r="BK22" s="12" t="n">
        <x:v>0</x:v>
      </x:c>
      <x:c r="BL22" s="12" t="n">
        <x:v>0</x:v>
      </x:c>
      <x:c r="BM22" s="12" t="n">
        <x:v>0</x:v>
      </x:c>
      <x:c r="BN22" s="12" t="n">
        <x:v>0</x:v>
      </x:c>
      <x:c r="BO22" s="12" t="n">
        <x:v>0</x:v>
      </x:c>
      <x:c r="BP22" s="12" t="n">
        <x:v>0</x:v>
      </x:c>
      <x:c r="BQ22" s="12" t="n">
        <x:v>0</x:v>
      </x:c>
      <x:c r="BR22" s="12" t="n">
        <x:v>0</x:v>
      </x:c>
      <x:c r="BS22" s="12" t="n">
        <x:v>0</x:v>
      </x:c>
    </x:row>
    <x:row r="23" ht="21" customHeight="1">
      <x:c r="A23" s="14" t="n">
        <x:v>45658.0625</x:v>
      </x:c>
      <x:c r="B23" s="14" t="n">
        <x:v>45658.072916666664</x:v>
      </x:c>
      <x:c r="C23" s="14" t="n">
        <x:v>45658.145833333336</x:v>
      </x:c>
      <x:c r="D23" s="15" t="n">
        <x:v>45658</x:v>
      </x:c>
      <x:c r="E23" s="12" t="n">
        <x:v>0.25</x:v>
      </x:c>
      <x:c r="F23" s="12" t="str">
        <x:v>FORMAL</x:v>
      </x:c>
      <x:c r="G23" s="14" t="n">
        <x:v>45658.041666666664</x:v>
      </x:c>
      <x:c r="H23" s="12" t="n">
        <x:v>124.42</x:v>
      </x:c>
      <x:c r="I23" s="12" t="str">
        <x:v>2025-01-01_3</x:v>
      </x:c>
      <x:c r="J23" s="12" t="n">
        <x:v>60</x:v>
      </x:c>
      <x:c r="K23" s="12" t="str">
        <x:v>DA_2025-01-01@80c3f1a8e3ee</x:v>
      </x:c>
      <x:c r="L23" s="15" t="n">
        <x:v>45657</x:v>
      </x:c>
      <x:c r="M23" s="12" t="n">
        <x:v>4.9741</x:v>
      </x:c>
      <x:c r="N23" s="12" t="str">
        <x:v>BNR2024_BOUNDARY@c4397e7f9c31</x:v>
      </x:c>
      <x:c r="O23" s="12"/>
      <x:c r="P23" s="12"/>
      <x:c r="Q23" s="12"/>
      <x:c r="R23" s="12"/>
      <x:c r="S23" s="12" t="str">
        <x:v>OUT_OF_RESEARCH_COVERAGE_PRE_2025_06</x:v>
      </x:c>
      <x:c r="T23" s="12" t="n">
        <x:v>200</x:v>
      </x:c>
      <x:c r="U23" s="12" t="str">
        <x:v>aFRRUp_2025-01-01T01:00:00Z</x:v>
      </x:c>
      <x:c r="V23" s="12" t="str">
        <x:v>tenderStatistics_2025-01@c14c9dea784d</x:v>
      </x:c>
      <x:c r="W23" s="12" t="n">
        <x:v>13.71102309965622</x:v>
      </x:c>
      <x:c r="X23" s="12" t="str">
        <x:v>PUBLISHED_PROXY</x:v>
      </x:c>
      <x:c r="Y23" s="12" t="n">
        <x:v>200</x:v>
      </x:c>
      <x:c r="Z23" s="12" t="str">
        <x:v>aFRRDown_2025-01-01T01:00:00Z</x:v>
      </x:c>
      <x:c r="AA23" s="12" t="str">
        <x:v>tenderStatistics_2025-01@c14c9dea784d</x:v>
      </x:c>
      <x:c r="AB23" s="12" t="n">
        <x:v>14.710198829939085</x:v>
      </x:c>
      <x:c r="AC23" s="12" t="str">
        <x:v>PUBLISHED_PROXY</x:v>
      </x:c>
      <x:c r="AD23" s="12"/>
      <x:c r="AE23" s="12" t="str">
        <x:v>SOURCE_NULL_NOT_MODELED</x:v>
      </x:c>
      <x:c r="AF23" s="12"/>
      <x:c r="AG23" s="12" t="n">
        <x:v>136.70814820771596</x:v>
      </x:c>
      <x:c r="AH23" s="12" t="str">
        <x:v>PUBLISHED_PROXY</x:v>
      </x:c>
      <x:c r="AI23" s="12" t="n">
        <x:v>0.008</x:v>
      </x:c>
      <x:c r="AJ23" s="12" t="n">
        <x:v>60.1113769325104</x:v>
      </x:c>
      <x:c r="AK23" s="12" t="str">
        <x:v>PUBLISHED_PROXY</x:v>
      </x:c>
      <x:c r="AL23" s="12" t="n">
        <x:v>0.83</x:v>
      </x:c>
      <x:c r="AM23" s="12" t="str">
        <x:v>marginalPricesOverview_2025-01@5b9daf9d82d7</x:v>
      </x:c>
      <x:c r="AN23" s="12" t="str">
        <x:v>activatedBalancingEnergyOverview_2025-01@4135ac664b2a</x:v>
      </x:c>
      <x:c r="AO23" s="12" t="str">
        <x:v>PUBLISHED_NATIVE</x:v>
      </x:c>
      <x:c r="AP23" s="12" t="n">
        <x:v>0.00016</x:v>
      </x:c>
      <x:c r="AQ23" s="12" t="n">
        <x:v>0.0166</x:v>
      </x:c>
      <x:c r="AR23" s="12" t="n">
        <x:v>0.01676</x:v>
      </x:c>
      <x:c r="AS23" s="13" t="b">
        <x:v>1</x:v>
      </x:c>
      <x:c r="AT23" s="13" t="b">
        <x:v>1</x:v>
      </x:c>
      <x:c r="AU23" s="13" t="b">
        <x:v>1</x:v>
      </x:c>
      <x:c r="AV23" s="13" t="b">
        <x:v>1</x:v>
      </x:c>
      <x:c r="AW23" s="13" t="b">
        <x:v>1</x:v>
      </x:c>
      <x:c r="AX23" s="13" t="b">
        <x:v>0</x:v>
      </x:c>
      <x:c r="AY23" s="13" t="b">
        <x:v>0</x:v>
      </x:c>
      <x:c r="AZ23" s="13" t="b">
        <x:v>1</x:v>
      </x:c>
      <x:c r="BA23" s="12" t="str">
        <x:v>OK</x:v>
      </x:c>
      <x:c r="BB23" s="12" t="str">
        <x:v>OK</x:v>
      </x:c>
      <x:c r="BC23" s="12" t="str">
        <x:v>EUR</x:v>
      </x:c>
      <x:c r="BD23" s="12" t="n">
        <x:v>10</x:v>
      </x:c>
      <x:c r="BE23" s="12" t="n">
        <x:v>10</x:v>
      </x:c>
      <x:c r="BF23" s="12" t="n">
        <x:v>0</x:v>
      </x:c>
      <x:c r="BG23" s="12" t="n">
        <x:v>0</x:v>
      </x:c>
      <x:c r="BH23" s="12" t="n">
        <x:v>0</x:v>
      </x:c>
      <x:c r="BI23" s="12" t="n">
        <x:v>0</x:v>
      </x:c>
      <x:c r="BJ23" s="12" t="n">
        <x:v>0</x:v>
      </x:c>
      <x:c r="BK23" s="12" t="n">
        <x:v>0</x:v>
      </x:c>
      <x:c r="BL23" s="12" t="n">
        <x:v>0</x:v>
      </x:c>
      <x:c r="BM23" s="12" t="n">
        <x:v>0</x:v>
      </x:c>
      <x:c r="BN23" s="12" t="n">
        <x:v>0</x:v>
      </x:c>
      <x:c r="BO23" s="12" t="n">
        <x:v>0</x:v>
      </x:c>
      <x:c r="BP23" s="12" t="n">
        <x:v>0</x:v>
      </x:c>
      <x:c r="BQ23" s="12" t="n">
        <x:v>0</x:v>
      </x:c>
      <x:c r="BR23" s="12" t="n">
        <x:v>0</x:v>
      </x:c>
      <x:c r="BS23" s="12" t="n">
        <x:v>0</x:v>
      </x:c>
    </x:row>
    <x:row r="24" ht="21" customHeight="1">
      <x:c r="A24" s="14" t="n">
        <x:v>45658.072916666664</x:v>
      </x:c>
      <x:c r="B24" s="14" t="n">
        <x:v>45658.083333333336</x:v>
      </x:c>
      <x:c r="C24" s="14" t="n">
        <x:v>45658.15625</x:v>
      </x:c>
      <x:c r="D24" s="15" t="n">
        <x:v>45658</x:v>
      </x:c>
      <x:c r="E24" s="12" t="n">
        <x:v>0.25</x:v>
      </x:c>
      <x:c r="F24" s="12" t="str">
        <x:v>FORMAL</x:v>
      </x:c>
      <x:c r="G24" s="14" t="n">
        <x:v>45658.041666666664</x:v>
      </x:c>
      <x:c r="H24" s="12" t="n">
        <x:v>124.42</x:v>
      </x:c>
      <x:c r="I24" s="12" t="str">
        <x:v>2025-01-01_3</x:v>
      </x:c>
      <x:c r="J24" s="12" t="n">
        <x:v>60</x:v>
      </x:c>
      <x:c r="K24" s="12" t="str">
        <x:v>DA_2025-01-01@80c3f1a8e3ee</x:v>
      </x:c>
      <x:c r="L24" s="15" t="n">
        <x:v>45657</x:v>
      </x:c>
      <x:c r="M24" s="12" t="n">
        <x:v>4.9741</x:v>
      </x:c>
      <x:c r="N24" s="12" t="str">
        <x:v>BNR2024_BOUNDARY@c4397e7f9c31</x:v>
      </x:c>
      <x:c r="O24" s="12"/>
      <x:c r="P24" s="12"/>
      <x:c r="Q24" s="12"/>
      <x:c r="R24" s="12"/>
      <x:c r="S24" s="12" t="str">
        <x:v>OUT_OF_RESEARCH_COVERAGE_PRE_2025_06</x:v>
      </x:c>
      <x:c r="T24" s="12" t="n">
        <x:v>200</x:v>
      </x:c>
      <x:c r="U24" s="12" t="str">
        <x:v>aFRRUp_2025-01-01T01:00:00Z</x:v>
      </x:c>
      <x:c r="V24" s="12" t="str">
        <x:v>tenderStatistics_2025-01@c14c9dea784d</x:v>
      </x:c>
      <x:c r="W24" s="12" t="n">
        <x:v>13.71102309965622</x:v>
      </x:c>
      <x:c r="X24" s="12" t="str">
        <x:v>PUBLISHED_PROXY</x:v>
      </x:c>
      <x:c r="Y24" s="12" t="n">
        <x:v>200</x:v>
      </x:c>
      <x:c r="Z24" s="12" t="str">
        <x:v>aFRRDown_2025-01-01T01:00:00Z</x:v>
      </x:c>
      <x:c r="AA24" s="12" t="str">
        <x:v>tenderStatistics_2025-01@c14c9dea784d</x:v>
      </x:c>
      <x:c r="AB24" s="12" t="n">
        <x:v>14.710198829939085</x:v>
      </x:c>
      <x:c r="AC24" s="12" t="str">
        <x:v>PUBLISHED_PROXY</x:v>
      </x:c>
      <x:c r="AD24" s="12"/>
      <x:c r="AE24" s="12" t="str">
        <x:v>SOURCE_NULL_NOT_MODELED</x:v>
      </x:c>
      <x:c r="AF24" s="12"/>
      <x:c r="AG24" s="12" t="n">
        <x:v>136.70814820771596</x:v>
      </x:c>
      <x:c r="AH24" s="12" t="str">
        <x:v>PUBLISHED_PROXY</x:v>
      </x:c>
      <x:c r="AI24" s="12" t="n">
        <x:v>0.003</x:v>
      </x:c>
      <x:c r="AJ24" s="12" t="n">
        <x:v>56.34305703544359</x:v>
      </x:c>
      <x:c r="AK24" s="12" t="str">
        <x:v>PUBLISHED_PROXY</x:v>
      </x:c>
      <x:c r="AL24" s="12" t="n">
        <x:v>0.254</x:v>
      </x:c>
      <x:c r="AM24" s="12" t="str">
        <x:v>marginalPricesOverview_2025-01@5b9daf9d82d7</x:v>
      </x:c>
      <x:c r="AN24" s="12" t="str">
        <x:v>activatedBalancingEnergyOverview_2025-01@4135ac664b2a</x:v>
      </x:c>
      <x:c r="AO24" s="12" t="str">
        <x:v>PUBLISHED_NATIVE</x:v>
      </x:c>
      <x:c r="AP24" s="12" t="n">
        <x:v>0.00006</x:v>
      </x:c>
      <x:c r="AQ24" s="12" t="n">
        <x:v>0.00508</x:v>
      </x:c>
      <x:c r="AR24" s="12" t="n">
        <x:v>0.00514</x:v>
      </x:c>
      <x:c r="AS24" s="13" t="b">
        <x:v>1</x:v>
      </x:c>
      <x:c r="AT24" s="13" t="b">
        <x:v>1</x:v>
      </x:c>
      <x:c r="AU24" s="13" t="b">
        <x:v>1</x:v>
      </x:c>
      <x:c r="AV24" s="13" t="b">
        <x:v>1</x:v>
      </x:c>
      <x:c r="AW24" s="13" t="b">
        <x:v>1</x:v>
      </x:c>
      <x:c r="AX24" s="13" t="b">
        <x:v>0</x:v>
      </x:c>
      <x:c r="AY24" s="13" t="b">
        <x:v>0</x:v>
      </x:c>
      <x:c r="AZ24" s="13" t="b">
        <x:v>1</x:v>
      </x:c>
      <x:c r="BA24" s="12" t="str">
        <x:v>OK</x:v>
      </x:c>
      <x:c r="BB24" s="12" t="str">
        <x:v>OK</x:v>
      </x:c>
      <x:c r="BC24" s="12" t="str">
        <x:v>EUR</x:v>
      </x:c>
      <x:c r="BD24" s="12" t="n">
        <x:v>10</x:v>
      </x:c>
      <x:c r="BE24" s="12" t="n">
        <x:v>10</x:v>
      </x:c>
      <x:c r="BF24" s="12" t="n">
        <x:v>0</x:v>
      </x:c>
      <x:c r="BG24" s="12" t="n">
        <x:v>0</x:v>
      </x:c>
      <x:c r="BH24" s="12" t="n">
        <x:v>0</x:v>
      </x:c>
      <x:c r="BI24" s="12" t="n">
        <x:v>0</x:v>
      </x:c>
      <x:c r="BJ24" s="12" t="n">
        <x:v>0</x:v>
      </x:c>
      <x:c r="BK24" s="12" t="n">
        <x:v>0</x:v>
      </x:c>
      <x:c r="BL24" s="12" t="n">
        <x:v>0</x:v>
      </x:c>
      <x:c r="BM24" s="12" t="n">
        <x:v>0</x:v>
      </x:c>
      <x:c r="BN24" s="12" t="n">
        <x:v>0</x:v>
      </x:c>
      <x:c r="BO24" s="12" t="n">
        <x:v>0</x:v>
      </x:c>
      <x:c r="BP24" s="12" t="n">
        <x:v>0</x:v>
      </x:c>
      <x:c r="BQ24" s="12" t="n">
        <x:v>0</x:v>
      </x:c>
      <x:c r="BR24" s="12" t="n">
        <x:v>0</x:v>
      </x:c>
      <x:c r="BS24" s="12" t="n">
        <x:v>0</x:v>
      </x:c>
    </x:row>
    <x:row r="25" ht="21" customHeight="1">
      <x:c r="A25" s="14" t="n">
        <x:v>45658.083333333336</x:v>
      </x:c>
      <x:c r="B25" s="14" t="n">
        <x:v>45658.09375</x:v>
      </x:c>
      <x:c r="C25" s="14" t="n">
        <x:v>45658.166666666664</x:v>
      </x:c>
      <x:c r="D25" s="15" t="n">
        <x:v>45658</x:v>
      </x:c>
      <x:c r="E25" s="12" t="n">
        <x:v>0.25</x:v>
      </x:c>
      <x:c r="F25" s="12" t="str">
        <x:v>FORMAL</x:v>
      </x:c>
      <x:c r="G25" s="14" t="n">
        <x:v>45658.083333333336</x:v>
      </x:c>
      <x:c r="H25" s="12" t="n">
        <x:v>84.48</x:v>
      </x:c>
      <x:c r="I25" s="12" t="str">
        <x:v>2025-01-01_4</x:v>
      </x:c>
      <x:c r="J25" s="12" t="n">
        <x:v>60</x:v>
      </x:c>
      <x:c r="K25" s="12" t="str">
        <x:v>DA_2025-01-01@80c3f1a8e3ee</x:v>
      </x:c>
      <x:c r="L25" s="15" t="n">
        <x:v>45657</x:v>
      </x:c>
      <x:c r="M25" s="12" t="n">
        <x:v>4.9741</x:v>
      </x:c>
      <x:c r="N25" s="12" t="str">
        <x:v>BNR2024_BOUNDARY@c4397e7f9c31</x:v>
      </x:c>
      <x:c r="O25" s="12"/>
      <x:c r="P25" s="12"/>
      <x:c r="Q25" s="12"/>
      <x:c r="R25" s="12"/>
      <x:c r="S25" s="12" t="str">
        <x:v>OUT_OF_RESEARCH_COVERAGE_PRE_2025_06</x:v>
      </x:c>
      <x:c r="T25" s="12" t="n">
        <x:v>200</x:v>
      </x:c>
      <x:c r="U25" s="12" t="str">
        <x:v>aFRRUp_2025-01-01T02:00:00Z</x:v>
      </x:c>
      <x:c r="V25" s="12" t="str">
        <x:v>tenderStatistics_2025-01@c14c9dea784d</x:v>
      </x:c>
      <x:c r="W25" s="12" t="n">
        <x:v>13.71102309965622</x:v>
      </x:c>
      <x:c r="X25" s="12" t="str">
        <x:v>PUBLISHED_PROXY</x:v>
      </x:c>
      <x:c r="Y25" s="12" t="n">
        <x:v>200</x:v>
      </x:c>
      <x:c r="Z25" s="12" t="str">
        <x:v>aFRRDown_2025-01-01T02:00:00Z</x:v>
      </x:c>
      <x:c r="AA25" s="12" t="str">
        <x:v>tenderStatistics_2025-01@c14c9dea784d</x:v>
      </x:c>
      <x:c r="AB25" s="12" t="n">
        <x:v>14.710198829939085</x:v>
      </x:c>
      <x:c r="AC25" s="12" t="str">
        <x:v>PUBLISHED_PROXY</x:v>
      </x:c>
      <x:c r="AD25" s="12"/>
      <x:c r="AE25" s="12" t="str">
        <x:v>SOURCE_NULL_NOT_MODELED</x:v>
      </x:c>
      <x:c r="AF25" s="12"/>
      <x:c r="AG25" s="12" t="n">
        <x:v>0</x:v>
      </x:c>
      <x:c r="AH25" s="12" t="str">
        <x:v>PUBLISHED_PROXY</x:v>
      </x:c>
      <x:c r="AI25" s="12" t="n">
        <x:v>0</x:v>
      </x:c>
      <x:c r="AJ25" s="12" t="n">
        <x:v>59.99195834422308</x:v>
      </x:c>
      <x:c r="AK25" s="12" t="str">
        <x:v>PUBLISHED_PROXY</x:v>
      </x:c>
      <x:c r="AL25" s="12" t="n">
        <x:v>0.667</x:v>
      </x:c>
      <x:c r="AM25" s="12" t="str">
        <x:v>marginalPricesOverview_2025-01@5b9daf9d82d7</x:v>
      </x:c>
      <x:c r="AN25" s="12" t="str">
        <x:v>activatedBalancingEnergyOverview_2025-01@4135ac664b2a</x:v>
      </x:c>
      <x:c r="AO25" s="12" t="str">
        <x:v>PUBLISHED_NATIVE</x:v>
      </x:c>
      <x:c r="AP25" s="12" t="n">
        <x:v>0</x:v>
      </x:c>
      <x:c r="AQ25" s="12" t="n">
        <x:v>0.01334</x:v>
      </x:c>
      <x:c r="AR25" s="12" t="n">
        <x:v>0.01334</x:v>
      </x:c>
      <x:c r="AS25" s="13" t="b">
        <x:v>1</x:v>
      </x:c>
      <x:c r="AT25" s="13" t="b">
        <x:v>1</x:v>
      </x:c>
      <x:c r="AU25" s="13" t="b">
        <x:v>1</x:v>
      </x:c>
      <x:c r="AV25" s="13" t="b">
        <x:v>1</x:v>
      </x:c>
      <x:c r="AW25" s="13" t="b">
        <x:v>1</x:v>
      </x:c>
      <x:c r="AX25" s="13" t="b">
        <x:v>0</x:v>
      </x:c>
      <x:c r="AY25" s="13" t="b">
        <x:v>0</x:v>
      </x:c>
      <x:c r="AZ25" s="13" t="b">
        <x:v>1</x:v>
      </x:c>
      <x:c r="BA25" s="12" t="str">
        <x:v>OK</x:v>
      </x:c>
      <x:c r="BB25" s="12" t="str">
        <x:v>OK</x:v>
      </x:c>
      <x:c r="BC25" s="12" t="str">
        <x:v>EUR</x:v>
      </x:c>
      <x:c r="BD25" s="12" t="n">
        <x:v>10</x:v>
      </x:c>
      <x:c r="BE25" s="12" t="n">
        <x:v>10</x:v>
      </x:c>
      <x:c r="BF25" s="12" t="n">
        <x:v>0</x:v>
      </x:c>
      <x:c r="BG25" s="12" t="n">
        <x:v>0</x:v>
      </x:c>
      <x:c r="BH25" s="12" t="n">
        <x:v>0</x:v>
      </x:c>
      <x:c r="BI25" s="12" t="n">
        <x:v>0</x:v>
      </x:c>
      <x:c r="BJ25" s="12" t="n">
        <x:v>0</x:v>
      </x:c>
      <x:c r="BK25" s="12" t="n">
        <x:v>0</x:v>
      </x:c>
      <x:c r="BL25" s="12" t="n">
        <x:v>0</x:v>
      </x:c>
      <x:c r="BM25" s="12" t="n">
        <x:v>0</x:v>
      </x:c>
      <x:c r="BN25" s="12" t="n">
        <x:v>0</x:v>
      </x:c>
      <x:c r="BO25" s="12" t="n">
        <x:v>0</x:v>
      </x:c>
      <x:c r="BP25" s="12" t="n">
        <x:v>0</x:v>
      </x:c>
      <x:c r="BQ25" s="12" t="n">
        <x:v>0</x:v>
      </x:c>
      <x:c r="BR25" s="12" t="n">
        <x:v>0</x:v>
      </x:c>
      <x:c r="BS25" s="12" t="n">
        <x:v>0</x:v>
      </x:c>
    </x:row>
    <x:row r="26" ht="21" customHeight="1">
      <x:c r="A26" s="14" t="n">
        <x:v>45658.09375</x:v>
      </x:c>
      <x:c r="B26" s="14" t="n">
        <x:v>45658.104166666664</x:v>
      </x:c>
      <x:c r="C26" s="14" t="n">
        <x:v>45658.177083333336</x:v>
      </x:c>
      <x:c r="D26" s="15" t="n">
        <x:v>45658</x:v>
      </x:c>
      <x:c r="E26" s="12" t="n">
        <x:v>0.25</x:v>
      </x:c>
      <x:c r="F26" s="12" t="str">
        <x:v>FORMAL</x:v>
      </x:c>
      <x:c r="G26" s="14" t="n">
        <x:v>45658.083333333336</x:v>
      </x:c>
      <x:c r="H26" s="12" t="n">
        <x:v>84.48</x:v>
      </x:c>
      <x:c r="I26" s="12" t="str">
        <x:v>2025-01-01_4</x:v>
      </x:c>
      <x:c r="J26" s="12" t="n">
        <x:v>60</x:v>
      </x:c>
      <x:c r="K26" s="12" t="str">
        <x:v>DA_2025-01-01@80c3f1a8e3ee</x:v>
      </x:c>
      <x:c r="L26" s="15" t="n">
        <x:v>45657</x:v>
      </x:c>
      <x:c r="M26" s="12" t="n">
        <x:v>4.9741</x:v>
      </x:c>
      <x:c r="N26" s="12" t="str">
        <x:v>BNR2024_BOUNDARY@c4397e7f9c31</x:v>
      </x:c>
      <x:c r="O26" s="12"/>
      <x:c r="P26" s="12"/>
      <x:c r="Q26" s="12"/>
      <x:c r="R26" s="12"/>
      <x:c r="S26" s="12" t="str">
        <x:v>OUT_OF_RESEARCH_COVERAGE_PRE_2025_06</x:v>
      </x:c>
      <x:c r="T26" s="12" t="n">
        <x:v>200</x:v>
      </x:c>
      <x:c r="U26" s="12" t="str">
        <x:v>aFRRUp_2025-01-01T02:00:00Z</x:v>
      </x:c>
      <x:c r="V26" s="12" t="str">
        <x:v>tenderStatistics_2025-01@c14c9dea784d</x:v>
      </x:c>
      <x:c r="W26" s="12" t="n">
        <x:v>13.71102309965622</x:v>
      </x:c>
      <x:c r="X26" s="12" t="str">
        <x:v>PUBLISHED_PROXY</x:v>
      </x:c>
      <x:c r="Y26" s="12" t="n">
        <x:v>200</x:v>
      </x:c>
      <x:c r="Z26" s="12" t="str">
        <x:v>aFRRDown_2025-01-01T02:00:00Z</x:v>
      </x:c>
      <x:c r="AA26" s="12" t="str">
        <x:v>tenderStatistics_2025-01@c14c9dea784d</x:v>
      </x:c>
      <x:c r="AB26" s="12" t="n">
        <x:v>14.710198829939085</x:v>
      </x:c>
      <x:c r="AC26" s="12" t="str">
        <x:v>PUBLISHED_PROXY</x:v>
      </x:c>
      <x:c r="AD26" s="12"/>
      <x:c r="AE26" s="12" t="str">
        <x:v>SOURCE_NULL_NOT_MODELED</x:v>
      </x:c>
      <x:c r="AF26" s="12"/>
      <x:c r="AG26" s="12" t="n">
        <x:v>136.70814820771596</x:v>
      </x:c>
      <x:c r="AH26" s="12" t="str">
        <x:v>PUBLISHED_PROXY</x:v>
      </x:c>
      <x:c r="AI26" s="12" t="n">
        <x:v>1.002</x:v>
      </x:c>
      <x:c r="AJ26" s="12" t="n">
        <x:v>59.1240626444985</x:v>
      </x:c>
      <x:c r="AK26" s="12" t="str">
        <x:v>PUBLISHED_PROXY</x:v>
      </x:c>
      <x:c r="AL26" s="12" t="n">
        <x:v>0.788</x:v>
      </x:c>
      <x:c r="AM26" s="12" t="str">
        <x:v>marginalPricesOverview_2025-01@5b9daf9d82d7</x:v>
      </x:c>
      <x:c r="AN26" s="12" t="str">
        <x:v>activatedBalancingEnergyOverview_2025-01@4135ac664b2a</x:v>
      </x:c>
      <x:c r="AO26" s="12" t="str">
        <x:v>PUBLISHED_NATIVE</x:v>
      </x:c>
      <x:c r="AP26" s="12" t="n">
        <x:v>0.02004</x:v>
      </x:c>
      <x:c r="AQ26" s="12" t="n">
        <x:v>0.01576</x:v>
      </x:c>
      <x:c r="AR26" s="12" t="n">
        <x:v>0.0358</x:v>
      </x:c>
      <x:c r="AS26" s="13" t="b">
        <x:v>1</x:v>
      </x:c>
      <x:c r="AT26" s="13" t="b">
        <x:v>1</x:v>
      </x:c>
      <x:c r="AU26" s="13" t="b">
        <x:v>1</x:v>
      </x:c>
      <x:c r="AV26" s="13" t="b">
        <x:v>1</x:v>
      </x:c>
      <x:c r="AW26" s="13" t="b">
        <x:v>1</x:v>
      </x:c>
      <x:c r="AX26" s="13" t="b">
        <x:v>0</x:v>
      </x:c>
      <x:c r="AY26" s="13" t="b">
        <x:v>0</x:v>
      </x:c>
      <x:c r="AZ26" s="13" t="b">
        <x:v>1</x:v>
      </x:c>
      <x:c r="BA26" s="12" t="str">
        <x:v>OK</x:v>
      </x:c>
      <x:c r="BB26" s="12" t="str">
        <x:v>OK</x:v>
      </x:c>
      <x:c r="BC26" s="12" t="str">
        <x:v>EUR</x:v>
      </x:c>
      <x:c r="BD26" s="12" t="n">
        <x:v>10</x:v>
      </x:c>
      <x:c r="BE26" s="12" t="n">
        <x:v>10</x:v>
      </x:c>
      <x:c r="BF26" s="12" t="n">
        <x:v>0</x:v>
      </x:c>
      <x:c r="BG26" s="12" t="n">
        <x:v>0</x:v>
      </x:c>
      <x:c r="BH26" s="12" t="n">
        <x:v>0</x:v>
      </x:c>
      <x:c r="BI26" s="12" t="n">
        <x:v>0</x:v>
      </x:c>
      <x:c r="BJ26" s="12" t="n">
        <x:v>0</x:v>
      </x:c>
      <x:c r="BK26" s="12" t="n">
        <x:v>0</x:v>
      </x:c>
      <x:c r="BL26" s="12" t="n">
        <x:v>0</x:v>
      </x:c>
      <x:c r="BM26" s="12" t="n">
        <x:v>0</x:v>
      </x:c>
      <x:c r="BN26" s="12" t="n">
        <x:v>0</x:v>
      </x:c>
      <x:c r="BO26" s="12" t="n">
        <x:v>0</x:v>
      </x:c>
      <x:c r="BP26" s="12" t="n">
        <x:v>0</x:v>
      </x:c>
      <x:c r="BQ26" s="12" t="n">
        <x:v>0</x:v>
      </x:c>
      <x:c r="BR26" s="12" t="n">
        <x:v>0</x:v>
      </x:c>
      <x:c r="BS26" s="12" t="n">
        <x:v>0</x:v>
      </x:c>
    </x:row>
    <x:row r="27" ht="21" customHeight="1">
      <x:c r="A27" s="14" t="n">
        <x:v>45658.104166666664</x:v>
      </x:c>
      <x:c r="B27" s="14" t="n">
        <x:v>45658.114583333336</x:v>
      </x:c>
      <x:c r="C27" s="14" t="n">
        <x:v>45658.1875</x:v>
      </x:c>
      <x:c r="D27" s="15" t="n">
        <x:v>45658</x:v>
      </x:c>
      <x:c r="E27" s="12" t="n">
        <x:v>0.25</x:v>
      </x:c>
      <x:c r="F27" s="12" t="str">
        <x:v>FORMAL</x:v>
      </x:c>
      <x:c r="G27" s="14" t="n">
        <x:v>45658.083333333336</x:v>
      </x:c>
      <x:c r="H27" s="12" t="n">
        <x:v>84.48</x:v>
      </x:c>
      <x:c r="I27" s="12" t="str">
        <x:v>2025-01-01_4</x:v>
      </x:c>
      <x:c r="J27" s="12" t="n">
        <x:v>60</x:v>
      </x:c>
      <x:c r="K27" s="12" t="str">
        <x:v>DA_2025-01-01@80c3f1a8e3ee</x:v>
      </x:c>
      <x:c r="L27" s="15" t="n">
        <x:v>45657</x:v>
      </x:c>
      <x:c r="M27" s="12" t="n">
        <x:v>4.9741</x:v>
      </x:c>
      <x:c r="N27" s="12" t="str">
        <x:v>BNR2024_BOUNDARY@c4397e7f9c31</x:v>
      </x:c>
      <x:c r="O27" s="12"/>
      <x:c r="P27" s="12"/>
      <x:c r="Q27" s="12"/>
      <x:c r="R27" s="12"/>
      <x:c r="S27" s="12" t="str">
        <x:v>OUT_OF_RESEARCH_COVERAGE_PRE_2025_06</x:v>
      </x:c>
      <x:c r="T27" s="12" t="n">
        <x:v>200</x:v>
      </x:c>
      <x:c r="U27" s="12" t="str">
        <x:v>aFRRUp_2025-01-01T02:00:00Z</x:v>
      </x:c>
      <x:c r="V27" s="12" t="str">
        <x:v>tenderStatistics_2025-01@c14c9dea784d</x:v>
      </x:c>
      <x:c r="W27" s="12" t="n">
        <x:v>13.71102309965622</x:v>
      </x:c>
      <x:c r="X27" s="12" t="str">
        <x:v>PUBLISHED_PROXY</x:v>
      </x:c>
      <x:c r="Y27" s="12" t="n">
        <x:v>200</x:v>
      </x:c>
      <x:c r="Z27" s="12" t="str">
        <x:v>aFRRDown_2025-01-01T02:00:00Z</x:v>
      </x:c>
      <x:c r="AA27" s="12" t="str">
        <x:v>tenderStatistics_2025-01@c14c9dea784d</x:v>
      </x:c>
      <x:c r="AB27" s="12" t="n">
        <x:v>14.710198829939085</x:v>
      </x:c>
      <x:c r="AC27" s="12" t="str">
        <x:v>PUBLISHED_PROXY</x:v>
      </x:c>
      <x:c r="AD27" s="12"/>
      <x:c r="AE27" s="12" t="str">
        <x:v>SOURCE_NULL_NOT_MODELED</x:v>
      </x:c>
      <x:c r="AF27" s="12"/>
      <x:c r="AG27" s="12" t="n">
        <x:v>136.70814820771596</x:v>
      </x:c>
      <x:c r="AH27" s="12" t="str">
        <x:v>PUBLISHED_PROXY</x:v>
      </x:c>
      <x:c r="AI27" s="12" t="n">
        <x:v>2.299</x:v>
      </x:c>
      <x:c r="AJ27" s="12" t="n">
        <x:v>0</x:v>
      </x:c>
      <x:c r="AK27" s="12" t="str">
        <x:v>PUBLISHED_PROXY</x:v>
      </x:c>
      <x:c r="AL27" s="12" t="n">
        <x:v>0</x:v>
      </x:c>
      <x:c r="AM27" s="12" t="str">
        <x:v>marginalPricesOverview_2025-01@5b9daf9d82d7</x:v>
      </x:c>
      <x:c r="AN27" s="12" t="str">
        <x:v>activatedBalancingEnergyOverview_2025-01@4135ac664b2a</x:v>
      </x:c>
      <x:c r="AO27" s="12" t="str">
        <x:v>PUBLISHED_NATIVE</x:v>
      </x:c>
      <x:c r="AP27" s="12" t="n">
        <x:v>0.04598</x:v>
      </x:c>
      <x:c r="AQ27" s="12" t="n">
        <x:v>0</x:v>
      </x:c>
      <x:c r="AR27" s="12" t="n">
        <x:v>0.04598</x:v>
      </x:c>
      <x:c r="AS27" s="13" t="b">
        <x:v>1</x:v>
      </x:c>
      <x:c r="AT27" s="13" t="b">
        <x:v>1</x:v>
      </x:c>
      <x:c r="AU27" s="13" t="b">
        <x:v>1</x:v>
      </x:c>
      <x:c r="AV27" s="13" t="b">
        <x:v>1</x:v>
      </x:c>
      <x:c r="AW27" s="13" t="b">
        <x:v>1</x:v>
      </x:c>
      <x:c r="AX27" s="13" t="b">
        <x:v>0</x:v>
      </x:c>
      <x:c r="AY27" s="13" t="b">
        <x:v>0</x:v>
      </x:c>
      <x:c r="AZ27" s="13" t="b">
        <x:v>1</x:v>
      </x:c>
      <x:c r="BA27" s="12" t="str">
        <x:v>OK</x:v>
      </x:c>
      <x:c r="BB27" s="12" t="str">
        <x:v>OK</x:v>
      </x:c>
      <x:c r="BC27" s="12" t="str">
        <x:v>EUR</x:v>
      </x:c>
      <x:c r="BD27" s="12" t="n">
        <x:v>10</x:v>
      </x:c>
      <x:c r="BE27" s="12" t="n">
        <x:v>10</x:v>
      </x:c>
      <x:c r="BF27" s="12" t="n">
        <x:v>0</x:v>
      </x:c>
      <x:c r="BG27" s="12" t="n">
        <x:v>0</x:v>
      </x:c>
      <x:c r="BH27" s="12" t="n">
        <x:v>0</x:v>
      </x:c>
      <x:c r="BI27" s="12" t="n">
        <x:v>0</x:v>
      </x:c>
      <x:c r="BJ27" s="12" t="n">
        <x:v>0</x:v>
      </x:c>
      <x:c r="BK27" s="12" t="n">
        <x:v>0</x:v>
      </x:c>
      <x:c r="BL27" s="12" t="n">
        <x:v>0</x:v>
      </x:c>
      <x:c r="BM27" s="12" t="n">
        <x:v>0</x:v>
      </x:c>
      <x:c r="BN27" s="12" t="n">
        <x:v>0</x:v>
      </x:c>
      <x:c r="BO27" s="12" t="n">
        <x:v>0</x:v>
      </x:c>
      <x:c r="BP27" s="12" t="n">
        <x:v>0</x:v>
      </x:c>
      <x:c r="BQ27" s="12" t="n">
        <x:v>0</x:v>
      </x:c>
      <x:c r="BR27" s="12" t="n">
        <x:v>0</x:v>
      </x:c>
      <x:c r="BS27" s="12" t="n">
        <x:v>0</x:v>
      </x:c>
    </x:row>
    <x:row r="28" ht="21" customHeight="1">
      <x:c r="A28" s="14" t="n">
        <x:v>45658.114583333336</x:v>
      </x:c>
      <x:c r="B28" s="14" t="n">
        <x:v>45658.125</x:v>
      </x:c>
      <x:c r="C28" s="14" t="n">
        <x:v>45658.197916666664</x:v>
      </x:c>
      <x:c r="D28" s="15" t="n">
        <x:v>45658</x:v>
      </x:c>
      <x:c r="E28" s="12" t="n">
        <x:v>0.25</x:v>
      </x:c>
      <x:c r="F28" s="12" t="str">
        <x:v>FORMAL</x:v>
      </x:c>
      <x:c r="G28" s="14" t="n">
        <x:v>45658.083333333336</x:v>
      </x:c>
      <x:c r="H28" s="12" t="n">
        <x:v>84.48</x:v>
      </x:c>
      <x:c r="I28" s="12" t="str">
        <x:v>2025-01-01_4</x:v>
      </x:c>
      <x:c r="J28" s="12" t="n">
        <x:v>60</x:v>
      </x:c>
      <x:c r="K28" s="12" t="str">
        <x:v>DA_2025-01-01@80c3f1a8e3ee</x:v>
      </x:c>
      <x:c r="L28" s="15" t="n">
        <x:v>45657</x:v>
      </x:c>
      <x:c r="M28" s="12" t="n">
        <x:v>4.9741</x:v>
      </x:c>
      <x:c r="N28" s="12" t="str">
        <x:v>BNR2024_BOUNDARY@c4397e7f9c31</x:v>
      </x:c>
      <x:c r="O28" s="12"/>
      <x:c r="P28" s="12"/>
      <x:c r="Q28" s="12"/>
      <x:c r="R28" s="12"/>
      <x:c r="S28" s="12" t="str">
        <x:v>OUT_OF_RESEARCH_COVERAGE_PRE_2025_06</x:v>
      </x:c>
      <x:c r="T28" s="12" t="n">
        <x:v>200</x:v>
      </x:c>
      <x:c r="U28" s="12" t="str">
        <x:v>aFRRUp_2025-01-01T02:00:00Z</x:v>
      </x:c>
      <x:c r="V28" s="12" t="str">
        <x:v>tenderStatistics_2025-01@c14c9dea784d</x:v>
      </x:c>
      <x:c r="W28" s="12" t="n">
        <x:v>13.71102309965622</x:v>
      </x:c>
      <x:c r="X28" s="12" t="str">
        <x:v>PUBLISHED_PROXY</x:v>
      </x:c>
      <x:c r="Y28" s="12" t="n">
        <x:v>200</x:v>
      </x:c>
      <x:c r="Z28" s="12" t="str">
        <x:v>aFRRDown_2025-01-01T02:00:00Z</x:v>
      </x:c>
      <x:c r="AA28" s="12" t="str">
        <x:v>tenderStatistics_2025-01@c14c9dea784d</x:v>
      </x:c>
      <x:c r="AB28" s="12" t="n">
        <x:v>14.710198829939085</x:v>
      </x:c>
      <x:c r="AC28" s="12" t="str">
        <x:v>PUBLISHED_PROXY</x:v>
      </x:c>
      <x:c r="AD28" s="12"/>
      <x:c r="AE28" s="12" t="str">
        <x:v>SOURCE_NULL_NOT_MODELED</x:v>
      </x:c>
      <x:c r="AF28" s="12"/>
      <x:c r="AG28" s="12" t="n">
        <x:v>136.70814820771596</x:v>
      </x:c>
      <x:c r="AH28" s="12" t="str">
        <x:v>PUBLISHED_PROXY</x:v>
      </x:c>
      <x:c r="AI28" s="12" t="n">
        <x:v>0.128</x:v>
      </x:c>
      <x:c r="AJ28" s="12" t="n">
        <x:v>60.1113769325104</x:v>
      </x:c>
      <x:c r="AK28" s="12" t="str">
        <x:v>PUBLISHED_PROXY</x:v>
      </x:c>
      <x:c r="AL28" s="12" t="n">
        <x:v>0.211</x:v>
      </x:c>
      <x:c r="AM28" s="12" t="str">
        <x:v>marginalPricesOverview_2025-01@5b9daf9d82d7</x:v>
      </x:c>
      <x:c r="AN28" s="12" t="str">
        <x:v>activatedBalancingEnergyOverview_2025-01@4135ac664b2a</x:v>
      </x:c>
      <x:c r="AO28" s="12" t="str">
        <x:v>PUBLISHED_NATIVE</x:v>
      </x:c>
      <x:c r="AP28" s="12" t="n">
        <x:v>0.00256</x:v>
      </x:c>
      <x:c r="AQ28" s="12" t="n">
        <x:v>0.00422</x:v>
      </x:c>
      <x:c r="AR28" s="12" t="n">
        <x:v>0.00678</x:v>
      </x:c>
      <x:c r="AS28" s="13" t="b">
        <x:v>1</x:v>
      </x:c>
      <x:c r="AT28" s="13" t="b">
        <x:v>1</x:v>
      </x:c>
      <x:c r="AU28" s="13" t="b">
        <x:v>1</x:v>
      </x:c>
      <x:c r="AV28" s="13" t="b">
        <x:v>1</x:v>
      </x:c>
      <x:c r="AW28" s="13" t="b">
        <x:v>1</x:v>
      </x:c>
      <x:c r="AX28" s="13" t="b">
        <x:v>0</x:v>
      </x:c>
      <x:c r="AY28" s="13" t="b">
        <x:v>0</x:v>
      </x:c>
      <x:c r="AZ28" s="13" t="b">
        <x:v>1</x:v>
      </x:c>
      <x:c r="BA28" s="12" t="str">
        <x:v>OK</x:v>
      </x:c>
      <x:c r="BB28" s="12" t="str">
        <x:v>OK</x:v>
      </x:c>
      <x:c r="BC28" s="12" t="str">
        <x:v>EUR</x:v>
      </x:c>
      <x:c r="BD28" s="12" t="n">
        <x:v>10</x:v>
      </x:c>
      <x:c r="BE28" s="12" t="n">
        <x:v>10</x:v>
      </x:c>
      <x:c r="BF28" s="12" t="n">
        <x:v>0</x:v>
      </x:c>
      <x:c r="BG28" s="12" t="n">
        <x:v>0</x:v>
      </x:c>
      <x:c r="BH28" s="12" t="n">
        <x:v>0</x:v>
      </x:c>
      <x:c r="BI28" s="12" t="n">
        <x:v>0</x:v>
      </x:c>
      <x:c r="BJ28" s="12" t="n">
        <x:v>0</x:v>
      </x:c>
      <x:c r="BK28" s="12" t="n">
        <x:v>0</x:v>
      </x:c>
      <x:c r="BL28" s="12" t="n">
        <x:v>0</x:v>
      </x:c>
      <x:c r="BM28" s="12" t="n">
        <x:v>0</x:v>
      </x:c>
      <x:c r="BN28" s="12" t="n">
        <x:v>0</x:v>
      </x:c>
      <x:c r="BO28" s="12" t="n">
        <x:v>0</x:v>
      </x:c>
      <x:c r="BP28" s="12" t="n">
        <x:v>0</x:v>
      </x:c>
      <x:c r="BQ28" s="12" t="n">
        <x:v>0</x:v>
      </x:c>
      <x:c r="BR28" s="12" t="n">
        <x:v>0</x:v>
      </x:c>
      <x:c r="BS28" s="12" t="n">
        <x:v>0</x:v>
      </x:c>
    </x:row>
    <x:row r="29" ht="21" customHeight="1">
      <x:c r="A29" s="14" t="n">
        <x:v>45658.125</x:v>
      </x:c>
      <x:c r="B29" s="14" t="n">
        <x:v>45658.135416666664</x:v>
      </x:c>
      <x:c r="C29" s="14" t="n">
        <x:v>45658.208333333336</x:v>
      </x:c>
      <x:c r="D29" s="15" t="n">
        <x:v>45658</x:v>
      </x:c>
      <x:c r="E29" s="12" t="n">
        <x:v>0.25</x:v>
      </x:c>
      <x:c r="F29" s="12" t="str">
        <x:v>FORMAL</x:v>
      </x:c>
      <x:c r="G29" s="14" t="n">
        <x:v>45658.125</x:v>
      </x:c>
      <x:c r="H29" s="12" t="n">
        <x:v>64.28</x:v>
      </x:c>
      <x:c r="I29" s="12" t="str">
        <x:v>2025-01-01_5</x:v>
      </x:c>
      <x:c r="J29" s="12" t="n">
        <x:v>60</x:v>
      </x:c>
      <x:c r="K29" s="12" t="str">
        <x:v>DA_2025-01-01@80c3f1a8e3ee</x:v>
      </x:c>
      <x:c r="L29" s="15" t="n">
        <x:v>45657</x:v>
      </x:c>
      <x:c r="M29" s="12" t="n">
        <x:v>4.9741</x:v>
      </x:c>
      <x:c r="N29" s="12" t="str">
        <x:v>BNR2024_BOUNDARY@c4397e7f9c31</x:v>
      </x:c>
      <x:c r="O29" s="12"/>
      <x:c r="P29" s="12"/>
      <x:c r="Q29" s="12"/>
      <x:c r="R29" s="12"/>
      <x:c r="S29" s="12" t="str">
        <x:v>OUT_OF_RESEARCH_COVERAGE_PRE_2025_06</x:v>
      </x:c>
      <x:c r="T29" s="12" t="n">
        <x:v>200</x:v>
      </x:c>
      <x:c r="U29" s="12" t="str">
        <x:v>aFRRUp_2025-01-01T03:00:00Z</x:v>
      </x:c>
      <x:c r="V29" s="12" t="str">
        <x:v>tenderStatistics_2025-01@c14c9dea784d</x:v>
      </x:c>
      <x:c r="W29" s="12" t="n">
        <x:v>13.71102309965622</x:v>
      </x:c>
      <x:c r="X29" s="12" t="str">
        <x:v>PUBLISHED_PROXY</x:v>
      </x:c>
      <x:c r="Y29" s="12" t="n">
        <x:v>200</x:v>
      </x:c>
      <x:c r="Z29" s="12" t="str">
        <x:v>aFRRDown_2025-01-01T03:00:00Z</x:v>
      </x:c>
      <x:c r="AA29" s="12" t="str">
        <x:v>tenderStatistics_2025-01@c14c9dea784d</x:v>
      </x:c>
      <x:c r="AB29" s="12" t="n">
        <x:v>14.173418306829376</x:v>
      </x:c>
      <x:c r="AC29" s="12" t="str">
        <x:v>PUBLISHED_PROXY</x:v>
      </x:c>
      <x:c r="AD29" s="12"/>
      <x:c r="AE29" s="12" t="str">
        <x:v>SOURCE_NULL_NOT_MODELED</x:v>
      </x:c>
      <x:c r="AF29" s="12"/>
      <x:c r="AG29" s="12" t="n">
        <x:v>152.06087533423133</x:v>
      </x:c>
      <x:c r="AH29" s="12" t="str">
        <x:v>PUBLISHED_PROXY</x:v>
      </x:c>
      <x:c r="AI29" s="12" t="n">
        <x:v>9.186</x:v>
      </x:c>
      <x:c r="AJ29" s="12" t="n">
        <x:v>0</x:v>
      </x:c>
      <x:c r="AK29" s="12" t="str">
        <x:v>PUBLISHED_PROXY</x:v>
      </x:c>
      <x:c r="AL29" s="12" t="n">
        <x:v>0</x:v>
      </x:c>
      <x:c r="AM29" s="12" t="str">
        <x:v>marginalPricesOverview_2025-01@5b9daf9d82d7</x:v>
      </x:c>
      <x:c r="AN29" s="12" t="str">
        <x:v>activatedBalancingEnergyOverview_2025-01@4135ac664b2a</x:v>
      </x:c>
      <x:c r="AO29" s="12" t="str">
        <x:v>PUBLISHED_NATIVE</x:v>
      </x:c>
      <x:c r="AP29" s="12" t="n">
        <x:v>0.18372</x:v>
      </x:c>
      <x:c r="AQ29" s="12" t="n">
        <x:v>0</x:v>
      </x:c>
      <x:c r="AR29" s="12" t="n">
        <x:v>0.18372</x:v>
      </x:c>
      <x:c r="AS29" s="13" t="b">
        <x:v>1</x:v>
      </x:c>
      <x:c r="AT29" s="13" t="b">
        <x:v>1</x:v>
      </x:c>
      <x:c r="AU29" s="13" t="b">
        <x:v>1</x:v>
      </x:c>
      <x:c r="AV29" s="13" t="b">
        <x:v>1</x:v>
      </x:c>
      <x:c r="AW29" s="13" t="b">
        <x:v>1</x:v>
      </x:c>
      <x:c r="AX29" s="13" t="b">
        <x:v>0</x:v>
      </x:c>
      <x:c r="AY29" s="13" t="b">
        <x:v>0</x:v>
      </x:c>
      <x:c r="AZ29" s="13" t="b">
        <x:v>1</x:v>
      </x:c>
      <x:c r="BA29" s="12" t="str">
        <x:v>OK</x:v>
      </x:c>
      <x:c r="BB29" s="12" t="str">
        <x:v>OK</x:v>
      </x:c>
      <x:c r="BC29" s="12" t="str">
        <x:v>EUR</x:v>
      </x:c>
      <x:c r="BD29" s="12" t="n">
        <x:v>10</x:v>
      </x:c>
      <x:c r="BE29" s="12" t="n">
        <x:v>10</x:v>
      </x:c>
      <x:c r="BF29" s="12" t="n">
        <x:v>0</x:v>
      </x:c>
      <x:c r="BG29" s="12" t="n">
        <x:v>0</x:v>
      </x:c>
      <x:c r="BH29" s="12" t="n">
        <x:v>0</x:v>
      </x:c>
      <x:c r="BI29" s="12" t="n">
        <x:v>0</x:v>
      </x:c>
      <x:c r="BJ29" s="12" t="n">
        <x:v>0</x:v>
      </x:c>
      <x:c r="BK29" s="12" t="n">
        <x:v>0</x:v>
      </x:c>
      <x:c r="BL29" s="12" t="n">
        <x:v>0</x:v>
      </x:c>
      <x:c r="BM29" s="12" t="n">
        <x:v>0</x:v>
      </x:c>
      <x:c r="BN29" s="12" t="n">
        <x:v>0</x:v>
      </x:c>
      <x:c r="BO29" s="12" t="n">
        <x:v>0</x:v>
      </x:c>
      <x:c r="BP29" s="12" t="n">
        <x:v>0</x:v>
      </x:c>
      <x:c r="BQ29" s="12" t="n">
        <x:v>0</x:v>
      </x:c>
      <x:c r="BR29" s="12" t="n">
        <x:v>0</x:v>
      </x:c>
      <x:c r="BS29" s="12" t="n">
        <x:v>0</x:v>
      </x:c>
    </x:row>
    <x:row r="30" ht="21" customHeight="1">
      <x:c r="A30" s="14" t="n">
        <x:v>45658.135416666664</x:v>
      </x:c>
      <x:c r="B30" s="14" t="n">
        <x:v>45658.145833333336</x:v>
      </x:c>
      <x:c r="C30" s="14" t="n">
        <x:v>45658.21875</x:v>
      </x:c>
      <x:c r="D30" s="15" t="n">
        <x:v>45658</x:v>
      </x:c>
      <x:c r="E30" s="12" t="n">
        <x:v>0.25</x:v>
      </x:c>
      <x:c r="F30" s="12" t="str">
        <x:v>FORMAL</x:v>
      </x:c>
      <x:c r="G30" s="14" t="n">
        <x:v>45658.125</x:v>
      </x:c>
      <x:c r="H30" s="12" t="n">
        <x:v>64.28</x:v>
      </x:c>
      <x:c r="I30" s="12" t="str">
        <x:v>2025-01-01_5</x:v>
      </x:c>
      <x:c r="J30" s="12" t="n">
        <x:v>60</x:v>
      </x:c>
      <x:c r="K30" s="12" t="str">
        <x:v>DA_2025-01-01@80c3f1a8e3ee</x:v>
      </x:c>
      <x:c r="L30" s="15" t="n">
        <x:v>45657</x:v>
      </x:c>
      <x:c r="M30" s="12" t="n">
        <x:v>4.9741</x:v>
      </x:c>
      <x:c r="N30" s="12" t="str">
        <x:v>BNR2024_BOUNDARY@c4397e7f9c31</x:v>
      </x:c>
      <x:c r="O30" s="12"/>
      <x:c r="P30" s="12"/>
      <x:c r="Q30" s="12"/>
      <x:c r="R30" s="12"/>
      <x:c r="S30" s="12" t="str">
        <x:v>OUT_OF_RESEARCH_COVERAGE_PRE_2025_06</x:v>
      </x:c>
      <x:c r="T30" s="12" t="n">
        <x:v>200</x:v>
      </x:c>
      <x:c r="U30" s="12" t="str">
        <x:v>aFRRUp_2025-01-01T03:00:00Z</x:v>
      </x:c>
      <x:c r="V30" s="12" t="str">
        <x:v>tenderStatistics_2025-01@c14c9dea784d</x:v>
      </x:c>
      <x:c r="W30" s="12" t="n">
        <x:v>13.71102309965622</x:v>
      </x:c>
      <x:c r="X30" s="12" t="str">
        <x:v>PUBLISHED_PROXY</x:v>
      </x:c>
      <x:c r="Y30" s="12" t="n">
        <x:v>200</x:v>
      </x:c>
      <x:c r="Z30" s="12" t="str">
        <x:v>aFRRDown_2025-01-01T03:00:00Z</x:v>
      </x:c>
      <x:c r="AA30" s="12" t="str">
        <x:v>tenderStatistics_2025-01@c14c9dea784d</x:v>
      </x:c>
      <x:c r="AB30" s="12" t="n">
        <x:v>14.173418306829376</x:v>
      </x:c>
      <x:c r="AC30" s="12" t="str">
        <x:v>PUBLISHED_PROXY</x:v>
      </x:c>
      <x:c r="AD30" s="12"/>
      <x:c r="AE30" s="12" t="str">
        <x:v>SOURCE_NULL_NOT_MODELED</x:v>
      </x:c>
      <x:c r="AF30" s="12"/>
      <x:c r="AG30" s="12" t="n">
        <x:v>141.37833980016487</x:v>
      </x:c>
      <x:c r="AH30" s="12" t="str">
        <x:v>PUBLISHED_PROXY</x:v>
      </x:c>
      <x:c r="AI30" s="12" t="n">
        <x:v>7.058</x:v>
      </x:c>
      <x:c r="AJ30" s="12" t="n">
        <x:v>0</x:v>
      </x:c>
      <x:c r="AK30" s="12" t="str">
        <x:v>PUBLISHED_PROXY</x:v>
      </x:c>
      <x:c r="AL30" s="12" t="n">
        <x:v>0</x:v>
      </x:c>
      <x:c r="AM30" s="12" t="str">
        <x:v>marginalPricesOverview_2025-01@5b9daf9d82d7</x:v>
      </x:c>
      <x:c r="AN30" s="12" t="str">
        <x:v>activatedBalancingEnergyOverview_2025-01@4135ac664b2a</x:v>
      </x:c>
      <x:c r="AO30" s="12" t="str">
        <x:v>PUBLISHED_NATIVE</x:v>
      </x:c>
      <x:c r="AP30" s="12" t="n">
        <x:v>0.14116</x:v>
      </x:c>
      <x:c r="AQ30" s="12" t="n">
        <x:v>0</x:v>
      </x:c>
      <x:c r="AR30" s="12" t="n">
        <x:v>0.14116</x:v>
      </x:c>
      <x:c r="AS30" s="13" t="b">
        <x:v>1</x:v>
      </x:c>
      <x:c r="AT30" s="13" t="b">
        <x:v>1</x:v>
      </x:c>
      <x:c r="AU30" s="13" t="b">
        <x:v>1</x:v>
      </x:c>
      <x:c r="AV30" s="13" t="b">
        <x:v>1</x:v>
      </x:c>
      <x:c r="AW30" s="13" t="b">
        <x:v>1</x:v>
      </x:c>
      <x:c r="AX30" s="13" t="b">
        <x:v>0</x:v>
      </x:c>
      <x:c r="AY30" s="13" t="b">
        <x:v>0</x:v>
      </x:c>
      <x:c r="AZ30" s="13" t="b">
        <x:v>1</x:v>
      </x:c>
      <x:c r="BA30" s="12" t="str">
        <x:v>OK</x:v>
      </x:c>
      <x:c r="BB30" s="12" t="str">
        <x:v>OK</x:v>
      </x:c>
      <x:c r="BC30" s="12" t="str">
        <x:v>EUR</x:v>
      </x:c>
      <x:c r="BD30" s="12" t="n">
        <x:v>10</x:v>
      </x:c>
      <x:c r="BE30" s="12" t="n">
        <x:v>10</x:v>
      </x:c>
      <x:c r="BF30" s="12" t="n">
        <x:v>0</x:v>
      </x:c>
      <x:c r="BG30" s="12" t="n">
        <x:v>0</x:v>
      </x:c>
      <x:c r="BH30" s="12" t="n">
        <x:v>0</x:v>
      </x:c>
      <x:c r="BI30" s="12" t="n">
        <x:v>0</x:v>
      </x:c>
      <x:c r="BJ30" s="12" t="n">
        <x:v>0</x:v>
      </x:c>
      <x:c r="BK30" s="12" t="n">
        <x:v>0</x:v>
      </x:c>
      <x:c r="BL30" s="12" t="n">
        <x:v>0</x:v>
      </x:c>
      <x:c r="BM30" s="12" t="n">
        <x:v>0</x:v>
      </x:c>
      <x:c r="BN30" s="12" t="n">
        <x:v>0</x:v>
      </x:c>
      <x:c r="BO30" s="12" t="n">
        <x:v>0</x:v>
      </x:c>
      <x:c r="BP30" s="12" t="n">
        <x:v>0</x:v>
      </x:c>
      <x:c r="BQ30" s="12" t="n">
        <x:v>0</x:v>
      </x:c>
      <x:c r="BR30" s="12" t="n">
        <x:v>0</x:v>
      </x:c>
      <x:c r="BS30" s="12" t="n">
        <x:v>0</x:v>
      </x:c>
    </x:row>
    <x:row r="31" ht="21" customHeight="1">
      <x:c r="A31" s="14" t="n">
        <x:v>45658.145833333336</x:v>
      </x:c>
      <x:c r="B31" s="14" t="n">
        <x:v>45658.15625</x:v>
      </x:c>
      <x:c r="C31" s="14" t="n">
        <x:v>45658.229166666664</x:v>
      </x:c>
      <x:c r="D31" s="15" t="n">
        <x:v>45658</x:v>
      </x:c>
      <x:c r="E31" s="12" t="n">
        <x:v>0.25</x:v>
      </x:c>
      <x:c r="F31" s="12" t="str">
        <x:v>FORMAL</x:v>
      </x:c>
      <x:c r="G31" s="14" t="n">
        <x:v>45658.125</x:v>
      </x:c>
      <x:c r="H31" s="12" t="n">
        <x:v>64.28</x:v>
      </x:c>
      <x:c r="I31" s="12" t="str">
        <x:v>2025-01-01_5</x:v>
      </x:c>
      <x:c r="J31" s="12" t="n">
        <x:v>60</x:v>
      </x:c>
      <x:c r="K31" s="12" t="str">
        <x:v>DA_2025-01-01@80c3f1a8e3ee</x:v>
      </x:c>
      <x:c r="L31" s="15" t="n">
        <x:v>45657</x:v>
      </x:c>
      <x:c r="M31" s="12" t="n">
        <x:v>4.9741</x:v>
      </x:c>
      <x:c r="N31" s="12" t="str">
        <x:v>BNR2024_BOUNDARY@c4397e7f9c31</x:v>
      </x:c>
      <x:c r="O31" s="12"/>
      <x:c r="P31" s="12"/>
      <x:c r="Q31" s="12"/>
      <x:c r="R31" s="12"/>
      <x:c r="S31" s="12" t="str">
        <x:v>OUT_OF_RESEARCH_COVERAGE_PRE_2025_06</x:v>
      </x:c>
      <x:c r="T31" s="12" t="n">
        <x:v>200</x:v>
      </x:c>
      <x:c r="U31" s="12" t="str">
        <x:v>aFRRUp_2025-01-01T03:00:00Z</x:v>
      </x:c>
      <x:c r="V31" s="12" t="str">
        <x:v>tenderStatistics_2025-01@c14c9dea784d</x:v>
      </x:c>
      <x:c r="W31" s="12" t="n">
        <x:v>13.71102309965622</x:v>
      </x:c>
      <x:c r="X31" s="12" t="str">
        <x:v>PUBLISHED_PROXY</x:v>
      </x:c>
      <x:c r="Y31" s="12" t="n">
        <x:v>200</x:v>
      </x:c>
      <x:c r="Z31" s="12" t="str">
        <x:v>aFRRDown_2025-01-01T03:00:00Z</x:v>
      </x:c>
      <x:c r="AA31" s="12" t="str">
        <x:v>tenderStatistics_2025-01@c14c9dea784d</x:v>
      </x:c>
      <x:c r="AB31" s="12" t="n">
        <x:v>14.173418306829376</x:v>
      </x:c>
      <x:c r="AC31" s="12" t="str">
        <x:v>PUBLISHED_PROXY</x:v>
      </x:c>
      <x:c r="AD31" s="12"/>
      <x:c r="AE31" s="12" t="str">
        <x:v>SOURCE_NULL_NOT_MODELED</x:v>
      </x:c>
      <x:c r="AF31" s="12"/>
      <x:c r="AG31" s="12" t="n">
        <x:v>136.70814820771596</x:v>
      </x:c>
      <x:c r="AH31" s="12" t="str">
        <x:v>PUBLISHED_PROXY</x:v>
      </x:c>
      <x:c r="AI31" s="12" t="n">
        <x:v>5.373</x:v>
      </x:c>
      <x:c r="AJ31" s="12" t="n">
        <x:v>0</x:v>
      </x:c>
      <x:c r="AK31" s="12" t="str">
        <x:v>PUBLISHED_PROXY</x:v>
      </x:c>
      <x:c r="AL31" s="12" t="n">
        <x:v>0</x:v>
      </x:c>
      <x:c r="AM31" s="12" t="str">
        <x:v>marginalPricesOverview_2025-01@5b9daf9d82d7</x:v>
      </x:c>
      <x:c r="AN31" s="12" t="str">
        <x:v>activatedBalancingEnergyOverview_2025-01@4135ac664b2a</x:v>
      </x:c>
      <x:c r="AO31" s="12" t="str">
        <x:v>PUBLISHED_NATIVE</x:v>
      </x:c>
      <x:c r="AP31" s="12" t="n">
        <x:v>0.10746</x:v>
      </x:c>
      <x:c r="AQ31" s="12" t="n">
        <x:v>0</x:v>
      </x:c>
      <x:c r="AR31" s="12" t="n">
        <x:v>0.10746</x:v>
      </x:c>
      <x:c r="AS31" s="13" t="b">
        <x:v>1</x:v>
      </x:c>
      <x:c r="AT31" s="13" t="b">
        <x:v>1</x:v>
      </x:c>
      <x:c r="AU31" s="13" t="b">
        <x:v>1</x:v>
      </x:c>
      <x:c r="AV31" s="13" t="b">
        <x:v>1</x:v>
      </x:c>
      <x:c r="AW31" s="13" t="b">
        <x:v>1</x:v>
      </x:c>
      <x:c r="AX31" s="13" t="b">
        <x:v>0</x:v>
      </x:c>
      <x:c r="AY31" s="13" t="b">
        <x:v>0</x:v>
      </x:c>
      <x:c r="AZ31" s="13" t="b">
        <x:v>1</x:v>
      </x:c>
      <x:c r="BA31" s="12" t="str">
        <x:v>OK</x:v>
      </x:c>
      <x:c r="BB31" s="12" t="str">
        <x:v>OK</x:v>
      </x:c>
      <x:c r="BC31" s="12" t="str">
        <x:v>EUR</x:v>
      </x:c>
      <x:c r="BD31" s="12" t="n">
        <x:v>10</x:v>
      </x:c>
      <x:c r="BE31" s="12" t="n">
        <x:v>10</x:v>
      </x:c>
      <x:c r="BF31" s="12" t="n">
        <x:v>0</x:v>
      </x:c>
      <x:c r="BG31" s="12" t="n">
        <x:v>0</x:v>
      </x:c>
      <x:c r="BH31" s="12" t="n">
        <x:v>0</x:v>
      </x:c>
      <x:c r="BI31" s="12" t="n">
        <x:v>0</x:v>
      </x:c>
      <x:c r="BJ31" s="12" t="n">
        <x:v>0</x:v>
      </x:c>
      <x:c r="BK31" s="12" t="n">
        <x:v>0</x:v>
      </x:c>
      <x:c r="BL31" s="12" t="n">
        <x:v>0</x:v>
      </x:c>
      <x:c r="BM31" s="12" t="n">
        <x:v>0</x:v>
      </x:c>
      <x:c r="BN31" s="12" t="n">
        <x:v>0</x:v>
      </x:c>
      <x:c r="BO31" s="12" t="n">
        <x:v>0</x:v>
      </x:c>
      <x:c r="BP31" s="12" t="n">
        <x:v>0</x:v>
      </x:c>
      <x:c r="BQ31" s="12" t="n">
        <x:v>0</x:v>
      </x:c>
      <x:c r="BR31" s="12" t="n">
        <x:v>0</x:v>
      </x:c>
      <x:c r="BS31" s="12" t="n">
        <x:v>0</x:v>
      </x:c>
    </x:row>
    <x:row r="32" ht="21" customHeight="1">
      <x:c r="A32" s="14" t="n">
        <x:v>45658.15625</x:v>
      </x:c>
      <x:c r="B32" s="14" t="n">
        <x:v>45658.166666666664</x:v>
      </x:c>
      <x:c r="C32" s="14" t="n">
        <x:v>45658.239583333336</x:v>
      </x:c>
      <x:c r="D32" s="15" t="n">
        <x:v>45658</x:v>
      </x:c>
      <x:c r="E32" s="12" t="n">
        <x:v>0.25</x:v>
      </x:c>
      <x:c r="F32" s="12" t="str">
        <x:v>FORMAL</x:v>
      </x:c>
      <x:c r="G32" s="14" t="n">
        <x:v>45658.125</x:v>
      </x:c>
      <x:c r="H32" s="12" t="n">
        <x:v>64.28</x:v>
      </x:c>
      <x:c r="I32" s="12" t="str">
        <x:v>2025-01-01_5</x:v>
      </x:c>
      <x:c r="J32" s="12" t="n">
        <x:v>60</x:v>
      </x:c>
      <x:c r="K32" s="12" t="str">
        <x:v>DA_2025-01-01@80c3f1a8e3ee</x:v>
      </x:c>
      <x:c r="L32" s="15" t="n">
        <x:v>45657</x:v>
      </x:c>
      <x:c r="M32" s="12" t="n">
        <x:v>4.9741</x:v>
      </x:c>
      <x:c r="N32" s="12" t="str">
        <x:v>BNR2024_BOUNDARY@c4397e7f9c31</x:v>
      </x:c>
      <x:c r="O32" s="12"/>
      <x:c r="P32" s="12"/>
      <x:c r="Q32" s="12"/>
      <x:c r="R32" s="12"/>
      <x:c r="S32" s="12" t="str">
        <x:v>OUT_OF_RESEARCH_COVERAGE_PRE_2025_06</x:v>
      </x:c>
      <x:c r="T32" s="12" t="n">
        <x:v>200</x:v>
      </x:c>
      <x:c r="U32" s="12" t="str">
        <x:v>aFRRUp_2025-01-01T03:00:00Z</x:v>
      </x:c>
      <x:c r="V32" s="12" t="str">
        <x:v>tenderStatistics_2025-01@c14c9dea784d</x:v>
      </x:c>
      <x:c r="W32" s="12" t="n">
        <x:v>13.71102309965622</x:v>
      </x:c>
      <x:c r="X32" s="12" t="str">
        <x:v>PUBLISHED_PROXY</x:v>
      </x:c>
      <x:c r="Y32" s="12" t="n">
        <x:v>200</x:v>
      </x:c>
      <x:c r="Z32" s="12" t="str">
        <x:v>aFRRDown_2025-01-01T03:00:00Z</x:v>
      </x:c>
      <x:c r="AA32" s="12" t="str">
        <x:v>tenderStatistics_2025-01@c14c9dea784d</x:v>
      </x:c>
      <x:c r="AB32" s="12" t="n">
        <x:v>14.173418306829376</x:v>
      </x:c>
      <x:c r="AC32" s="12" t="str">
        <x:v>PUBLISHED_PROXY</x:v>
      </x:c>
      <x:c r="AD32" s="12"/>
      <x:c r="AE32" s="12" t="str">
        <x:v>SOURCE_NULL_NOT_MODELED</x:v>
      </x:c>
      <x:c r="AF32" s="12"/>
      <x:c r="AG32" s="12" t="n">
        <x:v>141.09929434470558</x:v>
      </x:c>
      <x:c r="AH32" s="12" t="str">
        <x:v>PUBLISHED_PROXY</x:v>
      </x:c>
      <x:c r="AI32" s="12" t="n">
        <x:v>6.276</x:v>
      </x:c>
      <x:c r="AJ32" s="12" t="n">
        <x:v>0</x:v>
      </x:c>
      <x:c r="AK32" s="12" t="str">
        <x:v>PUBLISHED_PROXY</x:v>
      </x:c>
      <x:c r="AL32" s="12" t="n">
        <x:v>0</x:v>
      </x:c>
      <x:c r="AM32" s="12" t="str">
        <x:v>marginalPricesOverview_2025-01@5b9daf9d82d7</x:v>
      </x:c>
      <x:c r="AN32" s="12" t="str">
        <x:v>activatedBalancingEnergyOverview_2025-01@4135ac664b2a</x:v>
      </x:c>
      <x:c r="AO32" s="12" t="str">
        <x:v>PUBLISHED_NATIVE</x:v>
      </x:c>
      <x:c r="AP32" s="12" t="n">
        <x:v>0.12552</x:v>
      </x:c>
      <x:c r="AQ32" s="12" t="n">
        <x:v>0</x:v>
      </x:c>
      <x:c r="AR32" s="12" t="n">
        <x:v>0.12552</x:v>
      </x:c>
      <x:c r="AS32" s="13" t="b">
        <x:v>1</x:v>
      </x:c>
      <x:c r="AT32" s="13" t="b">
        <x:v>1</x:v>
      </x:c>
      <x:c r="AU32" s="13" t="b">
        <x:v>1</x:v>
      </x:c>
      <x:c r="AV32" s="13" t="b">
        <x:v>1</x:v>
      </x:c>
      <x:c r="AW32" s="13" t="b">
        <x:v>1</x:v>
      </x:c>
      <x:c r="AX32" s="13" t="b">
        <x:v>0</x:v>
      </x:c>
      <x:c r="AY32" s="13" t="b">
        <x:v>0</x:v>
      </x:c>
      <x:c r="AZ32" s="13" t="b">
        <x:v>1</x:v>
      </x:c>
      <x:c r="BA32" s="12" t="str">
        <x:v>OK</x:v>
      </x:c>
      <x:c r="BB32" s="12" t="str">
        <x:v>OK</x:v>
      </x:c>
      <x:c r="BC32" s="12" t="str">
        <x:v>EUR</x:v>
      </x:c>
      <x:c r="BD32" s="12" t="n">
        <x:v>10</x:v>
      </x:c>
      <x:c r="BE32" s="12" t="n">
        <x:v>10</x:v>
      </x:c>
      <x:c r="BF32" s="12" t="n">
        <x:v>0</x:v>
      </x:c>
      <x:c r="BG32" s="12" t="n">
        <x:v>0</x:v>
      </x:c>
      <x:c r="BH32" s="12" t="n">
        <x:v>0</x:v>
      </x:c>
      <x:c r="BI32" s="12" t="n">
        <x:v>0</x:v>
      </x:c>
      <x:c r="BJ32" s="12" t="n">
        <x:v>0</x:v>
      </x:c>
      <x:c r="BK32" s="12" t="n">
        <x:v>0</x:v>
      </x:c>
      <x:c r="BL32" s="12" t="n">
        <x:v>0</x:v>
      </x:c>
      <x:c r="BM32" s="12" t="n">
        <x:v>0</x:v>
      </x:c>
      <x:c r="BN32" s="12" t="n">
        <x:v>0</x:v>
      </x:c>
      <x:c r="BO32" s="12" t="n">
        <x:v>0</x:v>
      </x:c>
      <x:c r="BP32" s="12" t="n">
        <x:v>0</x:v>
      </x:c>
      <x:c r="BQ32" s="12" t="n">
        <x:v>0</x:v>
      </x:c>
      <x:c r="BR32" s="12" t="n">
        <x:v>0</x:v>
      </x:c>
      <x:c r="BS32" s="12" t="n">
        <x:v>0</x:v>
      </x:c>
    </x:row>
    <x:row r="33" ht="21" customHeight="1">
      <x:c r="A33" s="14" t="n">
        <x:v>45658.166666666664</x:v>
      </x:c>
      <x:c r="B33" s="14" t="n">
        <x:v>45658.177083333336</x:v>
      </x:c>
      <x:c r="C33" s="14" t="n">
        <x:v>45658.25</x:v>
      </x:c>
      <x:c r="D33" s="15" t="n">
        <x:v>45658</x:v>
      </x:c>
      <x:c r="E33" s="12" t="n">
        <x:v>0.25</x:v>
      </x:c>
      <x:c r="F33" s="12" t="str">
        <x:v>FORMAL</x:v>
      </x:c>
      <x:c r="G33" s="14" t="n">
        <x:v>45658.166666666664</x:v>
      </x:c>
      <x:c r="H33" s="12" t="n">
        <x:v>66.7</x:v>
      </x:c>
      <x:c r="I33" s="12" t="str">
        <x:v>2025-01-01_6</x:v>
      </x:c>
      <x:c r="J33" s="12" t="n">
        <x:v>60</x:v>
      </x:c>
      <x:c r="K33" s="12" t="str">
        <x:v>DA_2025-01-01@80c3f1a8e3ee</x:v>
      </x:c>
      <x:c r="L33" s="15" t="n">
        <x:v>45657</x:v>
      </x:c>
      <x:c r="M33" s="12" t="n">
        <x:v>4.9741</x:v>
      </x:c>
      <x:c r="N33" s="12" t="str">
        <x:v>BNR2024_BOUNDARY@c4397e7f9c31</x:v>
      </x:c>
      <x:c r="O33" s="12"/>
      <x:c r="P33" s="12"/>
      <x:c r="Q33" s="12"/>
      <x:c r="R33" s="12"/>
      <x:c r="S33" s="12" t="str">
        <x:v>OUT_OF_RESEARCH_COVERAGE_PRE_2025_06</x:v>
      </x:c>
      <x:c r="T33" s="12" t="n">
        <x:v>193</x:v>
      </x:c>
      <x:c r="U33" s="12" t="str">
        <x:v>aFRRUp_2025-01-01T04:00:00Z</x:v>
      </x:c>
      <x:c r="V33" s="12" t="str">
        <x:v>tenderStatistics_2025-01@c14c9dea784d</x:v>
      </x:c>
      <x:c r="W33" s="12" t="n">
        <x:v>13.831647936310086</x:v>
      </x:c>
      <x:c r="X33" s="12" t="str">
        <x:v>PUBLISHED_PROXY</x:v>
      </x:c>
      <x:c r="Y33" s="12" t="n">
        <x:v>200</x:v>
      </x:c>
      <x:c r="Z33" s="12" t="str">
        <x:v>aFRRDown_2025-01-01T04:00:00Z</x:v>
      </x:c>
      <x:c r="AA33" s="12" t="str">
        <x:v>tenderStatistics_2025-01@c14c9dea784d</x:v>
      </x:c>
      <x:c r="AB33" s="12" t="n">
        <x:v>14.710198829939085</x:v>
      </x:c>
      <x:c r="AC33" s="12" t="str">
        <x:v>PUBLISHED_PROXY</x:v>
      </x:c>
      <x:c r="AD33" s="12"/>
      <x:c r="AE33" s="12" t="str">
        <x:v>SOURCE_NULL_NOT_MODELED</x:v>
      </x:c>
      <x:c r="AF33" s="12"/>
      <x:c r="AG33" s="12" t="n">
        <x:v>142.19295953036732</x:v>
      </x:c>
      <x:c r="AH33" s="12" t="str">
        <x:v>PUBLISHED_PROXY</x:v>
      </x:c>
      <x:c r="AI33" s="12" t="n">
        <x:v>3.994</x:v>
      </x:c>
      <x:c r="AJ33" s="12" t="n">
        <x:v>0</x:v>
      </x:c>
      <x:c r="AK33" s="12" t="str">
        <x:v>PUBLISHED_PROXY</x:v>
      </x:c>
      <x:c r="AL33" s="12" t="n">
        <x:v>0</x:v>
      </x:c>
      <x:c r="AM33" s="12" t="str">
        <x:v>marginalPricesOverview_2025-01@5b9daf9d82d7</x:v>
      </x:c>
      <x:c r="AN33" s="12" t="str">
        <x:v>activatedBalancingEnergyOverview_2025-01@4135ac664b2a</x:v>
      </x:c>
      <x:c r="AO33" s="12" t="str">
        <x:v>PUBLISHED_NATIVE</x:v>
      </x:c>
      <x:c r="AP33" s="12" t="n">
        <x:v>0.0827772020725388</x:v>
      </x:c>
      <x:c r="AQ33" s="12" t="n">
        <x:v>0</x:v>
      </x:c>
      <x:c r="AR33" s="12" t="n">
        <x:v>0.0827772020725388</x:v>
      </x:c>
      <x:c r="AS33" s="13" t="b">
        <x:v>1</x:v>
      </x:c>
      <x:c r="AT33" s="13" t="b">
        <x:v>1</x:v>
      </x:c>
      <x:c r="AU33" s="13" t="b">
        <x:v>1</x:v>
      </x:c>
      <x:c r="AV33" s="13" t="b">
        <x:v>1</x:v>
      </x:c>
      <x:c r="AW33" s="13" t="b">
        <x:v>1</x:v>
      </x:c>
      <x:c r="AX33" s="13" t="b">
        <x:v>0</x:v>
      </x:c>
      <x:c r="AY33" s="13" t="b">
        <x:v>0</x:v>
      </x:c>
      <x:c r="AZ33" s="13" t="b">
        <x:v>1</x:v>
      </x:c>
      <x:c r="BA33" s="12" t="str">
        <x:v>OK</x:v>
      </x:c>
      <x:c r="BB33" s="12" t="str">
        <x:v>OK</x:v>
      </x:c>
      <x:c r="BC33" s="12" t="str">
        <x:v>EUR</x:v>
      </x:c>
      <x:c r="BD33" s="12" t="n">
        <x:v>10</x:v>
      </x:c>
      <x:c r="BE33" s="12" t="n">
        <x:v>10</x:v>
      </x:c>
      <x:c r="BF33" s="12" t="n">
        <x:v>0</x:v>
      </x:c>
      <x:c r="BG33" s="12" t="n">
        <x:v>0</x:v>
      </x:c>
      <x:c r="BH33" s="12" t="n">
        <x:v>0</x:v>
      </x:c>
      <x:c r="BI33" s="12" t="n">
        <x:v>0</x:v>
      </x:c>
      <x:c r="BJ33" s="12" t="n">
        <x:v>0</x:v>
      </x:c>
      <x:c r="BK33" s="12" t="n">
        <x:v>0</x:v>
      </x:c>
      <x:c r="BL33" s="12" t="n">
        <x:v>0</x:v>
      </x:c>
      <x:c r="BM33" s="12" t="n">
        <x:v>0</x:v>
      </x:c>
      <x:c r="BN33" s="12" t="n">
        <x:v>0</x:v>
      </x:c>
      <x:c r="BO33" s="12" t="n">
        <x:v>0</x:v>
      </x:c>
      <x:c r="BP33" s="12" t="n">
        <x:v>0</x:v>
      </x:c>
      <x:c r="BQ33" s="12" t="n">
        <x:v>0</x:v>
      </x:c>
      <x:c r="BR33" s="12" t="n">
        <x:v>0</x:v>
      </x:c>
      <x:c r="BS33" s="12" t="n">
        <x:v>0</x:v>
      </x:c>
    </x:row>
    <x:row r="34" ht="21" customHeight="1">
      <x:c r="A34" s="14" t="n">
        <x:v>45658.177083333336</x:v>
      </x:c>
      <x:c r="B34" s="14" t="n">
        <x:v>45658.1875</x:v>
      </x:c>
      <x:c r="C34" s="14" t="n">
        <x:v>45658.260416666664</x:v>
      </x:c>
      <x:c r="D34" s="15" t="n">
        <x:v>45658</x:v>
      </x:c>
      <x:c r="E34" s="12" t="n">
        <x:v>0.25</x:v>
      </x:c>
      <x:c r="F34" s="12" t="str">
        <x:v>FORMAL</x:v>
      </x:c>
      <x:c r="G34" s="14" t="n">
        <x:v>45658.166666666664</x:v>
      </x:c>
      <x:c r="H34" s="12" t="n">
        <x:v>66.7</x:v>
      </x:c>
      <x:c r="I34" s="12" t="str">
        <x:v>2025-01-01_6</x:v>
      </x:c>
      <x:c r="J34" s="12" t="n">
        <x:v>60</x:v>
      </x:c>
      <x:c r="K34" s="12" t="str">
        <x:v>DA_2025-01-01@80c3f1a8e3ee</x:v>
      </x:c>
      <x:c r="L34" s="15" t="n">
        <x:v>45657</x:v>
      </x:c>
      <x:c r="M34" s="12" t="n">
        <x:v>4.9741</x:v>
      </x:c>
      <x:c r="N34" s="12" t="str">
        <x:v>BNR2024_BOUNDARY@c4397e7f9c31</x:v>
      </x:c>
      <x:c r="O34" s="12"/>
      <x:c r="P34" s="12"/>
      <x:c r="Q34" s="12"/>
      <x:c r="R34" s="12"/>
      <x:c r="S34" s="12" t="str">
        <x:v>OUT_OF_RESEARCH_COVERAGE_PRE_2025_06</x:v>
      </x:c>
      <x:c r="T34" s="12" t="n">
        <x:v>193</x:v>
      </x:c>
      <x:c r="U34" s="12" t="str">
        <x:v>aFRRUp_2025-01-01T04:00:00Z</x:v>
      </x:c>
      <x:c r="V34" s="12" t="str">
        <x:v>tenderStatistics_2025-01@c14c9dea784d</x:v>
      </x:c>
      <x:c r="W34" s="12" t="n">
        <x:v>13.831647936310086</x:v>
      </x:c>
      <x:c r="X34" s="12" t="str">
        <x:v>PUBLISHED_PROXY</x:v>
      </x:c>
      <x:c r="Y34" s="12" t="n">
        <x:v>200</x:v>
      </x:c>
      <x:c r="Z34" s="12" t="str">
        <x:v>aFRRDown_2025-01-01T04:00:00Z</x:v>
      </x:c>
      <x:c r="AA34" s="12" t="str">
        <x:v>tenderStatistics_2025-01@c14c9dea784d</x:v>
      </x:c>
      <x:c r="AB34" s="12" t="n">
        <x:v>14.710198829939085</x:v>
      </x:c>
      <x:c r="AC34" s="12" t="str">
        <x:v>PUBLISHED_PROXY</x:v>
      </x:c>
      <x:c r="AD34" s="12"/>
      <x:c r="AE34" s="12" t="str">
        <x:v>SOURCE_NULL_NOT_MODELED</x:v>
      </x:c>
      <x:c r="AF34" s="12"/>
      <x:c r="AG34" s="12" t="n">
        <x:v>136.70814820771596</x:v>
      </x:c>
      <x:c r="AH34" s="12" t="str">
        <x:v>PUBLISHED_PROXY</x:v>
      </x:c>
      <x:c r="AI34" s="12" t="n">
        <x:v>4.033</x:v>
      </x:c>
      <x:c r="AJ34" s="12" t="n">
        <x:v>0</x:v>
      </x:c>
      <x:c r="AK34" s="12" t="str">
        <x:v>PUBLISHED_PROXY</x:v>
      </x:c>
      <x:c r="AL34" s="12" t="n">
        <x:v>0</x:v>
      </x:c>
      <x:c r="AM34" s="12" t="str">
        <x:v>marginalPricesOverview_2025-01@5b9daf9d82d7</x:v>
      </x:c>
      <x:c r="AN34" s="12" t="str">
        <x:v>activatedBalancingEnergyOverview_2025-01@4135ac664b2a</x:v>
      </x:c>
      <x:c r="AO34" s="12" t="str">
        <x:v>PUBLISHED_NATIVE</x:v>
      </x:c>
      <x:c r="AP34" s="12" t="n">
        <x:v>0.0835854922279792</x:v>
      </x:c>
      <x:c r="AQ34" s="12" t="n">
        <x:v>0</x:v>
      </x:c>
      <x:c r="AR34" s="12" t="n">
        <x:v>0.0835854922279792</x:v>
      </x:c>
      <x:c r="AS34" s="13" t="b">
        <x:v>1</x:v>
      </x:c>
      <x:c r="AT34" s="13" t="b">
        <x:v>1</x:v>
      </x:c>
      <x:c r="AU34" s="13" t="b">
        <x:v>1</x:v>
      </x:c>
      <x:c r="AV34" s="13" t="b">
        <x:v>1</x:v>
      </x:c>
      <x:c r="AW34" s="13" t="b">
        <x:v>1</x:v>
      </x:c>
      <x:c r="AX34" s="13" t="b">
        <x:v>0</x:v>
      </x:c>
      <x:c r="AY34" s="13" t="b">
        <x:v>0</x:v>
      </x:c>
      <x:c r="AZ34" s="13" t="b">
        <x:v>1</x:v>
      </x:c>
      <x:c r="BA34" s="12" t="str">
        <x:v>OK</x:v>
      </x:c>
      <x:c r="BB34" s="12" t="str">
        <x:v>OK</x:v>
      </x:c>
      <x:c r="BC34" s="12" t="str">
        <x:v>EUR</x:v>
      </x:c>
      <x:c r="BD34" s="12" t="n">
        <x:v>10</x:v>
      </x:c>
      <x:c r="BE34" s="12" t="n">
        <x:v>10</x:v>
      </x:c>
      <x:c r="BF34" s="12" t="n">
        <x:v>0</x:v>
      </x:c>
      <x:c r="BG34" s="12" t="n">
        <x:v>0</x:v>
      </x:c>
      <x:c r="BH34" s="12" t="n">
        <x:v>0</x:v>
      </x:c>
      <x:c r="BI34" s="12" t="n">
        <x:v>0</x:v>
      </x:c>
      <x:c r="BJ34" s="12" t="n">
        <x:v>0</x:v>
      </x:c>
      <x:c r="BK34" s="12" t="n">
        <x:v>0</x:v>
      </x:c>
      <x:c r="BL34" s="12" t="n">
        <x:v>0</x:v>
      </x:c>
      <x:c r="BM34" s="12" t="n">
        <x:v>0</x:v>
      </x:c>
      <x:c r="BN34" s="12" t="n">
        <x:v>0</x:v>
      </x:c>
      <x:c r="BO34" s="12" t="n">
        <x:v>0</x:v>
      </x:c>
      <x:c r="BP34" s="12" t="n">
        <x:v>0</x:v>
      </x:c>
      <x:c r="BQ34" s="12" t="n">
        <x:v>0</x:v>
      </x:c>
      <x:c r="BR34" s="12" t="n">
        <x:v>0</x:v>
      </x:c>
      <x:c r="BS34" s="12" t="n">
        <x:v>0</x:v>
      </x:c>
    </x:row>
    <x:row r="35" ht="21" customHeight="1">
      <x:c r="A35" s="14" t="n">
        <x:v>45658.1875</x:v>
      </x:c>
      <x:c r="B35" s="14" t="n">
        <x:v>45658.197916666664</x:v>
      </x:c>
      <x:c r="C35" s="14" t="n">
        <x:v>45658.270833333336</x:v>
      </x:c>
      <x:c r="D35" s="15" t="n">
        <x:v>45658</x:v>
      </x:c>
      <x:c r="E35" s="12" t="n">
        <x:v>0.25</x:v>
      </x:c>
      <x:c r="F35" s="12" t="str">
        <x:v>FORMAL</x:v>
      </x:c>
      <x:c r="G35" s="14" t="n">
        <x:v>45658.166666666664</x:v>
      </x:c>
      <x:c r="H35" s="12" t="n">
        <x:v>66.7</x:v>
      </x:c>
      <x:c r="I35" s="12" t="str">
        <x:v>2025-01-01_6</x:v>
      </x:c>
      <x:c r="J35" s="12" t="n">
        <x:v>60</x:v>
      </x:c>
      <x:c r="K35" s="12" t="str">
        <x:v>DA_2025-01-01@80c3f1a8e3ee</x:v>
      </x:c>
      <x:c r="L35" s="15" t="n">
        <x:v>45657</x:v>
      </x:c>
      <x:c r="M35" s="12" t="n">
        <x:v>4.9741</x:v>
      </x:c>
      <x:c r="N35" s="12" t="str">
        <x:v>BNR2024_BOUNDARY@c4397e7f9c31</x:v>
      </x:c>
      <x:c r="O35" s="12"/>
      <x:c r="P35" s="12"/>
      <x:c r="Q35" s="12"/>
      <x:c r="R35" s="12"/>
      <x:c r="S35" s="12" t="str">
        <x:v>OUT_OF_RESEARCH_COVERAGE_PRE_2025_06</x:v>
      </x:c>
      <x:c r="T35" s="12" t="n">
        <x:v>193</x:v>
      </x:c>
      <x:c r="U35" s="12" t="str">
        <x:v>aFRRUp_2025-01-01T04:00:00Z</x:v>
      </x:c>
      <x:c r="V35" s="12" t="str">
        <x:v>tenderStatistics_2025-01@c14c9dea784d</x:v>
      </x:c>
      <x:c r="W35" s="12" t="n">
        <x:v>13.831647936310086</x:v>
      </x:c>
      <x:c r="X35" s="12" t="str">
        <x:v>PUBLISHED_PROXY</x:v>
      </x:c>
      <x:c r="Y35" s="12" t="n">
        <x:v>200</x:v>
      </x:c>
      <x:c r="Z35" s="12" t="str">
        <x:v>aFRRDown_2025-01-01T04:00:00Z</x:v>
      </x:c>
      <x:c r="AA35" s="12" t="str">
        <x:v>tenderStatistics_2025-01@c14c9dea784d</x:v>
      </x:c>
      <x:c r="AB35" s="12" t="n">
        <x:v>14.710198829939085</x:v>
      </x:c>
      <x:c r="AC35" s="12" t="str">
        <x:v>PUBLISHED_PROXY</x:v>
      </x:c>
      <x:c r="AD35" s="12"/>
      <x:c r="AE35" s="12" t="str">
        <x:v>SOURCE_NULL_NOT_MODELED</x:v>
      </x:c>
      <x:c r="AF35" s="12"/>
      <x:c r="AG35" s="12" t="n">
        <x:v>153.6935324983414</x:v>
      </x:c>
      <x:c r="AH35" s="12" t="str">
        <x:v>PUBLISHED_PROXY</x:v>
      </x:c>
      <x:c r="AI35" s="12" t="n">
        <x:v>9.537</x:v>
      </x:c>
      <x:c r="AJ35" s="12" t="n">
        <x:v>0</x:v>
      </x:c>
      <x:c r="AK35" s="12" t="str">
        <x:v>PUBLISHED_PROXY</x:v>
      </x:c>
      <x:c r="AL35" s="12" t="n">
        <x:v>0</x:v>
      </x:c>
      <x:c r="AM35" s="12" t="str">
        <x:v>marginalPricesOverview_2025-01@5b9daf9d82d7</x:v>
      </x:c>
      <x:c r="AN35" s="12" t="str">
        <x:v>activatedBalancingEnergyOverview_2025-01@4135ac664b2a</x:v>
      </x:c>
      <x:c r="AO35" s="12" t="str">
        <x:v>PUBLISHED_NATIVE</x:v>
      </x:c>
      <x:c r="AP35" s="12" t="n">
        <x:v>0.1976580310880829</x:v>
      </x:c>
      <x:c r="AQ35" s="12" t="n">
        <x:v>0</x:v>
      </x:c>
      <x:c r="AR35" s="12" t="n">
        <x:v>0.1976580310880829</x:v>
      </x:c>
      <x:c r="AS35" s="13" t="b">
        <x:v>1</x:v>
      </x:c>
      <x:c r="AT35" s="13" t="b">
        <x:v>1</x:v>
      </x:c>
      <x:c r="AU35" s="13" t="b">
        <x:v>1</x:v>
      </x:c>
      <x:c r="AV35" s="13" t="b">
        <x:v>1</x:v>
      </x:c>
      <x:c r="AW35" s="13" t="b">
        <x:v>1</x:v>
      </x:c>
      <x:c r="AX35" s="13" t="b">
        <x:v>0</x:v>
      </x:c>
      <x:c r="AY35" s="13" t="b">
        <x:v>0</x:v>
      </x:c>
      <x:c r="AZ35" s="13" t="b">
        <x:v>1</x:v>
      </x:c>
      <x:c r="BA35" s="12" t="str">
        <x:v>OK</x:v>
      </x:c>
      <x:c r="BB35" s="12" t="str">
        <x:v>OK</x:v>
      </x:c>
      <x:c r="BC35" s="12" t="str">
        <x:v>EUR</x:v>
      </x:c>
      <x:c r="BD35" s="12" t="n">
        <x:v>10</x:v>
      </x:c>
      <x:c r="BE35" s="12" t="n">
        <x:v>10</x:v>
      </x:c>
      <x:c r="BF35" s="12" t="n">
        <x:v>0</x:v>
      </x:c>
      <x:c r="BG35" s="12" t="n">
        <x:v>0</x:v>
      </x:c>
      <x:c r="BH35" s="12" t="n">
        <x:v>0</x:v>
      </x:c>
      <x:c r="BI35" s="12" t="n">
        <x:v>0</x:v>
      </x:c>
      <x:c r="BJ35" s="12" t="n">
        <x:v>0</x:v>
      </x:c>
      <x:c r="BK35" s="12" t="n">
        <x:v>0</x:v>
      </x:c>
      <x:c r="BL35" s="12" t="n">
        <x:v>0</x:v>
      </x:c>
      <x:c r="BM35" s="12" t="n">
        <x:v>0</x:v>
      </x:c>
      <x:c r="BN35" s="12" t="n">
        <x:v>0</x:v>
      </x:c>
      <x:c r="BO35" s="12" t="n">
        <x:v>0</x:v>
      </x:c>
      <x:c r="BP35" s="12" t="n">
        <x:v>0</x:v>
      </x:c>
      <x:c r="BQ35" s="12" t="n">
        <x:v>0</x:v>
      </x:c>
      <x:c r="BR35" s="12" t="n">
        <x:v>0</x:v>
      </x:c>
      <x:c r="BS35" s="12" t="n">
        <x:v>0</x:v>
      </x:c>
    </x:row>
    <x:row r="36" ht="21" customHeight="1">
      <x:c r="A36" s="14" t="n">
        <x:v>45658.197916666664</x:v>
      </x:c>
      <x:c r="B36" s="14" t="n">
        <x:v>45658.208333333336</x:v>
      </x:c>
      <x:c r="C36" s="14" t="n">
        <x:v>45658.28125</x:v>
      </x:c>
      <x:c r="D36" s="15" t="n">
        <x:v>45658</x:v>
      </x:c>
      <x:c r="E36" s="12" t="n">
        <x:v>0.25</x:v>
      </x:c>
      <x:c r="F36" s="12" t="str">
        <x:v>FORMAL</x:v>
      </x:c>
      <x:c r="G36" s="14" t="n">
        <x:v>45658.166666666664</x:v>
      </x:c>
      <x:c r="H36" s="12" t="n">
        <x:v>66.7</x:v>
      </x:c>
      <x:c r="I36" s="12" t="str">
        <x:v>2025-01-01_6</x:v>
      </x:c>
      <x:c r="J36" s="12" t="n">
        <x:v>60</x:v>
      </x:c>
      <x:c r="K36" s="12" t="str">
        <x:v>DA_2025-01-01@80c3f1a8e3ee</x:v>
      </x:c>
      <x:c r="L36" s="15" t="n">
        <x:v>45657</x:v>
      </x:c>
      <x:c r="M36" s="12" t="n">
        <x:v>4.9741</x:v>
      </x:c>
      <x:c r="N36" s="12" t="str">
        <x:v>BNR2024_BOUNDARY@c4397e7f9c31</x:v>
      </x:c>
      <x:c r="O36" s="12"/>
      <x:c r="P36" s="12"/>
      <x:c r="Q36" s="12"/>
      <x:c r="R36" s="12"/>
      <x:c r="S36" s="12" t="str">
        <x:v>OUT_OF_RESEARCH_COVERAGE_PRE_2025_06</x:v>
      </x:c>
      <x:c r="T36" s="12" t="n">
        <x:v>193</x:v>
      </x:c>
      <x:c r="U36" s="12" t="str">
        <x:v>aFRRUp_2025-01-01T04:00:00Z</x:v>
      </x:c>
      <x:c r="V36" s="12" t="str">
        <x:v>tenderStatistics_2025-01@c14c9dea784d</x:v>
      </x:c>
      <x:c r="W36" s="12" t="n">
        <x:v>13.831647936310086</x:v>
      </x:c>
      <x:c r="X36" s="12" t="str">
        <x:v>PUBLISHED_PROXY</x:v>
      </x:c>
      <x:c r="Y36" s="12" t="n">
        <x:v>200</x:v>
      </x:c>
      <x:c r="Z36" s="12" t="str">
        <x:v>aFRRDown_2025-01-01T04:00:00Z</x:v>
      </x:c>
      <x:c r="AA36" s="12" t="str">
        <x:v>tenderStatistics_2025-01@c14c9dea784d</x:v>
      </x:c>
      <x:c r="AB36" s="12" t="n">
        <x:v>14.710198829939085</x:v>
      </x:c>
      <x:c r="AC36" s="12" t="str">
        <x:v>PUBLISHED_PROXY</x:v>
      </x:c>
      <x:c r="AD36" s="12"/>
      <x:c r="AE36" s="12" t="str">
        <x:v>SOURCE_NULL_NOT_MODELED</x:v>
      </x:c>
      <x:c r="AF36" s="12"/>
      <x:c r="AG36" s="12" t="n">
        <x:v>157.20029754126375</x:v>
      </x:c>
      <x:c r="AH36" s="12" t="str">
        <x:v>PUBLISHED_PROXY</x:v>
      </x:c>
      <x:c r="AI36" s="12" t="n">
        <x:v>11.387</x:v>
      </x:c>
      <x:c r="AJ36" s="12" t="n">
        <x:v>0</x:v>
      </x:c>
      <x:c r="AK36" s="12" t="str">
        <x:v>PUBLISHED_PROXY</x:v>
      </x:c>
      <x:c r="AL36" s="12" t="n">
        <x:v>0</x:v>
      </x:c>
      <x:c r="AM36" s="12" t="str">
        <x:v>marginalPricesOverview_2025-01@5b9daf9d82d7</x:v>
      </x:c>
      <x:c r="AN36" s="12" t="str">
        <x:v>activatedBalancingEnergyOverview_2025-01@4135ac664b2a</x:v>
      </x:c>
      <x:c r="AO36" s="12" t="str">
        <x:v>PUBLISHED_NATIVE</x:v>
      </x:c>
      <x:c r="AP36" s="12" t="n">
        <x:v>0.236</x:v>
      </x:c>
      <x:c r="AQ36" s="12" t="n">
        <x:v>0</x:v>
      </x:c>
      <x:c r="AR36" s="12" t="n">
        <x:v>0.236</x:v>
      </x:c>
      <x:c r="AS36" s="13" t="b">
        <x:v>1</x:v>
      </x:c>
      <x:c r="AT36" s="13" t="b">
        <x:v>1</x:v>
      </x:c>
      <x:c r="AU36" s="13" t="b">
        <x:v>1</x:v>
      </x:c>
      <x:c r="AV36" s="13" t="b">
        <x:v>1</x:v>
      </x:c>
      <x:c r="AW36" s="13" t="b">
        <x:v>1</x:v>
      </x:c>
      <x:c r="AX36" s="13" t="b">
        <x:v>0</x:v>
      </x:c>
      <x:c r="AY36" s="13" t="b">
        <x:v>0</x:v>
      </x:c>
      <x:c r="AZ36" s="13" t="b">
        <x:v>1</x:v>
      </x:c>
      <x:c r="BA36" s="12" t="str">
        <x:v>OK</x:v>
      </x:c>
      <x:c r="BB36" s="12" t="str">
        <x:v>OK</x:v>
      </x:c>
      <x:c r="BC36" s="12" t="str">
        <x:v>EUR</x:v>
      </x:c>
      <x:c r="BD36" s="12" t="n">
        <x:v>10</x:v>
      </x:c>
      <x:c r="BE36" s="12" t="n">
        <x:v>10</x:v>
      </x:c>
      <x:c r="BF36" s="12" t="n">
        <x:v>0</x:v>
      </x:c>
      <x:c r="BG36" s="12" t="n">
        <x:v>0</x:v>
      </x:c>
      <x:c r="BH36" s="12" t="n">
        <x:v>0</x:v>
      </x:c>
      <x:c r="BI36" s="12" t="n">
        <x:v>0</x:v>
      </x:c>
      <x:c r="BJ36" s="12" t="n">
        <x:v>0</x:v>
      </x:c>
      <x:c r="BK36" s="12" t="n">
        <x:v>0</x:v>
      </x:c>
      <x:c r="BL36" s="12" t="n">
        <x:v>0</x:v>
      </x:c>
      <x:c r="BM36" s="12" t="n">
        <x:v>0</x:v>
      </x:c>
      <x:c r="BN36" s="12" t="n">
        <x:v>0</x:v>
      </x:c>
      <x:c r="BO36" s="12" t="n">
        <x:v>0</x:v>
      </x:c>
      <x:c r="BP36" s="12" t="n">
        <x:v>0</x:v>
      </x:c>
      <x:c r="BQ36" s="12" t="n">
        <x:v>0</x:v>
      </x:c>
      <x:c r="BR36" s="12" t="n">
        <x:v>0</x:v>
      </x:c>
      <x:c r="BS36" s="12" t="n">
        <x:v>0</x:v>
      </x:c>
    </x:row>
    <x:row r="37" ht="21" customHeight="1">
      <x:c r="A37" s="14" t="n">
        <x:v>45658.208333333336</x:v>
      </x:c>
      <x:c r="B37" s="14" t="n">
        <x:v>45658.21875</x:v>
      </x:c>
      <x:c r="C37" s="14" t="n">
        <x:v>45658.291666666664</x:v>
      </x:c>
      <x:c r="D37" s="15" t="n">
        <x:v>45658</x:v>
      </x:c>
      <x:c r="E37" s="12" t="n">
        <x:v>0.25</x:v>
      </x:c>
      <x:c r="F37" s="12" t="str">
        <x:v>FORMAL</x:v>
      </x:c>
      <x:c r="G37" s="14" t="n">
        <x:v>45658.208333333336</x:v>
      </x:c>
      <x:c r="H37" s="12" t="n">
        <x:v>62.42</x:v>
      </x:c>
      <x:c r="I37" s="12" t="str">
        <x:v>2025-01-01_7</x:v>
      </x:c>
      <x:c r="J37" s="12" t="n">
        <x:v>60</x:v>
      </x:c>
      <x:c r="K37" s="12" t="str">
        <x:v>DA_2025-01-01@80c3f1a8e3ee</x:v>
      </x:c>
      <x:c r="L37" s="15" t="n">
        <x:v>45657</x:v>
      </x:c>
      <x:c r="M37" s="12" t="n">
        <x:v>4.9741</x:v>
      </x:c>
      <x:c r="N37" s="12" t="str">
        <x:v>BNR2024_BOUNDARY@c4397e7f9c31</x:v>
      </x:c>
      <x:c r="O37" s="12"/>
      <x:c r="P37" s="12"/>
      <x:c r="Q37" s="12"/>
      <x:c r="R37" s="12"/>
      <x:c r="S37" s="12" t="str">
        <x:v>OUT_OF_RESEARCH_COVERAGE_PRE_2025_06</x:v>
      </x:c>
      <x:c r="T37" s="12" t="n">
        <x:v>200</x:v>
      </x:c>
      <x:c r="U37" s="12" t="str">
        <x:v>aFRRUp_2025-01-01T05:00:00Z</x:v>
      </x:c>
      <x:c r="V37" s="12" t="str">
        <x:v>tenderStatistics_2025-01@c14c9dea784d</x:v>
      </x:c>
      <x:c r="W37" s="12" t="n">
        <x:v>13.831647936310086</x:v>
      </x:c>
      <x:c r="X37" s="12" t="str">
        <x:v>PUBLISHED_PROXY</x:v>
      </x:c>
      <x:c r="Y37" s="12" t="n">
        <x:v>200</x:v>
      </x:c>
      <x:c r="Z37" s="12" t="str">
        <x:v>aFRRDown_2025-01-01T05:00:00Z</x:v>
      </x:c>
      <x:c r="AA37" s="12" t="str">
        <x:v>tenderStatistics_2025-01@c14c9dea784d</x:v>
      </x:c>
      <x:c r="AB37" s="12" t="n">
        <x:v>14.710198829939085</x:v>
      </x:c>
      <x:c r="AC37" s="12" t="str">
        <x:v>PUBLISHED_PROXY</x:v>
      </x:c>
      <x:c r="AD37" s="12"/>
      <x:c r="AE37" s="12" t="str">
        <x:v>SOURCE_NULL_NOT_MODELED</x:v>
      </x:c>
      <x:c r="AF37" s="12"/>
      <x:c r="AG37" s="12" t="n">
        <x:v>152.91610542610724</x:v>
      </x:c>
      <x:c r="AH37" s="12" t="str">
        <x:v>PUBLISHED_PROXY</x:v>
      </x:c>
      <x:c r="AI37" s="12" t="n">
        <x:v>16.97</x:v>
      </x:c>
      <x:c r="AJ37" s="12" t="n">
        <x:v>0</x:v>
      </x:c>
      <x:c r="AK37" s="12" t="str">
        <x:v>PUBLISHED_PROXY</x:v>
      </x:c>
      <x:c r="AL37" s="12" t="n">
        <x:v>0</x:v>
      </x:c>
      <x:c r="AM37" s="12" t="str">
        <x:v>marginalPricesOverview_2025-01@5b9daf9d82d7</x:v>
      </x:c>
      <x:c r="AN37" s="12" t="str">
        <x:v>activatedBalancingEnergyOverview_2025-01@4135ac664b2a</x:v>
      </x:c>
      <x:c r="AO37" s="12" t="str">
        <x:v>PUBLISHED_NATIVE</x:v>
      </x:c>
      <x:c r="AP37" s="12" t="n">
        <x:v>0.3394</x:v>
      </x:c>
      <x:c r="AQ37" s="12" t="n">
        <x:v>0</x:v>
      </x:c>
      <x:c r="AR37" s="12" t="n">
        <x:v>0.3394</x:v>
      </x:c>
      <x:c r="AS37" s="13" t="b">
        <x:v>1</x:v>
      </x:c>
      <x:c r="AT37" s="13" t="b">
        <x:v>1</x:v>
      </x:c>
      <x:c r="AU37" s="13" t="b">
        <x:v>1</x:v>
      </x:c>
      <x:c r="AV37" s="13" t="b">
        <x:v>1</x:v>
      </x:c>
      <x:c r="AW37" s="13" t="b">
        <x:v>1</x:v>
      </x:c>
      <x:c r="AX37" s="13" t="b">
        <x:v>0</x:v>
      </x:c>
      <x:c r="AY37" s="13" t="b">
        <x:v>0</x:v>
      </x:c>
      <x:c r="AZ37" s="13" t="b">
        <x:v>1</x:v>
      </x:c>
      <x:c r="BA37" s="12" t="str">
        <x:v>OK</x:v>
      </x:c>
      <x:c r="BB37" s="12" t="str">
        <x:v>OK</x:v>
      </x:c>
      <x:c r="BC37" s="12" t="str">
        <x:v>EUR</x:v>
      </x:c>
      <x:c r="BD37" s="12" t="n">
        <x:v>10</x:v>
      </x:c>
      <x:c r="BE37" s="12" t="n">
        <x:v>10</x:v>
      </x:c>
      <x:c r="BF37" s="12" t="n">
        <x:v>0</x:v>
      </x:c>
      <x:c r="BG37" s="12" t="n">
        <x:v>0</x:v>
      </x:c>
      <x:c r="BH37" s="12" t="n">
        <x:v>0</x:v>
      </x:c>
      <x:c r="BI37" s="12" t="n">
        <x:v>0</x:v>
      </x:c>
      <x:c r="BJ37" s="12" t="n">
        <x:v>0</x:v>
      </x:c>
      <x:c r="BK37" s="12" t="n">
        <x:v>0</x:v>
      </x:c>
      <x:c r="BL37" s="12" t="n">
        <x:v>0</x:v>
      </x:c>
      <x:c r="BM37" s="12" t="n">
        <x:v>0</x:v>
      </x:c>
      <x:c r="BN37" s="12" t="n">
        <x:v>0</x:v>
      </x:c>
      <x:c r="BO37" s="12" t="n">
        <x:v>0</x:v>
      </x:c>
      <x:c r="BP37" s="12" t="n">
        <x:v>0</x:v>
      </x:c>
      <x:c r="BQ37" s="12" t="n">
        <x:v>0</x:v>
      </x:c>
      <x:c r="BR37" s="12" t="n">
        <x:v>0</x:v>
      </x:c>
      <x:c r="BS37" s="12" t="n">
        <x:v>0</x:v>
      </x:c>
    </x:row>
    <x:row r="38" ht="21" customHeight="1">
      <x:c r="A38" s="14" t="n">
        <x:v>45658.21875</x:v>
      </x:c>
      <x:c r="B38" s="14" t="n">
        <x:v>45658.229166666664</x:v>
      </x:c>
      <x:c r="C38" s="14" t="n">
        <x:v>45658.302083333336</x:v>
      </x:c>
      <x:c r="D38" s="15" t="n">
        <x:v>45658</x:v>
      </x:c>
      <x:c r="E38" s="12" t="n">
        <x:v>0.25</x:v>
      </x:c>
      <x:c r="F38" s="12" t="str">
        <x:v>FORMAL</x:v>
      </x:c>
      <x:c r="G38" s="14" t="n">
        <x:v>45658.208333333336</x:v>
      </x:c>
      <x:c r="H38" s="12" t="n">
        <x:v>62.42</x:v>
      </x:c>
      <x:c r="I38" s="12" t="str">
        <x:v>2025-01-01_7</x:v>
      </x:c>
      <x:c r="J38" s="12" t="n">
        <x:v>60</x:v>
      </x:c>
      <x:c r="K38" s="12" t="str">
        <x:v>DA_2025-01-01@80c3f1a8e3ee</x:v>
      </x:c>
      <x:c r="L38" s="15" t="n">
        <x:v>45657</x:v>
      </x:c>
      <x:c r="M38" s="12" t="n">
        <x:v>4.9741</x:v>
      </x:c>
      <x:c r="N38" s="12" t="str">
        <x:v>BNR2024_BOUNDARY@c4397e7f9c31</x:v>
      </x:c>
      <x:c r="O38" s="12"/>
      <x:c r="P38" s="12"/>
      <x:c r="Q38" s="12"/>
      <x:c r="R38" s="12"/>
      <x:c r="S38" s="12" t="str">
        <x:v>OUT_OF_RESEARCH_COVERAGE_PRE_2025_06</x:v>
      </x:c>
      <x:c r="T38" s="12" t="n">
        <x:v>200</x:v>
      </x:c>
      <x:c r="U38" s="12" t="str">
        <x:v>aFRRUp_2025-01-01T05:00:00Z</x:v>
      </x:c>
      <x:c r="V38" s="12" t="str">
        <x:v>tenderStatistics_2025-01@c14c9dea784d</x:v>
      </x:c>
      <x:c r="W38" s="12" t="n">
        <x:v>13.831647936310086</x:v>
      </x:c>
      <x:c r="X38" s="12" t="str">
        <x:v>PUBLISHED_PROXY</x:v>
      </x:c>
      <x:c r="Y38" s="12" t="n">
        <x:v>200</x:v>
      </x:c>
      <x:c r="Z38" s="12" t="str">
        <x:v>aFRRDown_2025-01-01T05:00:00Z</x:v>
      </x:c>
      <x:c r="AA38" s="12" t="str">
        <x:v>tenderStatistics_2025-01@c14c9dea784d</x:v>
      </x:c>
      <x:c r="AB38" s="12" t="n">
        <x:v>14.710198829939085</x:v>
      </x:c>
      <x:c r="AC38" s="12" t="str">
        <x:v>PUBLISHED_PROXY</x:v>
      </x:c>
      <x:c r="AD38" s="12"/>
      <x:c r="AE38" s="12" t="str">
        <x:v>SOURCE_NULL_NOT_MODELED</x:v>
      </x:c>
      <x:c r="AF38" s="12"/>
      <x:c r="AG38" s="12" t="n">
        <x:v>152.91610542610724</x:v>
      </x:c>
      <x:c r="AH38" s="12" t="str">
        <x:v>PUBLISHED_PROXY</x:v>
      </x:c>
      <x:c r="AI38" s="12" t="n">
        <x:v>20.092</x:v>
      </x:c>
      <x:c r="AJ38" s="12" t="n">
        <x:v>0</x:v>
      </x:c>
      <x:c r="AK38" s="12" t="str">
        <x:v>PUBLISHED_PROXY</x:v>
      </x:c>
      <x:c r="AL38" s="12" t="n">
        <x:v>0</x:v>
      </x:c>
      <x:c r="AM38" s="12" t="str">
        <x:v>marginalPricesOverview_2025-01@5b9daf9d82d7</x:v>
      </x:c>
      <x:c r="AN38" s="12" t="str">
        <x:v>activatedBalancingEnergyOverview_2025-01@4135ac664b2a</x:v>
      </x:c>
      <x:c r="AO38" s="12" t="str">
        <x:v>PUBLISHED_NATIVE</x:v>
      </x:c>
      <x:c r="AP38" s="12" t="n">
        <x:v>0.40184</x:v>
      </x:c>
      <x:c r="AQ38" s="12" t="n">
        <x:v>0</x:v>
      </x:c>
      <x:c r="AR38" s="12" t="n">
        <x:v>0.40184</x:v>
      </x:c>
      <x:c r="AS38" s="13" t="b">
        <x:v>1</x:v>
      </x:c>
      <x:c r="AT38" s="13" t="b">
        <x:v>1</x:v>
      </x:c>
      <x:c r="AU38" s="13" t="b">
        <x:v>1</x:v>
      </x:c>
      <x:c r="AV38" s="13" t="b">
        <x:v>1</x:v>
      </x:c>
      <x:c r="AW38" s="13" t="b">
        <x:v>1</x:v>
      </x:c>
      <x:c r="AX38" s="13" t="b">
        <x:v>0</x:v>
      </x:c>
      <x:c r="AY38" s="13" t="b">
        <x:v>0</x:v>
      </x:c>
      <x:c r="AZ38" s="13" t="b">
        <x:v>1</x:v>
      </x:c>
      <x:c r="BA38" s="12" t="str">
        <x:v>OK</x:v>
      </x:c>
      <x:c r="BB38" s="12" t="str">
        <x:v>OK</x:v>
      </x:c>
      <x:c r="BC38" s="12" t="str">
        <x:v>EUR</x:v>
      </x:c>
      <x:c r="BD38" s="12" t="n">
        <x:v>10</x:v>
      </x:c>
      <x:c r="BE38" s="12" t="n">
        <x:v>10</x:v>
      </x:c>
      <x:c r="BF38" s="12" t="n">
        <x:v>0</x:v>
      </x:c>
      <x:c r="BG38" s="12" t="n">
        <x:v>0</x:v>
      </x:c>
      <x:c r="BH38" s="12" t="n">
        <x:v>0</x:v>
      </x:c>
      <x:c r="BI38" s="12" t="n">
        <x:v>0</x:v>
      </x:c>
      <x:c r="BJ38" s="12" t="n">
        <x:v>0</x:v>
      </x:c>
      <x:c r="BK38" s="12" t="n">
        <x:v>0</x:v>
      </x:c>
      <x:c r="BL38" s="12" t="n">
        <x:v>0</x:v>
      </x:c>
      <x:c r="BM38" s="12" t="n">
        <x:v>0</x:v>
      </x:c>
      <x:c r="BN38" s="12" t="n">
        <x:v>0</x:v>
      </x:c>
      <x:c r="BO38" s="12" t="n">
        <x:v>0</x:v>
      </x:c>
      <x:c r="BP38" s="12" t="n">
        <x:v>0</x:v>
      </x:c>
      <x:c r="BQ38" s="12" t="n">
        <x:v>0</x:v>
      </x:c>
      <x:c r="BR38" s="12" t="n">
        <x:v>0</x:v>
      </x:c>
      <x:c r="BS38" s="12" t="n">
        <x:v>0</x:v>
      </x:c>
    </x:row>
    <x:row r="39" ht="21" customHeight="1">
      <x:c r="A39" s="14" t="n">
        <x:v>45658.229166666664</x:v>
      </x:c>
      <x:c r="B39" s="14" t="n">
        <x:v>45658.239583333336</x:v>
      </x:c>
      <x:c r="C39" s="14" t="n">
        <x:v>45658.3125</x:v>
      </x:c>
      <x:c r="D39" s="15" t="n">
        <x:v>45658</x:v>
      </x:c>
      <x:c r="E39" s="12" t="n">
        <x:v>0.25</x:v>
      </x:c>
      <x:c r="F39" s="12" t="str">
        <x:v>FORMAL</x:v>
      </x:c>
      <x:c r="G39" s="14" t="n">
        <x:v>45658.208333333336</x:v>
      </x:c>
      <x:c r="H39" s="12" t="n">
        <x:v>62.42</x:v>
      </x:c>
      <x:c r="I39" s="12" t="str">
        <x:v>2025-01-01_7</x:v>
      </x:c>
      <x:c r="J39" s="12" t="n">
        <x:v>60</x:v>
      </x:c>
      <x:c r="K39" s="12" t="str">
        <x:v>DA_2025-01-01@80c3f1a8e3ee</x:v>
      </x:c>
      <x:c r="L39" s="15" t="n">
        <x:v>45657</x:v>
      </x:c>
      <x:c r="M39" s="12" t="n">
        <x:v>4.9741</x:v>
      </x:c>
      <x:c r="N39" s="12" t="str">
        <x:v>BNR2024_BOUNDARY@c4397e7f9c31</x:v>
      </x:c>
      <x:c r="O39" s="12"/>
      <x:c r="P39" s="12"/>
      <x:c r="Q39" s="12"/>
      <x:c r="R39" s="12"/>
      <x:c r="S39" s="12" t="str">
        <x:v>OUT_OF_RESEARCH_COVERAGE_PRE_2025_06</x:v>
      </x:c>
      <x:c r="T39" s="12" t="n">
        <x:v>200</x:v>
      </x:c>
      <x:c r="U39" s="12" t="str">
        <x:v>aFRRUp_2025-01-01T05:00:00Z</x:v>
      </x:c>
      <x:c r="V39" s="12" t="str">
        <x:v>tenderStatistics_2025-01@c14c9dea784d</x:v>
      </x:c>
      <x:c r="W39" s="12" t="n">
        <x:v>13.831647936310086</x:v>
      </x:c>
      <x:c r="X39" s="12" t="str">
        <x:v>PUBLISHED_PROXY</x:v>
      </x:c>
      <x:c r="Y39" s="12" t="n">
        <x:v>200</x:v>
      </x:c>
      <x:c r="Z39" s="12" t="str">
        <x:v>aFRRDown_2025-01-01T05:00:00Z</x:v>
      </x:c>
      <x:c r="AA39" s="12" t="str">
        <x:v>tenderStatistics_2025-01@c14c9dea784d</x:v>
      </x:c>
      <x:c r="AB39" s="12" t="n">
        <x:v>14.710198829939085</x:v>
      </x:c>
      <x:c r="AC39" s="12" t="str">
        <x:v>PUBLISHED_PROXY</x:v>
      </x:c>
      <x:c r="AD39" s="12"/>
      <x:c r="AE39" s="12" t="str">
        <x:v>SOURCE_NULL_NOT_MODELED</x:v>
      </x:c>
      <x:c r="AF39" s="12"/>
      <x:c r="AG39" s="12" t="n">
        <x:v>151.75046742124204</x:v>
      </x:c>
      <x:c r="AH39" s="12" t="str">
        <x:v>PUBLISHED_PROXY</x:v>
      </x:c>
      <x:c r="AI39" s="12" t="n">
        <x:v>11.528</x:v>
      </x:c>
      <x:c r="AJ39" s="12" t="n">
        <x:v>0</x:v>
      </x:c>
      <x:c r="AK39" s="12" t="str">
        <x:v>PUBLISHED_PROXY</x:v>
      </x:c>
      <x:c r="AL39" s="12" t="n">
        <x:v>0</x:v>
      </x:c>
      <x:c r="AM39" s="12" t="str">
        <x:v>marginalPricesOverview_2025-01@5b9daf9d82d7</x:v>
      </x:c>
      <x:c r="AN39" s="12" t="str">
        <x:v>activatedBalancingEnergyOverview_2025-01@4135ac664b2a</x:v>
      </x:c>
      <x:c r="AO39" s="12" t="str">
        <x:v>PUBLISHED_NATIVE</x:v>
      </x:c>
      <x:c r="AP39" s="12" t="n">
        <x:v>0.23056</x:v>
      </x:c>
      <x:c r="AQ39" s="12" t="n">
        <x:v>0</x:v>
      </x:c>
      <x:c r="AR39" s="12" t="n">
        <x:v>0.23056</x:v>
      </x:c>
      <x:c r="AS39" s="13" t="b">
        <x:v>1</x:v>
      </x:c>
      <x:c r="AT39" s="13" t="b">
        <x:v>1</x:v>
      </x:c>
      <x:c r="AU39" s="13" t="b">
        <x:v>1</x:v>
      </x:c>
      <x:c r="AV39" s="13" t="b">
        <x:v>1</x:v>
      </x:c>
      <x:c r="AW39" s="13" t="b">
        <x:v>1</x:v>
      </x:c>
      <x:c r="AX39" s="13" t="b">
        <x:v>0</x:v>
      </x:c>
      <x:c r="AY39" s="13" t="b">
        <x:v>0</x:v>
      </x:c>
      <x:c r="AZ39" s="13" t="b">
        <x:v>1</x:v>
      </x:c>
      <x:c r="BA39" s="12" t="str">
        <x:v>OK</x:v>
      </x:c>
      <x:c r="BB39" s="12" t="str">
        <x:v>OK</x:v>
      </x:c>
      <x:c r="BC39" s="12" t="str">
        <x:v>EUR</x:v>
      </x:c>
      <x:c r="BD39" s="12" t="n">
        <x:v>10</x:v>
      </x:c>
      <x:c r="BE39" s="12" t="n">
        <x:v>10</x:v>
      </x:c>
      <x:c r="BF39" s="12" t="n">
        <x:v>0</x:v>
      </x:c>
      <x:c r="BG39" s="12" t="n">
        <x:v>0</x:v>
      </x:c>
      <x:c r="BH39" s="12" t="n">
        <x:v>0</x:v>
      </x:c>
      <x:c r="BI39" s="12" t="n">
        <x:v>0</x:v>
      </x:c>
      <x:c r="BJ39" s="12" t="n">
        <x:v>0</x:v>
      </x:c>
      <x:c r="BK39" s="12" t="n">
        <x:v>0</x:v>
      </x:c>
      <x:c r="BL39" s="12" t="n">
        <x:v>0</x:v>
      </x:c>
      <x:c r="BM39" s="12" t="n">
        <x:v>0</x:v>
      </x:c>
      <x:c r="BN39" s="12" t="n">
        <x:v>0</x:v>
      </x:c>
      <x:c r="BO39" s="12" t="n">
        <x:v>0</x:v>
      </x:c>
      <x:c r="BP39" s="12" t="n">
        <x:v>0</x:v>
      </x:c>
      <x:c r="BQ39" s="12" t="n">
        <x:v>0</x:v>
      </x:c>
      <x:c r="BR39" s="12" t="n">
        <x:v>0</x:v>
      </x:c>
      <x:c r="BS39" s="12" t="n">
        <x:v>0</x:v>
      </x:c>
    </x:row>
    <x:row r="40" ht="21" customHeight="1">
      <x:c r="A40" s="14" t="n">
        <x:v>45658.239583333336</x:v>
      </x:c>
      <x:c r="B40" s="14" t="n">
        <x:v>45658.25</x:v>
      </x:c>
      <x:c r="C40" s="14" t="n">
        <x:v>45658.322916666664</x:v>
      </x:c>
      <x:c r="D40" s="15" t="n">
        <x:v>45658</x:v>
      </x:c>
      <x:c r="E40" s="12" t="n">
        <x:v>0.25</x:v>
      </x:c>
      <x:c r="F40" s="12" t="str">
        <x:v>FORMAL</x:v>
      </x:c>
      <x:c r="G40" s="14" t="n">
        <x:v>45658.208333333336</x:v>
      </x:c>
      <x:c r="H40" s="12" t="n">
        <x:v>62.42</x:v>
      </x:c>
      <x:c r="I40" s="12" t="str">
        <x:v>2025-01-01_7</x:v>
      </x:c>
      <x:c r="J40" s="12" t="n">
        <x:v>60</x:v>
      </x:c>
      <x:c r="K40" s="12" t="str">
        <x:v>DA_2025-01-01@80c3f1a8e3ee</x:v>
      </x:c>
      <x:c r="L40" s="15" t="n">
        <x:v>45657</x:v>
      </x:c>
      <x:c r="M40" s="12" t="n">
        <x:v>4.9741</x:v>
      </x:c>
      <x:c r="N40" s="12" t="str">
        <x:v>BNR2024_BOUNDARY@c4397e7f9c31</x:v>
      </x:c>
      <x:c r="O40" s="12"/>
      <x:c r="P40" s="12"/>
      <x:c r="Q40" s="12"/>
      <x:c r="R40" s="12"/>
      <x:c r="S40" s="12" t="str">
        <x:v>OUT_OF_RESEARCH_COVERAGE_PRE_2025_06</x:v>
      </x:c>
      <x:c r="T40" s="12" t="n">
        <x:v>200</x:v>
      </x:c>
      <x:c r="U40" s="12" t="str">
        <x:v>aFRRUp_2025-01-01T05:00:00Z</x:v>
      </x:c>
      <x:c r="V40" s="12" t="str">
        <x:v>tenderStatistics_2025-01@c14c9dea784d</x:v>
      </x:c>
      <x:c r="W40" s="12" t="n">
        <x:v>13.831647936310086</x:v>
      </x:c>
      <x:c r="X40" s="12" t="str">
        <x:v>PUBLISHED_PROXY</x:v>
      </x:c>
      <x:c r="Y40" s="12" t="n">
        <x:v>200</x:v>
      </x:c>
      <x:c r="Z40" s="12" t="str">
        <x:v>aFRRDown_2025-01-01T05:00:00Z</x:v>
      </x:c>
      <x:c r="AA40" s="12" t="str">
        <x:v>tenderStatistics_2025-01@c14c9dea784d</x:v>
      </x:c>
      <x:c r="AB40" s="12" t="n">
        <x:v>14.710198829939085</x:v>
      </x:c>
      <x:c r="AC40" s="12" t="str">
        <x:v>PUBLISHED_PROXY</x:v>
      </x:c>
      <x:c r="AD40" s="12"/>
      <x:c r="AE40" s="12" t="str">
        <x:v>SOURCE_NULL_NOT_MODELED</x:v>
      </x:c>
      <x:c r="AF40" s="12"/>
      <x:c r="AG40" s="12" t="n">
        <x:v>136.70814820771596</x:v>
      </x:c>
      <x:c r="AH40" s="12" t="str">
        <x:v>PUBLISHED_PROXY</x:v>
      </x:c>
      <x:c r="AI40" s="12" t="n">
        <x:v>2.005</x:v>
      </x:c>
      <x:c r="AJ40" s="12" t="n">
        <x:v>0</x:v>
      </x:c>
      <x:c r="AK40" s="12" t="str">
        <x:v>PUBLISHED_PROXY</x:v>
      </x:c>
      <x:c r="AL40" s="12" t="n">
        <x:v>0</x:v>
      </x:c>
      <x:c r="AM40" s="12" t="str">
        <x:v>marginalPricesOverview_2025-01@5b9daf9d82d7</x:v>
      </x:c>
      <x:c r="AN40" s="12" t="str">
        <x:v>activatedBalancingEnergyOverview_2025-01@4135ac664b2a</x:v>
      </x:c>
      <x:c r="AO40" s="12" t="str">
        <x:v>PUBLISHED_NATIVE</x:v>
      </x:c>
      <x:c r="AP40" s="12" t="n">
        <x:v>0.0401</x:v>
      </x:c>
      <x:c r="AQ40" s="12" t="n">
        <x:v>0</x:v>
      </x:c>
      <x:c r="AR40" s="12" t="n">
        <x:v>0.0401</x:v>
      </x:c>
      <x:c r="AS40" s="13" t="b">
        <x:v>1</x:v>
      </x:c>
      <x:c r="AT40" s="13" t="b">
        <x:v>1</x:v>
      </x:c>
      <x:c r="AU40" s="13" t="b">
        <x:v>1</x:v>
      </x:c>
      <x:c r="AV40" s="13" t="b">
        <x:v>1</x:v>
      </x:c>
      <x:c r="AW40" s="13" t="b">
        <x:v>1</x:v>
      </x:c>
      <x:c r="AX40" s="13" t="b">
        <x:v>0</x:v>
      </x:c>
      <x:c r="AY40" s="13" t="b">
        <x:v>0</x:v>
      </x:c>
      <x:c r="AZ40" s="13" t="b">
        <x:v>1</x:v>
      </x:c>
      <x:c r="BA40" s="12" t="str">
        <x:v>OK</x:v>
      </x:c>
      <x:c r="BB40" s="12" t="str">
        <x:v>OK</x:v>
      </x:c>
      <x:c r="BC40" s="12" t="str">
        <x:v>EUR</x:v>
      </x:c>
      <x:c r="BD40" s="12" t="n">
        <x:v>10</x:v>
      </x:c>
      <x:c r="BE40" s="12" t="n">
        <x:v>10</x:v>
      </x:c>
      <x:c r="BF40" s="12" t="n">
        <x:v>0</x:v>
      </x:c>
      <x:c r="BG40" s="12" t="n">
        <x:v>0</x:v>
      </x:c>
      <x:c r="BH40" s="12" t="n">
        <x:v>0</x:v>
      </x:c>
      <x:c r="BI40" s="12" t="n">
        <x:v>0</x:v>
      </x:c>
      <x:c r="BJ40" s="12" t="n">
        <x:v>0</x:v>
      </x:c>
      <x:c r="BK40" s="12" t="n">
        <x:v>0</x:v>
      </x:c>
      <x:c r="BL40" s="12" t="n">
        <x:v>0</x:v>
      </x:c>
      <x:c r="BM40" s="12" t="n">
        <x:v>0</x:v>
      </x:c>
      <x:c r="BN40" s="12" t="n">
        <x:v>0</x:v>
      </x:c>
      <x:c r="BO40" s="12" t="n">
        <x:v>0</x:v>
      </x:c>
      <x:c r="BP40" s="12" t="n">
        <x:v>0</x:v>
      </x:c>
      <x:c r="BQ40" s="12" t="n">
        <x:v>0</x:v>
      </x:c>
      <x:c r="BR40" s="12" t="n">
        <x:v>0</x:v>
      </x:c>
      <x:c r="BS40" s="12" t="n">
        <x:v>0</x:v>
      </x:c>
    </x:row>
    <x:row r="41" ht="21" customHeight="1">
      <x:c r="A41" s="14" t="n">
        <x:v>45658.25</x:v>
      </x:c>
      <x:c r="B41" s="14" t="n">
        <x:v>45658.260416666664</x:v>
      </x:c>
      <x:c r="C41" s="14" t="n">
        <x:v>45658.333333333336</x:v>
      </x:c>
      <x:c r="D41" s="15" t="n">
        <x:v>45658</x:v>
      </x:c>
      <x:c r="E41" s="12" t="n">
        <x:v>0.25</x:v>
      </x:c>
      <x:c r="F41" s="12" t="str">
        <x:v>FORMAL</x:v>
      </x:c>
      <x:c r="G41" s="14" t="n">
        <x:v>45658.25</x:v>
      </x:c>
      <x:c r="H41" s="12" t="n">
        <x:v>56.78</x:v>
      </x:c>
      <x:c r="I41" s="12" t="str">
        <x:v>2025-01-01_8</x:v>
      </x:c>
      <x:c r="J41" s="12" t="n">
        <x:v>60</x:v>
      </x:c>
      <x:c r="K41" s="12" t="str">
        <x:v>DA_2025-01-01@80c3f1a8e3ee</x:v>
      </x:c>
      <x:c r="L41" s="15" t="n">
        <x:v>45657</x:v>
      </x:c>
      <x:c r="M41" s="12" t="n">
        <x:v>4.9741</x:v>
      </x:c>
      <x:c r="N41" s="12" t="str">
        <x:v>BNR2024_BOUNDARY@c4397e7f9c31</x:v>
      </x:c>
      <x:c r="O41" s="12"/>
      <x:c r="P41" s="12"/>
      <x:c r="Q41" s="12"/>
      <x:c r="R41" s="12"/>
      <x:c r="S41" s="12" t="str">
        <x:v>OUT_OF_RESEARCH_COVERAGE_PRE_2025_06</x:v>
      </x:c>
      <x:c r="T41" s="12" t="n">
        <x:v>200</x:v>
      </x:c>
      <x:c r="U41" s="12" t="str">
        <x:v>aFRRUp_2025-01-01T06:00:00Z</x:v>
      </x:c>
      <x:c r="V41" s="12" t="str">
        <x:v>tenderStatistics_2025-01@c14c9dea784d</x:v>
      </x:c>
      <x:c r="W41" s="12" t="n">
        <x:v>13.831647936310086</x:v>
      </x:c>
      <x:c r="X41" s="12" t="str">
        <x:v>PUBLISHED_PROXY</x:v>
      </x:c>
      <x:c r="Y41" s="12" t="n">
        <x:v>200</x:v>
      </x:c>
      <x:c r="Z41" s="12" t="str">
        <x:v>aFRRDown_2025-01-01T06:00:00Z</x:v>
      </x:c>
      <x:c r="AA41" s="12" t="str">
        <x:v>tenderStatistics_2025-01@c14c9dea784d</x:v>
      </x:c>
      <x:c r="AB41" s="12" t="n">
        <x:v>14.676021792887155</x:v>
      </x:c>
      <x:c r="AC41" s="12" t="str">
        <x:v>PUBLISHED_PROXY</x:v>
      </x:c>
      <x:c r="AD41" s="12"/>
      <x:c r="AE41" s="12" t="str">
        <x:v>SOURCE_NULL_NOT_MODELED</x:v>
      </x:c>
      <x:c r="AF41" s="12"/>
      <x:c r="AG41" s="12" t="n">
        <x:v>144.71763736153275</x:v>
      </x:c>
      <x:c r="AH41" s="12" t="str">
        <x:v>PUBLISHED_PROXY</x:v>
      </x:c>
      <x:c r="AI41" s="12" t="n">
        <x:v>8.884</x:v>
      </x:c>
      <x:c r="AJ41" s="12" t="n">
        <x:v>0</x:v>
      </x:c>
      <x:c r="AK41" s="12" t="str">
        <x:v>PUBLISHED_PROXY</x:v>
      </x:c>
      <x:c r="AL41" s="12" t="n">
        <x:v>0</x:v>
      </x:c>
      <x:c r="AM41" s="12" t="str">
        <x:v>marginalPricesOverview_2025-01@5b9daf9d82d7</x:v>
      </x:c>
      <x:c r="AN41" s="12" t="str">
        <x:v>activatedBalancingEnergyOverview_2025-01@4135ac664b2a</x:v>
      </x:c>
      <x:c r="AO41" s="12" t="str">
        <x:v>PUBLISHED_NATIVE</x:v>
      </x:c>
      <x:c r="AP41" s="12" t="n">
        <x:v>0.17768</x:v>
      </x:c>
      <x:c r="AQ41" s="12" t="n">
        <x:v>0</x:v>
      </x:c>
      <x:c r="AR41" s="12" t="n">
        <x:v>0.17768</x:v>
      </x:c>
      <x:c r="AS41" s="13" t="b">
        <x:v>1</x:v>
      </x:c>
      <x:c r="AT41" s="13" t="b">
        <x:v>1</x:v>
      </x:c>
      <x:c r="AU41" s="13" t="b">
        <x:v>1</x:v>
      </x:c>
      <x:c r="AV41" s="13" t="b">
        <x:v>1</x:v>
      </x:c>
      <x:c r="AW41" s="13" t="b">
        <x:v>1</x:v>
      </x:c>
      <x:c r="AX41" s="13" t="b">
        <x:v>0</x:v>
      </x:c>
      <x:c r="AY41" s="13" t="b">
        <x:v>0</x:v>
      </x:c>
      <x:c r="AZ41" s="13" t="b">
        <x:v>1</x:v>
      </x:c>
      <x:c r="BA41" s="12" t="str">
        <x:v>OK</x:v>
      </x:c>
      <x:c r="BB41" s="12" t="str">
        <x:v>OK</x:v>
      </x:c>
      <x:c r="BC41" s="12" t="str">
        <x:v>EUR</x:v>
      </x:c>
      <x:c r="BD41" s="12" t="n">
        <x:v>10</x:v>
      </x:c>
      <x:c r="BE41" s="12" t="n">
        <x:v>10</x:v>
      </x:c>
      <x:c r="BF41" s="12" t="n">
        <x:v>0</x:v>
      </x:c>
      <x:c r="BG41" s="12" t="n">
        <x:v>0</x:v>
      </x:c>
      <x:c r="BH41" s="12" t="n">
        <x:v>0</x:v>
      </x:c>
      <x:c r="BI41" s="12" t="n">
        <x:v>0</x:v>
      </x:c>
      <x:c r="BJ41" s="12" t="n">
        <x:v>0</x:v>
      </x:c>
      <x:c r="BK41" s="12" t="n">
        <x:v>0</x:v>
      </x:c>
      <x:c r="BL41" s="12" t="n">
        <x:v>0</x:v>
      </x:c>
      <x:c r="BM41" s="12" t="n">
        <x:v>0</x:v>
      </x:c>
      <x:c r="BN41" s="12" t="n">
        <x:v>0</x:v>
      </x:c>
      <x:c r="BO41" s="12" t="n">
        <x:v>0</x:v>
      </x:c>
      <x:c r="BP41" s="12" t="n">
        <x:v>0</x:v>
      </x:c>
      <x:c r="BQ41" s="12" t="n">
        <x:v>0</x:v>
      </x:c>
      <x:c r="BR41" s="12" t="n">
        <x:v>0</x:v>
      </x:c>
      <x:c r="BS41" s="12" t="n">
        <x:v>0</x:v>
      </x:c>
    </x:row>
    <x:row r="42" ht="21" customHeight="1">
      <x:c r="A42" s="14" t="n">
        <x:v>45658.260416666664</x:v>
      </x:c>
      <x:c r="B42" s="14" t="n">
        <x:v>45658.270833333336</x:v>
      </x:c>
      <x:c r="C42" s="14" t="n">
        <x:v>45658.34375</x:v>
      </x:c>
      <x:c r="D42" s="15" t="n">
        <x:v>45658</x:v>
      </x:c>
      <x:c r="E42" s="12" t="n">
        <x:v>0.25</x:v>
      </x:c>
      <x:c r="F42" s="12" t="str">
        <x:v>FORMAL</x:v>
      </x:c>
      <x:c r="G42" s="14" t="n">
        <x:v>45658.25</x:v>
      </x:c>
      <x:c r="H42" s="12" t="n">
        <x:v>56.78</x:v>
      </x:c>
      <x:c r="I42" s="12" t="str">
        <x:v>2025-01-01_8</x:v>
      </x:c>
      <x:c r="J42" s="12" t="n">
        <x:v>60</x:v>
      </x:c>
      <x:c r="K42" s="12" t="str">
        <x:v>DA_2025-01-01@80c3f1a8e3ee</x:v>
      </x:c>
      <x:c r="L42" s="15" t="n">
        <x:v>45657</x:v>
      </x:c>
      <x:c r="M42" s="12" t="n">
        <x:v>4.9741</x:v>
      </x:c>
      <x:c r="N42" s="12" t="str">
        <x:v>BNR2024_BOUNDARY@c4397e7f9c31</x:v>
      </x:c>
      <x:c r="O42" s="12"/>
      <x:c r="P42" s="12"/>
      <x:c r="Q42" s="12"/>
      <x:c r="R42" s="12"/>
      <x:c r="S42" s="12" t="str">
        <x:v>OUT_OF_RESEARCH_COVERAGE_PRE_2025_06</x:v>
      </x:c>
      <x:c r="T42" s="12" t="n">
        <x:v>200</x:v>
      </x:c>
      <x:c r="U42" s="12" t="str">
        <x:v>aFRRUp_2025-01-01T06:00:00Z</x:v>
      </x:c>
      <x:c r="V42" s="12" t="str">
        <x:v>tenderStatistics_2025-01@c14c9dea784d</x:v>
      </x:c>
      <x:c r="W42" s="12" t="n">
        <x:v>13.831647936310086</x:v>
      </x:c>
      <x:c r="X42" s="12" t="str">
        <x:v>PUBLISHED_PROXY</x:v>
      </x:c>
      <x:c r="Y42" s="12" t="n">
        <x:v>200</x:v>
      </x:c>
      <x:c r="Z42" s="12" t="str">
        <x:v>aFRRDown_2025-01-01T06:00:00Z</x:v>
      </x:c>
      <x:c r="AA42" s="12" t="str">
        <x:v>tenderStatistics_2025-01@c14c9dea784d</x:v>
      </x:c>
      <x:c r="AB42" s="12" t="n">
        <x:v>14.676021792887155</x:v>
      </x:c>
      <x:c r="AC42" s="12" t="str">
        <x:v>PUBLISHED_PROXY</x:v>
      </x:c>
      <x:c r="AD42" s="12"/>
      <x:c r="AE42" s="12" t="str">
        <x:v>SOURCE_NULL_NOT_MODELED</x:v>
      </x:c>
      <x:c r="AF42" s="12"/>
      <x:c r="AG42" s="12" t="n">
        <x:v>136.70814820771596</x:v>
      </x:c>
      <x:c r="AH42" s="12" t="str">
        <x:v>PUBLISHED_PROXY</x:v>
      </x:c>
      <x:c r="AI42" s="12" t="n">
        <x:v>1.434</x:v>
      </x:c>
      <x:c r="AJ42" s="12" t="n">
        <x:v>0</x:v>
      </x:c>
      <x:c r="AK42" s="12" t="str">
        <x:v>PUBLISHED_PROXY</x:v>
      </x:c>
      <x:c r="AL42" s="12" t="n">
        <x:v>0</x:v>
      </x:c>
      <x:c r="AM42" s="12" t="str">
        <x:v>marginalPricesOverview_2025-01@5b9daf9d82d7</x:v>
      </x:c>
      <x:c r="AN42" s="12" t="str">
        <x:v>activatedBalancingEnergyOverview_2025-01@4135ac664b2a</x:v>
      </x:c>
      <x:c r="AO42" s="12" t="str">
        <x:v>PUBLISHED_NATIVE</x:v>
      </x:c>
      <x:c r="AP42" s="12" t="n">
        <x:v>0.0286799999999999</x:v>
      </x:c>
      <x:c r="AQ42" s="12" t="n">
        <x:v>0</x:v>
      </x:c>
      <x:c r="AR42" s="12" t="n">
        <x:v>0.0286799999999999</x:v>
      </x:c>
      <x:c r="AS42" s="13" t="b">
        <x:v>1</x:v>
      </x:c>
      <x:c r="AT42" s="13" t="b">
        <x:v>1</x:v>
      </x:c>
      <x:c r="AU42" s="13" t="b">
        <x:v>1</x:v>
      </x:c>
      <x:c r="AV42" s="13" t="b">
        <x:v>1</x:v>
      </x:c>
      <x:c r="AW42" s="13" t="b">
        <x:v>1</x:v>
      </x:c>
      <x:c r="AX42" s="13" t="b">
        <x:v>0</x:v>
      </x:c>
      <x:c r="AY42" s="13" t="b">
        <x:v>0</x:v>
      </x:c>
      <x:c r="AZ42" s="13" t="b">
        <x:v>1</x:v>
      </x:c>
      <x:c r="BA42" s="12" t="str">
        <x:v>OK</x:v>
      </x:c>
      <x:c r="BB42" s="12" t="str">
        <x:v>OK</x:v>
      </x:c>
      <x:c r="BC42" s="12" t="str">
        <x:v>EUR</x:v>
      </x:c>
      <x:c r="BD42" s="12" t="n">
        <x:v>10</x:v>
      </x:c>
      <x:c r="BE42" s="12" t="n">
        <x:v>10</x:v>
      </x:c>
      <x:c r="BF42" s="12" t="n">
        <x:v>0</x:v>
      </x:c>
      <x:c r="BG42" s="12" t="n">
        <x:v>0</x:v>
      </x:c>
      <x:c r="BH42" s="12" t="n">
        <x:v>0</x:v>
      </x:c>
      <x:c r="BI42" s="12" t="n">
        <x:v>0</x:v>
      </x:c>
      <x:c r="BJ42" s="12" t="n">
        <x:v>0</x:v>
      </x:c>
      <x:c r="BK42" s="12" t="n">
        <x:v>0</x:v>
      </x:c>
      <x:c r="BL42" s="12" t="n">
        <x:v>0</x:v>
      </x:c>
      <x:c r="BM42" s="12" t="n">
        <x:v>0</x:v>
      </x:c>
      <x:c r="BN42" s="12" t="n">
        <x:v>0</x:v>
      </x:c>
      <x:c r="BO42" s="12" t="n">
        <x:v>0</x:v>
      </x:c>
      <x:c r="BP42" s="12" t="n">
        <x:v>0</x:v>
      </x:c>
      <x:c r="BQ42" s="12" t="n">
        <x:v>0</x:v>
      </x:c>
      <x:c r="BR42" s="12" t="n">
        <x:v>0</x:v>
      </x:c>
      <x:c r="BS42" s="12" t="n">
        <x:v>0</x:v>
      </x:c>
    </x:row>
    <x:row r="43" ht="21" customHeight="1">
      <x:c r="A43" s="14" t="n">
        <x:v>45658.270833333336</x:v>
      </x:c>
      <x:c r="B43" s="14" t="n">
        <x:v>45658.28125</x:v>
      </x:c>
      <x:c r="C43" s="14" t="n">
        <x:v>45658.354166666664</x:v>
      </x:c>
      <x:c r="D43" s="15" t="n">
        <x:v>45658</x:v>
      </x:c>
      <x:c r="E43" s="12" t="n">
        <x:v>0.25</x:v>
      </x:c>
      <x:c r="F43" s="12" t="str">
        <x:v>FORMAL</x:v>
      </x:c>
      <x:c r="G43" s="14" t="n">
        <x:v>45658.25</x:v>
      </x:c>
      <x:c r="H43" s="12" t="n">
        <x:v>56.78</x:v>
      </x:c>
      <x:c r="I43" s="12" t="str">
        <x:v>2025-01-01_8</x:v>
      </x:c>
      <x:c r="J43" s="12" t="n">
        <x:v>60</x:v>
      </x:c>
      <x:c r="K43" s="12" t="str">
        <x:v>DA_2025-01-01@80c3f1a8e3ee</x:v>
      </x:c>
      <x:c r="L43" s="15" t="n">
        <x:v>45657</x:v>
      </x:c>
      <x:c r="M43" s="12" t="n">
        <x:v>4.9741</x:v>
      </x:c>
      <x:c r="N43" s="12" t="str">
        <x:v>BNR2024_BOUNDARY@c4397e7f9c31</x:v>
      </x:c>
      <x:c r="O43" s="12"/>
      <x:c r="P43" s="12"/>
      <x:c r="Q43" s="12"/>
      <x:c r="R43" s="12"/>
      <x:c r="S43" s="12" t="str">
        <x:v>OUT_OF_RESEARCH_COVERAGE_PRE_2025_06</x:v>
      </x:c>
      <x:c r="T43" s="12" t="n">
        <x:v>200</x:v>
      </x:c>
      <x:c r="U43" s="12" t="str">
        <x:v>aFRRUp_2025-01-01T06:00:00Z</x:v>
      </x:c>
      <x:c r="V43" s="12" t="str">
        <x:v>tenderStatistics_2025-01@c14c9dea784d</x:v>
      </x:c>
      <x:c r="W43" s="12" t="n">
        <x:v>13.831647936310086</x:v>
      </x:c>
      <x:c r="X43" s="12" t="str">
        <x:v>PUBLISHED_PROXY</x:v>
      </x:c>
      <x:c r="Y43" s="12" t="n">
        <x:v>200</x:v>
      </x:c>
      <x:c r="Z43" s="12" t="str">
        <x:v>aFRRDown_2025-01-01T06:00:00Z</x:v>
      </x:c>
      <x:c r="AA43" s="12" t="str">
        <x:v>tenderStatistics_2025-01@c14c9dea784d</x:v>
      </x:c>
      <x:c r="AB43" s="12" t="n">
        <x:v>14.676021792887155</x:v>
      </x:c>
      <x:c r="AC43" s="12" t="str">
        <x:v>PUBLISHED_PROXY</x:v>
      </x:c>
      <x:c r="AD43" s="12"/>
      <x:c r="AE43" s="12" t="str">
        <x:v>SOURCE_NULL_NOT_MODELED</x:v>
      </x:c>
      <x:c r="AF43" s="12"/>
      <x:c r="AG43" s="12" t="n">
        <x:v>136.70814820771596</x:v>
      </x:c>
      <x:c r="AH43" s="12" t="str">
        <x:v>PUBLISHED_PROXY</x:v>
      </x:c>
      <x:c r="AI43" s="12" t="n">
        <x:v>0.071</x:v>
      </x:c>
      <x:c r="AJ43" s="12" t="n">
        <x:v>41.106732876299226</x:v>
      </x:c>
      <x:c r="AK43" s="12" t="str">
        <x:v>PUBLISHED_PROXY</x:v>
      </x:c>
      <x:c r="AL43" s="12" t="n">
        <x:v>0.456</x:v>
      </x:c>
      <x:c r="AM43" s="12" t="str">
        <x:v>marginalPricesOverview_2025-01@5b9daf9d82d7</x:v>
      </x:c>
      <x:c r="AN43" s="12" t="str">
        <x:v>activatedBalancingEnergyOverview_2025-01@4135ac664b2a</x:v>
      </x:c>
      <x:c r="AO43" s="12" t="str">
        <x:v>PUBLISHED_NATIVE</x:v>
      </x:c>
      <x:c r="AP43" s="12" t="n">
        <x:v>0.0014199999999999</x:v>
      </x:c>
      <x:c r="AQ43" s="12" t="n">
        <x:v>0.00912</x:v>
      </x:c>
      <x:c r="AR43" s="12" t="n">
        <x:v>0.0105399999999999</x:v>
      </x:c>
      <x:c r="AS43" s="13" t="b">
        <x:v>1</x:v>
      </x:c>
      <x:c r="AT43" s="13" t="b">
        <x:v>1</x:v>
      </x:c>
      <x:c r="AU43" s="13" t="b">
        <x:v>1</x:v>
      </x:c>
      <x:c r="AV43" s="13" t="b">
        <x:v>1</x:v>
      </x:c>
      <x:c r="AW43" s="13" t="b">
        <x:v>1</x:v>
      </x:c>
      <x:c r="AX43" s="13" t="b">
        <x:v>0</x:v>
      </x:c>
      <x:c r="AY43" s="13" t="b">
        <x:v>0</x:v>
      </x:c>
      <x:c r="AZ43" s="13" t="b">
        <x:v>1</x:v>
      </x:c>
      <x:c r="BA43" s="12" t="str">
        <x:v>OK</x:v>
      </x:c>
      <x:c r="BB43" s="12" t="str">
        <x:v>OK</x:v>
      </x:c>
      <x:c r="BC43" s="12" t="str">
        <x:v>EUR</x:v>
      </x:c>
      <x:c r="BD43" s="12" t="n">
        <x:v>10</x:v>
      </x:c>
      <x:c r="BE43" s="12" t="n">
        <x:v>10</x:v>
      </x:c>
      <x:c r="BF43" s="12" t="n">
        <x:v>0</x:v>
      </x:c>
      <x:c r="BG43" s="12" t="n">
        <x:v>0</x:v>
      </x:c>
      <x:c r="BH43" s="12" t="n">
        <x:v>0</x:v>
      </x:c>
      <x:c r="BI43" s="12" t="n">
        <x:v>0</x:v>
      </x:c>
      <x:c r="BJ43" s="12" t="n">
        <x:v>0</x:v>
      </x:c>
      <x:c r="BK43" s="12" t="n">
        <x:v>0</x:v>
      </x:c>
      <x:c r="BL43" s="12" t="n">
        <x:v>0</x:v>
      </x:c>
      <x:c r="BM43" s="12" t="n">
        <x:v>0</x:v>
      </x:c>
      <x:c r="BN43" s="12" t="n">
        <x:v>0</x:v>
      </x:c>
      <x:c r="BO43" s="12" t="n">
        <x:v>0</x:v>
      </x:c>
      <x:c r="BP43" s="12" t="n">
        <x:v>0</x:v>
      </x:c>
      <x:c r="BQ43" s="12" t="n">
        <x:v>0</x:v>
      </x:c>
      <x:c r="BR43" s="12" t="n">
        <x:v>0</x:v>
      </x:c>
      <x:c r="BS43" s="12" t="n">
        <x:v>0</x:v>
      </x:c>
    </x:row>
    <x:row r="44" ht="21" customHeight="1">
      <x:c r="A44" s="14" t="n">
        <x:v>45658.28125</x:v>
      </x:c>
      <x:c r="B44" s="14" t="n">
        <x:v>45658.291666666664</x:v>
      </x:c>
      <x:c r="C44" s="14" t="n">
        <x:v>45658.364583333336</x:v>
      </x:c>
      <x:c r="D44" s="15" t="n">
        <x:v>45658</x:v>
      </x:c>
      <x:c r="E44" s="12" t="n">
        <x:v>0.25</x:v>
      </x:c>
      <x:c r="F44" s="12" t="str">
        <x:v>FORMAL</x:v>
      </x:c>
      <x:c r="G44" s="14" t="n">
        <x:v>45658.25</x:v>
      </x:c>
      <x:c r="H44" s="12" t="n">
        <x:v>56.78</x:v>
      </x:c>
      <x:c r="I44" s="12" t="str">
        <x:v>2025-01-01_8</x:v>
      </x:c>
      <x:c r="J44" s="12" t="n">
        <x:v>60</x:v>
      </x:c>
      <x:c r="K44" s="12" t="str">
        <x:v>DA_2025-01-01@80c3f1a8e3ee</x:v>
      </x:c>
      <x:c r="L44" s="15" t="n">
        <x:v>45657</x:v>
      </x:c>
      <x:c r="M44" s="12" t="n">
        <x:v>4.9741</x:v>
      </x:c>
      <x:c r="N44" s="12" t="str">
        <x:v>BNR2024_BOUNDARY@c4397e7f9c31</x:v>
      </x:c>
      <x:c r="O44" s="12"/>
      <x:c r="P44" s="12"/>
      <x:c r="Q44" s="12"/>
      <x:c r="R44" s="12"/>
      <x:c r="S44" s="12" t="str">
        <x:v>OUT_OF_RESEARCH_COVERAGE_PRE_2025_06</x:v>
      </x:c>
      <x:c r="T44" s="12" t="n">
        <x:v>200</x:v>
      </x:c>
      <x:c r="U44" s="12" t="str">
        <x:v>aFRRUp_2025-01-01T06:00:00Z</x:v>
      </x:c>
      <x:c r="V44" s="12" t="str">
        <x:v>tenderStatistics_2025-01@c14c9dea784d</x:v>
      </x:c>
      <x:c r="W44" s="12" t="n">
        <x:v>13.831647936310086</x:v>
      </x:c>
      <x:c r="X44" s="12" t="str">
        <x:v>PUBLISHED_PROXY</x:v>
      </x:c>
      <x:c r="Y44" s="12" t="n">
        <x:v>200</x:v>
      </x:c>
      <x:c r="Z44" s="12" t="str">
        <x:v>aFRRDown_2025-01-01T06:00:00Z</x:v>
      </x:c>
      <x:c r="AA44" s="12" t="str">
        <x:v>tenderStatistics_2025-01@c14c9dea784d</x:v>
      </x:c>
      <x:c r="AB44" s="12" t="n">
        <x:v>14.676021792887155</x:v>
      </x:c>
      <x:c r="AC44" s="12" t="str">
        <x:v>PUBLISHED_PROXY</x:v>
      </x:c>
      <x:c r="AD44" s="12"/>
      <x:c r="AE44" s="12" t="str">
        <x:v>SOURCE_NULL_NOT_MODELED</x:v>
      </x:c>
      <x:c r="AF44" s="12"/>
      <x:c r="AG44" s="12" t="n">
        <x:v>0</x:v>
      </x:c>
      <x:c r="AH44" s="12" t="str">
        <x:v>PUBLISHED_PROXY</x:v>
      </x:c>
      <x:c r="AI44" s="12" t="n">
        <x:v>0</x:v>
      </x:c>
      <x:c r="AJ44" s="12" t="n">
        <x:v>11.022898614824793</x:v>
      </x:c>
      <x:c r="AK44" s="12" t="str">
        <x:v>PUBLISHED_PROXY</x:v>
      </x:c>
      <x:c r="AL44" s="12" t="n">
        <x:v>13.72</x:v>
      </x:c>
      <x:c r="AM44" s="12" t="str">
        <x:v>marginalPricesOverview_2025-01@5b9daf9d82d7</x:v>
      </x:c>
      <x:c r="AN44" s="12" t="str">
        <x:v>activatedBalancingEnergyOverview_2025-01@4135ac664b2a</x:v>
      </x:c>
      <x:c r="AO44" s="12" t="str">
        <x:v>PUBLISHED_NATIVE</x:v>
      </x:c>
      <x:c r="AP44" s="12" t="n">
        <x:v>0</x:v>
      </x:c>
      <x:c r="AQ44" s="12" t="n">
        <x:v>0.2744</x:v>
      </x:c>
      <x:c r="AR44" s="12" t="n">
        <x:v>0.2744</x:v>
      </x:c>
      <x:c r="AS44" s="13" t="b">
        <x:v>1</x:v>
      </x:c>
      <x:c r="AT44" s="13" t="b">
        <x:v>1</x:v>
      </x:c>
      <x:c r="AU44" s="13" t="b">
        <x:v>1</x:v>
      </x:c>
      <x:c r="AV44" s="13" t="b">
        <x:v>1</x:v>
      </x:c>
      <x:c r="AW44" s="13" t="b">
        <x:v>1</x:v>
      </x:c>
      <x:c r="AX44" s="13" t="b">
        <x:v>0</x:v>
      </x:c>
      <x:c r="AY44" s="13" t="b">
        <x:v>0</x:v>
      </x:c>
      <x:c r="AZ44" s="13" t="b">
        <x:v>1</x:v>
      </x:c>
      <x:c r="BA44" s="12" t="str">
        <x:v>OK</x:v>
      </x:c>
      <x:c r="BB44" s="12" t="str">
        <x:v>OK</x:v>
      </x:c>
      <x:c r="BC44" s="12" t="str">
        <x:v>EUR</x:v>
      </x:c>
      <x:c r="BD44" s="12" t="n">
        <x:v>10</x:v>
      </x:c>
      <x:c r="BE44" s="12" t="n">
        <x:v>10</x:v>
      </x:c>
      <x:c r="BF44" s="12" t="n">
        <x:v>0</x:v>
      </x:c>
      <x:c r="BG44" s="12" t="n">
        <x:v>0</x:v>
      </x:c>
      <x:c r="BH44" s="12" t="n">
        <x:v>0</x:v>
      </x:c>
      <x:c r="BI44" s="12" t="n">
        <x:v>0</x:v>
      </x:c>
      <x:c r="BJ44" s="12" t="n">
        <x:v>0</x:v>
      </x:c>
      <x:c r="BK44" s="12" t="n">
        <x:v>0</x:v>
      </x:c>
      <x:c r="BL44" s="12" t="n">
        <x:v>0</x:v>
      </x:c>
      <x:c r="BM44" s="12" t="n">
        <x:v>0</x:v>
      </x:c>
      <x:c r="BN44" s="12" t="n">
        <x:v>0</x:v>
      </x:c>
      <x:c r="BO44" s="12" t="n">
        <x:v>0</x:v>
      </x:c>
      <x:c r="BP44" s="12" t="n">
        <x:v>0</x:v>
      </x:c>
      <x:c r="BQ44" s="12" t="n">
        <x:v>0</x:v>
      </x:c>
      <x:c r="BR44" s="12" t="n">
        <x:v>0</x:v>
      </x:c>
      <x:c r="BS44" s="12" t="n">
        <x:v>0</x:v>
      </x:c>
    </x:row>
    <x:row r="45" ht="21" customHeight="1">
      <x:c r="A45" s="14" t="n">
        <x:v>45658.291666666664</x:v>
      </x:c>
      <x:c r="B45" s="14" t="n">
        <x:v>45658.302083333336</x:v>
      </x:c>
      <x:c r="C45" s="14" t="n">
        <x:v>45658.375</x:v>
      </x:c>
      <x:c r="D45" s="15" t="n">
        <x:v>45658</x:v>
      </x:c>
      <x:c r="E45" s="12" t="n">
        <x:v>0.25</x:v>
      </x:c>
      <x:c r="F45" s="12" t="str">
        <x:v>FORMAL</x:v>
      </x:c>
      <x:c r="G45" s="14" t="n">
        <x:v>45658.291666666664</x:v>
      </x:c>
      <x:c r="H45" s="12" t="n">
        <x:v>29.22</x:v>
      </x:c>
      <x:c r="I45" s="12" t="str">
        <x:v>2025-01-01_9</x:v>
      </x:c>
      <x:c r="J45" s="12" t="n">
        <x:v>60</x:v>
      </x:c>
      <x:c r="K45" s="12" t="str">
        <x:v>DA_2025-01-01@80c3f1a8e3ee</x:v>
      </x:c>
      <x:c r="L45" s="15" t="n">
        <x:v>45657</x:v>
      </x:c>
      <x:c r="M45" s="12" t="n">
        <x:v>4.9741</x:v>
      </x:c>
      <x:c r="N45" s="12" t="str">
        <x:v>BNR2024_BOUNDARY@c4397e7f9c31</x:v>
      </x:c>
      <x:c r="O45" s="12"/>
      <x:c r="P45" s="12"/>
      <x:c r="Q45" s="12"/>
      <x:c r="R45" s="12"/>
      <x:c r="S45" s="12" t="str">
        <x:v>OUT_OF_RESEARCH_COVERAGE_PRE_2025_06</x:v>
      </x:c>
      <x:c r="T45" s="12" t="n">
        <x:v>200</x:v>
      </x:c>
      <x:c r="U45" s="12" t="str">
        <x:v>aFRRUp_2025-01-01T07:00:00Z</x:v>
      </x:c>
      <x:c r="V45" s="12" t="str">
        <x:v>tenderStatistics_2025-01@c14c9dea784d</x:v>
      </x:c>
      <x:c r="W45" s="12" t="n">
        <x:v>13.831647936310086</x:v>
      </x:c>
      <x:c r="X45" s="12" t="str">
        <x:v>PUBLISHED_PROXY</x:v>
      </x:c>
      <x:c r="Y45" s="12" t="n">
        <x:v>200</x:v>
      </x:c>
      <x:c r="Z45" s="12" t="str">
        <x:v>aFRRDown_2025-01-01T07:00:00Z</x:v>
      </x:c>
      <x:c r="AA45" s="12" t="str">
        <x:v>tenderStatistics_2025-01@c14c9dea784d</x:v>
      </x:c>
      <x:c r="AB45" s="12" t="n">
        <x:v>14.676021792887155</x:v>
      </x:c>
      <x:c r="AC45" s="12" t="str">
        <x:v>PUBLISHED_PROXY</x:v>
      </x:c>
      <x:c r="AD45" s="12"/>
      <x:c r="AE45" s="12" t="str">
        <x:v>SOURCE_NULL_NOT_MODELED</x:v>
      </x:c>
      <x:c r="AF45" s="12"/>
      <x:c r="AG45" s="12" t="n">
        <x:v>0</x:v>
      </x:c>
      <x:c r="AH45" s="12" t="str">
        <x:v>PUBLISHED_PROXY</x:v>
      </x:c>
      <x:c r="AI45" s="12" t="n">
        <x:v>0</x:v>
      </x:c>
      <x:c r="AJ45" s="12" t="n">
        <x:v>34.24840674694919</x:v>
      </x:c>
      <x:c r="AK45" s="12" t="str">
        <x:v>PUBLISHED_PROXY</x:v>
      </x:c>
      <x:c r="AL45" s="12" t="n">
        <x:v>2.921</x:v>
      </x:c>
      <x:c r="AM45" s="12" t="str">
        <x:v>marginalPricesOverview_2025-01@5b9daf9d82d7</x:v>
      </x:c>
      <x:c r="AN45" s="12" t="str">
        <x:v>activatedBalancingEnergyOverview_2025-01@4135ac664b2a</x:v>
      </x:c>
      <x:c r="AO45" s="12" t="str">
        <x:v>PUBLISHED_NATIVE</x:v>
      </x:c>
      <x:c r="AP45" s="12" t="n">
        <x:v>0</x:v>
      </x:c>
      <x:c r="AQ45" s="12" t="n">
        <x:v>0.05842</x:v>
      </x:c>
      <x:c r="AR45" s="12" t="n">
        <x:v>0.05842</x:v>
      </x:c>
      <x:c r="AS45" s="13" t="b">
        <x:v>1</x:v>
      </x:c>
      <x:c r="AT45" s="13" t="b">
        <x:v>1</x:v>
      </x:c>
      <x:c r="AU45" s="13" t="b">
        <x:v>1</x:v>
      </x:c>
      <x:c r="AV45" s="13" t="b">
        <x:v>1</x:v>
      </x:c>
      <x:c r="AW45" s="13" t="b">
        <x:v>0</x:v>
      </x:c>
      <x:c r="AX45" s="13" t="b">
        <x:v>0</x:v>
      </x:c>
      <x:c r="AY45" s="13" t="b">
        <x:v>0</x:v>
      </x:c>
      <x:c r="AZ45" s="13" t="b">
        <x:v>1</x:v>
      </x:c>
      <x:c r="BA45" s="12" t="str">
        <x:v>OK</x:v>
      </x:c>
      <x:c r="BB45" s="12" t="str">
        <x:v>OTHER_QH_IN_SAME_HOUR_INVALID</x:v>
      </x:c>
      <x:c r="BC45" s="12" t="str">
        <x:v>EUR</x:v>
      </x:c>
      <x:c r="BD45" s="12" t="n">
        <x:v>10</x:v>
      </x:c>
      <x:c r="BE45" s="12" t="n">
        <x:v>10</x:v>
      </x:c>
      <x:c r="BF45" s="12" t="n">
        <x:v>0</x:v>
      </x:c>
      <x:c r="BG45" s="12" t="n">
        <x:v>0</x:v>
      </x:c>
      <x:c r="BH45" s="12" t="n">
        <x:v>0</x:v>
      </x:c>
      <x:c r="BI45" s="12" t="n">
        <x:v>0</x:v>
      </x:c>
      <x:c r="BJ45" s="12" t="n">
        <x:v>0</x:v>
      </x:c>
      <x:c r="BK45" s="12" t="n">
        <x:v>0</x:v>
      </x:c>
      <x:c r="BL45" s="12" t="n">
        <x:v>0</x:v>
      </x:c>
      <x:c r="BM45" s="12" t="n">
        <x:v>0</x:v>
      </x:c>
      <x:c r="BN45" s="12" t="n">
        <x:v>0</x:v>
      </x:c>
      <x:c r="BO45" s="12" t="n">
        <x:v>0</x:v>
      </x:c>
      <x:c r="BP45" s="12" t="n">
        <x:v>0</x:v>
      </x:c>
      <x:c r="BQ45" s="12" t="n">
        <x:v>0</x:v>
      </x:c>
      <x:c r="BR45" s="12" t="n">
        <x:v>0</x:v>
      </x:c>
      <x:c r="BS45" s="12" t="n">
        <x:v>0</x:v>
      </x:c>
    </x:row>
    <x:row r="46" ht="21" customHeight="1">
      <x:c r="A46" s="14" t="n">
        <x:v>45658.302083333336</x:v>
      </x:c>
      <x:c r="B46" s="14" t="n">
        <x:v>45658.3125</x:v>
      </x:c>
      <x:c r="C46" s="14" t="n">
        <x:v>45658.385416666664</x:v>
      </x:c>
      <x:c r="D46" s="15" t="n">
        <x:v>45658</x:v>
      </x:c>
      <x:c r="E46" s="12" t="n">
        <x:v>0.25</x:v>
      </x:c>
      <x:c r="F46" s="12" t="str">
        <x:v>FORMAL</x:v>
      </x:c>
      <x:c r="G46" s="14" t="n">
        <x:v>45658.291666666664</x:v>
      </x:c>
      <x:c r="H46" s="12" t="n">
        <x:v>29.22</x:v>
      </x:c>
      <x:c r="I46" s="12" t="str">
        <x:v>2025-01-01_9</x:v>
      </x:c>
      <x:c r="J46" s="12" t="n">
        <x:v>60</x:v>
      </x:c>
      <x:c r="K46" s="12" t="str">
        <x:v>DA_2025-01-01@80c3f1a8e3ee</x:v>
      </x:c>
      <x:c r="L46" s="15" t="n">
        <x:v>45657</x:v>
      </x:c>
      <x:c r="M46" s="12" t="n">
        <x:v>4.9741</x:v>
      </x:c>
      <x:c r="N46" s="12" t="str">
        <x:v>BNR2024_BOUNDARY@c4397e7f9c31</x:v>
      </x:c>
      <x:c r="O46" s="12"/>
      <x:c r="P46" s="12"/>
      <x:c r="Q46" s="12"/>
      <x:c r="R46" s="12"/>
      <x:c r="S46" s="12" t="str">
        <x:v>OUT_OF_RESEARCH_COVERAGE_PRE_2025_06</x:v>
      </x:c>
      <x:c r="T46" s="12" t="n">
        <x:v>200</x:v>
      </x:c>
      <x:c r="U46" s="12" t="str">
        <x:v>aFRRUp_2025-01-01T07:00:00Z</x:v>
      </x:c>
      <x:c r="V46" s="12" t="str">
        <x:v>tenderStatistics_2025-01@c14c9dea784d</x:v>
      </x:c>
      <x:c r="W46" s="12" t="n">
        <x:v>13.831647936310086</x:v>
      </x:c>
      <x:c r="X46" s="12" t="str">
        <x:v>PUBLISHED_PROXY</x:v>
      </x:c>
      <x:c r="Y46" s="12" t="n">
        <x:v>200</x:v>
      </x:c>
      <x:c r="Z46" s="12" t="str">
        <x:v>aFRRDown_2025-01-01T07:00:00Z</x:v>
      </x:c>
      <x:c r="AA46" s="12" t="str">
        <x:v>tenderStatistics_2025-01@c14c9dea784d</x:v>
      </x:c>
      <x:c r="AB46" s="12" t="n">
        <x:v>14.676021792887155</x:v>
      </x:c>
      <x:c r="AC46" s="12" t="str">
        <x:v>PUBLISHED_PROXY</x:v>
      </x:c>
      <x:c r="AD46" s="12"/>
      <x:c r="AE46" s="12" t="str">
        <x:v>SOURCE_NULL_NOT_MODELED</x:v>
      </x:c>
      <x:c r="AF46" s="12"/>
      <x:c r="AG46" s="12" t="n">
        <x:v>0</x:v>
      </x:c>
      <x:c r="AH46" s="12" t="str">
        <x:v>PUBLISHED_PROXY</x:v>
      </x:c>
      <x:c r="AI46" s="12" t="n">
        <x:v>0</x:v>
      </x:c>
      <x:c r="AJ46" s="12" t="n">
        <x:v>6.865563619549265</x:v>
      </x:c>
      <x:c r="AK46" s="12" t="str">
        <x:v>PUBLISHED_PROXY</x:v>
      </x:c>
      <x:c r="AL46" s="12" t="n">
        <x:v>16.352</x:v>
      </x:c>
      <x:c r="AM46" s="12" t="str">
        <x:v>marginalPricesOverview_2025-01@5b9daf9d82d7</x:v>
      </x:c>
      <x:c r="AN46" s="12" t="str">
        <x:v>activatedBalancingEnergyOverview_2025-01@4135ac664b2a</x:v>
      </x:c>
      <x:c r="AO46" s="12" t="str">
        <x:v>PUBLISHED_NATIVE</x:v>
      </x:c>
      <x:c r="AP46" s="12" t="n">
        <x:v>0</x:v>
      </x:c>
      <x:c r="AQ46" s="12" t="n">
        <x:v>0.32704</x:v>
      </x:c>
      <x:c r="AR46" s="12" t="n">
        <x:v>0.32704</x:v>
      </x:c>
      <x:c r="AS46" s="13" t="b">
        <x:v>1</x:v>
      </x:c>
      <x:c r="AT46" s="13" t="b">
        <x:v>1</x:v>
      </x:c>
      <x:c r="AU46" s="13" t="b">
        <x:v>1</x:v>
      </x:c>
      <x:c r="AV46" s="13" t="b">
        <x:v>1</x:v>
      </x:c>
      <x:c r="AW46" s="13" t="b">
        <x:v>0</x:v>
      </x:c>
      <x:c r="AX46" s="13" t="b">
        <x:v>0</x:v>
      </x:c>
      <x:c r="AY46" s="13" t="b">
        <x:v>0</x:v>
      </x:c>
      <x:c r="AZ46" s="13" t="b">
        <x:v>1</x:v>
      </x:c>
      <x:c r="BA46" s="12" t="str">
        <x:v>OK</x:v>
      </x:c>
      <x:c r="BB46" s="12" t="str">
        <x:v>OTHER_QH_IN_SAME_HOUR_INVALID</x:v>
      </x:c>
      <x:c r="BC46" s="12" t="str">
        <x:v>EUR</x:v>
      </x:c>
      <x:c r="BD46" s="12" t="n">
        <x:v>10</x:v>
      </x:c>
      <x:c r="BE46" s="12" t="n">
        <x:v>10</x:v>
      </x:c>
      <x:c r="BF46" s="12" t="n">
        <x:v>0</x:v>
      </x:c>
      <x:c r="BG46" s="12" t="n">
        <x:v>0</x:v>
      </x:c>
      <x:c r="BH46" s="12" t="n">
        <x:v>0</x:v>
      </x:c>
      <x:c r="BI46" s="12" t="n">
        <x:v>0</x:v>
      </x:c>
      <x:c r="BJ46" s="12" t="n">
        <x:v>0</x:v>
      </x:c>
      <x:c r="BK46" s="12" t="n">
        <x:v>0</x:v>
      </x:c>
      <x:c r="BL46" s="12" t="n">
        <x:v>0</x:v>
      </x:c>
      <x:c r="BM46" s="12" t="n">
        <x:v>0</x:v>
      </x:c>
      <x:c r="BN46" s="12" t="n">
        <x:v>0</x:v>
      </x:c>
      <x:c r="BO46" s="12" t="n">
        <x:v>0</x:v>
      </x:c>
      <x:c r="BP46" s="12" t="n">
        <x:v>0</x:v>
      </x:c>
      <x:c r="BQ46" s="12" t="n">
        <x:v>0</x:v>
      </x:c>
      <x:c r="BR46" s="12" t="n">
        <x:v>0</x:v>
      </x:c>
      <x:c r="BS46" s="12" t="n">
        <x:v>0</x:v>
      </x:c>
    </x:row>
    <x:row r="47" ht="21" customHeight="1">
      <x:c r="A47" s="14" t="n">
        <x:v>45658.3125</x:v>
      </x:c>
      <x:c r="B47" s="14" t="n">
        <x:v>45658.322916666664</x:v>
      </x:c>
      <x:c r="C47" s="14" t="n">
        <x:v>45658.395833333336</x:v>
      </x:c>
      <x:c r="D47" s="15" t="n">
        <x:v>45658</x:v>
      </x:c>
      <x:c r="E47" s="12" t="n">
        <x:v>0.25</x:v>
      </x:c>
      <x:c r="F47" s="12" t="str">
        <x:v>FORMAL</x:v>
      </x:c>
      <x:c r="G47" s="14" t="n">
        <x:v>45658.291666666664</x:v>
      </x:c>
      <x:c r="H47" s="12" t="n">
        <x:v>29.22</x:v>
      </x:c>
      <x:c r="I47" s="12" t="str">
        <x:v>2025-01-01_9</x:v>
      </x:c>
      <x:c r="J47" s="12" t="n">
        <x:v>60</x:v>
      </x:c>
      <x:c r="K47" s="12" t="str">
        <x:v>DA_2025-01-01@80c3f1a8e3ee</x:v>
      </x:c>
      <x:c r="L47" s="15" t="n">
        <x:v>45657</x:v>
      </x:c>
      <x:c r="M47" s="12" t="n">
        <x:v>4.9741</x:v>
      </x:c>
      <x:c r="N47" s="12" t="str">
        <x:v>BNR2024_BOUNDARY@c4397e7f9c31</x:v>
      </x:c>
      <x:c r="O47" s="12"/>
      <x:c r="P47" s="12"/>
      <x:c r="Q47" s="12"/>
      <x:c r="R47" s="12"/>
      <x:c r="S47" s="12" t="str">
        <x:v>OUT_OF_RESEARCH_COVERAGE_PRE_2025_06</x:v>
      </x:c>
      <x:c r="T47" s="12" t="n">
        <x:v>200</x:v>
      </x:c>
      <x:c r="U47" s="12" t="str">
        <x:v>aFRRUp_2025-01-01T07:00:00Z</x:v>
      </x:c>
      <x:c r="V47" s="12" t="str">
        <x:v>tenderStatistics_2025-01@c14c9dea784d</x:v>
      </x:c>
      <x:c r="W47" s="12" t="n">
        <x:v>13.831647936310086</x:v>
      </x:c>
      <x:c r="X47" s="12" t="str">
        <x:v>PUBLISHED_PROXY</x:v>
      </x:c>
      <x:c r="Y47" s="12" t="n">
        <x:v>200</x:v>
      </x:c>
      <x:c r="Z47" s="12" t="str">
        <x:v>aFRRDown_2025-01-01T07:00:00Z</x:v>
      </x:c>
      <x:c r="AA47" s="12" t="str">
        <x:v>tenderStatistics_2025-01@c14c9dea784d</x:v>
      </x:c>
      <x:c r="AB47" s="12" t="n">
        <x:v>14.676021792887155</x:v>
      </x:c>
      <x:c r="AC47" s="12" t="str">
        <x:v>PUBLISHED_PROXY</x:v>
      </x:c>
      <x:c r="AD47" s="12"/>
      <x:c r="AE47" s="12" t="str">
        <x:v>SOURCE_NULL_NOT_MODELED</x:v>
      </x:c>
      <x:c r="AF47" s="12"/>
      <x:c r="AG47" s="12" t="n">
        <x:v>0</x:v>
      </x:c>
      <x:c r="AH47" s="12" t="str">
        <x:v>PUBLISHED_PROXY</x:v>
      </x:c>
      <x:c r="AI47" s="12" t="n">
        <x:v>0</x:v>
      </x:c>
      <x:c r="AJ47" s="12" t="n">
        <x:v>-459.588066182827</x:v>
      </x:c>
      <x:c r="AK47" s="12" t="str">
        <x:v>PUBLISHED_PROXY</x:v>
      </x:c>
      <x:c r="AL47" s="12" t="n">
        <x:v>38.258</x:v>
      </x:c>
      <x:c r="AM47" s="12" t="str">
        <x:v>marginalPricesOverview_2025-01@5b9daf9d82d7</x:v>
      </x:c>
      <x:c r="AN47" s="12" t="str">
        <x:v>activatedBalancingEnergyOverview_2025-01@4135ac664b2a</x:v>
      </x:c>
      <x:c r="AO47" s="12" t="str">
        <x:v>PUBLISHED_NATIVE</x:v>
      </x:c>
      <x:c r="AP47" s="12" t="n">
        <x:v>0</x:v>
      </x:c>
      <x:c r="AQ47" s="12" t="n">
        <x:v>0.7651600000000001</x:v>
      </x:c>
      <x:c r="AR47" s="12" t="n">
        <x:v>0.7651600000000001</x:v>
      </x:c>
      <x:c r="AS47" s="13" t="b">
        <x:v>1</x:v>
      </x:c>
      <x:c r="AT47" s="13" t="b">
        <x:v>1</x:v>
      </x:c>
      <x:c r="AU47" s="13" t="b">
        <x:v>1</x:v>
      </x:c>
      <x:c r="AV47" s="13" t="b">
        <x:v>1</x:v>
      </x:c>
      <x:c r="AW47" s="13" t="b">
        <x:v>0</x:v>
      </x:c>
      <x:c r="AX47" s="13" t="b">
        <x:v>0</x:v>
      </x:c>
      <x:c r="AY47" s="13" t="b">
        <x:v>0</x:v>
      </x:c>
      <x:c r="AZ47" s="13" t="b">
        <x:v>1</x:v>
      </x:c>
      <x:c r="BA47" s="12" t="str">
        <x:v>OK</x:v>
      </x:c>
      <x:c r="BB47" s="12" t="str">
        <x:v>OTHER_QH_IN_SAME_HOUR_INVALID</x:v>
      </x:c>
      <x:c r="BC47" s="12" t="str">
        <x:v>EUR</x:v>
      </x:c>
      <x:c r="BD47" s="12" t="n">
        <x:v>10</x:v>
      </x:c>
      <x:c r="BE47" s="12" t="n">
        <x:v>10</x:v>
      </x:c>
      <x:c r="BF47" s="12" t="n">
        <x:v>0</x:v>
      </x:c>
      <x:c r="BG47" s="12" t="n">
        <x:v>0</x:v>
      </x:c>
      <x:c r="BH47" s="12" t="n">
        <x:v>0</x:v>
      </x:c>
      <x:c r="BI47" s="12" t="n">
        <x:v>0</x:v>
      </x:c>
      <x:c r="BJ47" s="12" t="n">
        <x:v>0</x:v>
      </x:c>
      <x:c r="BK47" s="12" t="n">
        <x:v>0</x:v>
      </x:c>
      <x:c r="BL47" s="12" t="n">
        <x:v>0</x:v>
      </x:c>
      <x:c r="BM47" s="12" t="n">
        <x:v>0</x:v>
      </x:c>
      <x:c r="BN47" s="12" t="n">
        <x:v>0</x:v>
      </x:c>
      <x:c r="BO47" s="12" t="n">
        <x:v>0</x:v>
      </x:c>
      <x:c r="BP47" s="12" t="n">
        <x:v>0</x:v>
      </x:c>
      <x:c r="BQ47" s="12" t="n">
        <x:v>0</x:v>
      </x:c>
      <x:c r="BR47" s="12" t="n">
        <x:v>0</x:v>
      </x:c>
      <x:c r="BS47" s="12" t="n">
        <x:v>0</x:v>
      </x:c>
    </x:row>
    <x:row r="48" ht="21" customHeight="1">
      <x:c r="A48" s="14" t="n">
        <x:v>45658.322916666664</x:v>
      </x:c>
      <x:c r="B48" s="14" t="n">
        <x:v>45658.333333333336</x:v>
      </x:c>
      <x:c r="C48" s="14" t="n">
        <x:v>45658.40625</x:v>
      </x:c>
      <x:c r="D48" s="15" t="n">
        <x:v>45658</x:v>
      </x:c>
      <x:c r="E48" s="12" t="n">
        <x:v>0.25</x:v>
      </x:c>
      <x:c r="F48" s="12" t="str">
        <x:v>FORMAL</x:v>
      </x:c>
      <x:c r="G48" s="14" t="n">
        <x:v>45658.291666666664</x:v>
      </x:c>
      <x:c r="H48" s="12" t="n">
        <x:v>29.22</x:v>
      </x:c>
      <x:c r="I48" s="12" t="str">
        <x:v>2025-01-01_9</x:v>
      </x:c>
      <x:c r="J48" s="12" t="n">
        <x:v>60</x:v>
      </x:c>
      <x:c r="K48" s="12" t="str">
        <x:v>DA_2025-01-01@80c3f1a8e3ee</x:v>
      </x:c>
      <x:c r="L48" s="15" t="n">
        <x:v>45657</x:v>
      </x:c>
      <x:c r="M48" s="12" t="n">
        <x:v>4.9741</x:v>
      </x:c>
      <x:c r="N48" s="12" t="str">
        <x:v>BNR2024_BOUNDARY@c4397e7f9c31</x:v>
      </x:c>
      <x:c r="O48" s="12"/>
      <x:c r="P48" s="12"/>
      <x:c r="Q48" s="12"/>
      <x:c r="R48" s="12"/>
      <x:c r="S48" s="12" t="str">
        <x:v>OUT_OF_RESEARCH_COVERAGE_PRE_2025_06</x:v>
      </x:c>
      <x:c r="T48" s="12" t="n">
        <x:v>200</x:v>
      </x:c>
      <x:c r="U48" s="12" t="str">
        <x:v>aFRRUp_2025-01-01T07:00:00Z</x:v>
      </x:c>
      <x:c r="V48" s="12" t="str">
        <x:v>tenderStatistics_2025-01@c14c9dea784d</x:v>
      </x:c>
      <x:c r="W48" s="12" t="n">
        <x:v>13.831647936310086</x:v>
      </x:c>
      <x:c r="X48" s="12" t="str">
        <x:v>PUBLISHED_PROXY</x:v>
      </x:c>
      <x:c r="Y48" s="12" t="n">
        <x:v>200</x:v>
      </x:c>
      <x:c r="Z48" s="12" t="str">
        <x:v>aFRRDown_2025-01-01T07:00:00Z</x:v>
      </x:c>
      <x:c r="AA48" s="12" t="str">
        <x:v>tenderStatistics_2025-01@c14c9dea784d</x:v>
      </x:c>
      <x:c r="AB48" s="12" t="n">
        <x:v>14.676021792887155</x:v>
      </x:c>
      <x:c r="AC48" s="12" t="str">
        <x:v>PUBLISHED_PROXY</x:v>
      </x:c>
      <x:c r="AD48" s="12"/>
      <x:c r="AE48" s="12" t="str">
        <x:v>SOURCE_NULL_NOT_MODELED</x:v>
      </x:c>
      <x:c r="AF48" s="12"/>
      <x:c r="AG48" s="12" t="n">
        <x:v>0</x:v>
      </x:c>
      <x:c r="AH48" s="12" t="str">
        <x:v>PUBLISHED_PROXY</x:v>
      </x:c>
      <x:c r="AI48" s="12" t="n">
        <x:v>0</x:v>
      </x:c>
      <x:c r="AJ48" s="12" t="n">
        <x:v>-1005.4080135099817</x:v>
      </x:c>
      <x:c r="AK48" s="12" t="str">
        <x:v>PUBLISHED_PROXY</x:v>
      </x:c>
      <x:c r="AL48" s="12" t="n">
        <x:v>51.525</x:v>
      </x:c>
      <x:c r="AM48" s="12" t="str">
        <x:v>marginalPricesOverview_2025-01@5b9daf9d82d7</x:v>
      </x:c>
      <x:c r="AN48" s="12" t="str">
        <x:v>activatedBalancingEnergyOverview_2025-01@4135ac664b2a</x:v>
      </x:c>
      <x:c r="AO48" s="12" t="str">
        <x:v>PUBLISHED_NATIVE</x:v>
      </x:c>
      <x:c r="AP48" s="12" t="n">
        <x:v>0</x:v>
      </x:c>
      <x:c r="AQ48" s="12" t="n">
        <x:v>1.0305</x:v>
      </x:c>
      <x:c r="AR48" s="12" t="n">
        <x:v>1.0305</x:v>
      </x:c>
      <x:c r="AS48" s="13" t="b">
        <x:v>1</x:v>
      </x:c>
      <x:c r="AT48" s="13" t="b">
        <x:v>0</x:v>
      </x:c>
      <x:c r="AU48" s="13" t="b">
        <x:v>1</x:v>
      </x:c>
      <x:c r="AV48" s="13" t="b">
        <x:v>0</x:v>
      </x:c>
      <x:c r="AW48" s="13" t="b">
        <x:v>0</x:v>
      </x:c>
      <x:c r="AX48" s="13" t="b">
        <x:v>0</x:v>
      </x:c>
      <x:c r="AY48" s="13" t="b">
        <x:v>0</x:v>
      </x:c>
      <x:c r="AZ48" s="13" t="b">
        <x:v>1</x:v>
      </x:c>
      <x:c r="BA48" s="12" t="str">
        <x:v>ALPHA_OUTSIDE_SIMPLEX</x:v>
      </x:c>
      <x:c r="BB48" s="12" t="str">
        <x:v>ALPHA_OUTSIDE_SIMPLEX</x:v>
      </x:c>
      <x:c r="BC48" s="12" t="str">
        <x:v>EUR</x:v>
      </x:c>
      <x:c r="BD48" s="12" t="n">
        <x:v>10</x:v>
      </x:c>
      <x:c r="BE48" s="12" t="n">
        <x:v>10</x:v>
      </x:c>
      <x:c r="BF48" s="12" t="n">
        <x:v>0</x:v>
      </x:c>
      <x:c r="BG48" s="12" t="n">
        <x:v>0</x:v>
      </x:c>
      <x:c r="BH48" s="12" t="n">
        <x:v>0</x:v>
      </x:c>
      <x:c r="BI48" s="12" t="n">
        <x:v>0</x:v>
      </x:c>
      <x:c r="BJ48" s="12" t="n">
        <x:v>0</x:v>
      </x:c>
      <x:c r="BK48" s="12" t="n">
        <x:v>0</x:v>
      </x:c>
      <x:c r="BL48" s="12" t="n">
        <x:v>0</x:v>
      </x:c>
      <x:c r="BM48" s="12" t="n">
        <x:v>0</x:v>
      </x:c>
      <x:c r="BN48" s="12" t="n">
        <x:v>0</x:v>
      </x:c>
      <x:c r="BO48" s="12" t="n">
        <x:v>0</x:v>
      </x:c>
      <x:c r="BP48" s="12" t="n">
        <x:v>0</x:v>
      </x:c>
      <x:c r="BQ48" s="12" t="n">
        <x:v>0</x:v>
      </x:c>
      <x:c r="BR48" s="12" t="n">
        <x:v>0</x:v>
      </x:c>
      <x:c r="BS48" s="12" t="n">
        <x:v>0</x:v>
      </x:c>
    </x:row>
    <x:row r="49" ht="21" customHeight="1">
      <x:c r="A49" s="14" t="n">
        <x:v>45658.333333333336</x:v>
      </x:c>
      <x:c r="B49" s="14" t="n">
        <x:v>45658.34375</x:v>
      </x:c>
      <x:c r="C49" s="14" t="n">
        <x:v>45658.416666666664</x:v>
      </x:c>
      <x:c r="D49" s="15" t="n">
        <x:v>45658</x:v>
      </x:c>
      <x:c r="E49" s="12" t="n">
        <x:v>0.25</x:v>
      </x:c>
      <x:c r="F49" s="12" t="str">
        <x:v>FORMAL</x:v>
      </x:c>
      <x:c r="G49" s="14" t="n">
        <x:v>45658.333333333336</x:v>
      </x:c>
      <x:c r="H49" s="12" t="n">
        <x:v>41.43</x:v>
      </x:c>
      <x:c r="I49" s="12" t="str">
        <x:v>2025-01-01_10</x:v>
      </x:c>
      <x:c r="J49" s="12" t="n">
        <x:v>60</x:v>
      </x:c>
      <x:c r="K49" s="12" t="str">
        <x:v>DA_2025-01-01@80c3f1a8e3ee</x:v>
      </x:c>
      <x:c r="L49" s="15" t="n">
        <x:v>45657</x:v>
      </x:c>
      <x:c r="M49" s="12" t="n">
        <x:v>4.9741</x:v>
      </x:c>
      <x:c r="N49" s="12" t="str">
        <x:v>BNR2024_BOUNDARY@c4397e7f9c31</x:v>
      </x:c>
      <x:c r="O49" s="12"/>
      <x:c r="P49" s="12"/>
      <x:c r="Q49" s="12"/>
      <x:c r="R49" s="12"/>
      <x:c r="S49" s="12" t="str">
        <x:v>OUT_OF_RESEARCH_COVERAGE_PRE_2025_06</x:v>
      </x:c>
      <x:c r="T49" s="12" t="n">
        <x:v>200</x:v>
      </x:c>
      <x:c r="U49" s="12" t="str">
        <x:v>aFRRUp_2025-01-01T08:00:00Z</x:v>
      </x:c>
      <x:c r="V49" s="12" t="str">
        <x:v>tenderStatistics_2025-01@c14c9dea784d</x:v>
      </x:c>
      <x:c r="W49" s="12" t="n">
        <x:v>13.831647936310086</x:v>
      </x:c>
      <x:c r="X49" s="12" t="str">
        <x:v>PUBLISHED_PROXY</x:v>
      </x:c>
      <x:c r="Y49" s="12" t="n">
        <x:v>200</x:v>
      </x:c>
      <x:c r="Z49" s="12" t="str">
        <x:v>aFRRDown_2025-01-01T08:00:00Z</x:v>
      </x:c>
      <x:c r="AA49" s="12" t="str">
        <x:v>tenderStatistics_2025-01@c14c9dea784d</x:v>
      </x:c>
      <x:c r="AB49" s="12" t="n">
        <x:v>14.710198829939085</x:v>
      </x:c>
      <x:c r="AC49" s="12" t="str">
        <x:v>PUBLISHED_PROXY</x:v>
      </x:c>
      <x:c r="AD49" s="12"/>
      <x:c r="AE49" s="12" t="str">
        <x:v>SOURCE_NULL_NOT_MODELED</x:v>
      </x:c>
      <x:c r="AF49" s="12"/>
      <x:c r="AG49" s="12" t="n">
        <x:v>0</x:v>
      </x:c>
      <x:c r="AH49" s="12" t="str">
        <x:v>PUBLISHED_PROXY</x:v>
      </x:c>
      <x:c r="AI49" s="12" t="n">
        <x:v>0</x:v>
      </x:c>
      <x:c r="AJ49" s="12" t="n">
        <x:v>-118.41639693612915</x:v>
      </x:c>
      <x:c r="AK49" s="12" t="str">
        <x:v>PUBLISHED_PROXY</x:v>
      </x:c>
      <x:c r="AL49" s="12" t="n">
        <x:v>28.853</x:v>
      </x:c>
      <x:c r="AM49" s="12" t="str">
        <x:v>marginalPricesOverview_2025-01@5b9daf9d82d7</x:v>
      </x:c>
      <x:c r="AN49" s="12" t="str">
        <x:v>activatedBalancingEnergyOverview_2025-01@4135ac664b2a</x:v>
      </x:c>
      <x:c r="AO49" s="12" t="str">
        <x:v>PUBLISHED_NATIVE</x:v>
      </x:c>
      <x:c r="AP49" s="12" t="n">
        <x:v>0</x:v>
      </x:c>
      <x:c r="AQ49" s="12" t="n">
        <x:v>0.57706</x:v>
      </x:c>
      <x:c r="AR49" s="12" t="n">
        <x:v>0.57706</x:v>
      </x:c>
      <x:c r="AS49" s="13" t="b">
        <x:v>1</x:v>
      </x:c>
      <x:c r="AT49" s="13" t="b">
        <x:v>1</x:v>
      </x:c>
      <x:c r="AU49" s="13" t="b">
        <x:v>1</x:v>
      </x:c>
      <x:c r="AV49" s="13" t="b">
        <x:v>1</x:v>
      </x:c>
      <x:c r="AW49" s="13" t="b">
        <x:v>1</x:v>
      </x:c>
      <x:c r="AX49" s="13" t="b">
        <x:v>0</x:v>
      </x:c>
      <x:c r="AY49" s="13" t="b">
        <x:v>0</x:v>
      </x:c>
      <x:c r="AZ49" s="13" t="b">
        <x:v>1</x:v>
      </x:c>
      <x:c r="BA49" s="12" t="str">
        <x:v>OK</x:v>
      </x:c>
      <x:c r="BB49" s="12" t="str">
        <x:v>OK</x:v>
      </x:c>
      <x:c r="BC49" s="12" t="str">
        <x:v>EUR</x:v>
      </x:c>
      <x:c r="BD49" s="12" t="n">
        <x:v>10</x:v>
      </x:c>
      <x:c r="BE49" s="12" t="n">
        <x:v>10</x:v>
      </x:c>
      <x:c r="BF49" s="12" t="n">
        <x:v>0</x:v>
      </x:c>
      <x:c r="BG49" s="12" t="n">
        <x:v>0</x:v>
      </x:c>
      <x:c r="BH49" s="12" t="n">
        <x:v>0</x:v>
      </x:c>
      <x:c r="BI49" s="12" t="n">
        <x:v>0</x:v>
      </x:c>
      <x:c r="BJ49" s="12" t="n">
        <x:v>0</x:v>
      </x:c>
      <x:c r="BK49" s="12" t="n">
        <x:v>0</x:v>
      </x:c>
      <x:c r="BL49" s="12" t="n">
        <x:v>0</x:v>
      </x:c>
      <x:c r="BM49" s="12" t="n">
        <x:v>0</x:v>
      </x:c>
      <x:c r="BN49" s="12" t="n">
        <x:v>0</x:v>
      </x:c>
      <x:c r="BO49" s="12" t="n">
        <x:v>0</x:v>
      </x:c>
      <x:c r="BP49" s="12" t="n">
        <x:v>0</x:v>
      </x:c>
      <x:c r="BQ49" s="12" t="n">
        <x:v>0</x:v>
      </x:c>
      <x:c r="BR49" s="12" t="n">
        <x:v>0</x:v>
      </x:c>
      <x:c r="BS49" s="12" t="n">
        <x:v>0</x:v>
      </x:c>
    </x:row>
    <x:row r="50" ht="21" customHeight="1">
      <x:c r="A50" s="14" t="n">
        <x:v>45658.34375</x:v>
      </x:c>
      <x:c r="B50" s="14" t="n">
        <x:v>45658.354166666664</x:v>
      </x:c>
      <x:c r="C50" s="14" t="n">
        <x:v>45658.427083333336</x:v>
      </x:c>
      <x:c r="D50" s="15" t="n">
        <x:v>45658</x:v>
      </x:c>
      <x:c r="E50" s="12" t="n">
        <x:v>0.25</x:v>
      </x:c>
      <x:c r="F50" s="12" t="str">
        <x:v>FORMAL</x:v>
      </x:c>
      <x:c r="G50" s="14" t="n">
        <x:v>45658.333333333336</x:v>
      </x:c>
      <x:c r="H50" s="12" t="n">
        <x:v>41.43</x:v>
      </x:c>
      <x:c r="I50" s="12" t="str">
        <x:v>2025-01-01_10</x:v>
      </x:c>
      <x:c r="J50" s="12" t="n">
        <x:v>60</x:v>
      </x:c>
      <x:c r="K50" s="12" t="str">
        <x:v>DA_2025-01-01@80c3f1a8e3ee</x:v>
      </x:c>
      <x:c r="L50" s="15" t="n">
        <x:v>45657</x:v>
      </x:c>
      <x:c r="M50" s="12" t="n">
        <x:v>4.9741</x:v>
      </x:c>
      <x:c r="N50" s="12" t="str">
        <x:v>BNR2024_BOUNDARY@c4397e7f9c31</x:v>
      </x:c>
      <x:c r="O50" s="12"/>
      <x:c r="P50" s="12"/>
      <x:c r="Q50" s="12"/>
      <x:c r="R50" s="12"/>
      <x:c r="S50" s="12" t="str">
        <x:v>OUT_OF_RESEARCH_COVERAGE_PRE_2025_06</x:v>
      </x:c>
      <x:c r="T50" s="12" t="n">
        <x:v>200</x:v>
      </x:c>
      <x:c r="U50" s="12" t="str">
        <x:v>aFRRUp_2025-01-01T08:00:00Z</x:v>
      </x:c>
      <x:c r="V50" s="12" t="str">
        <x:v>tenderStatistics_2025-01@c14c9dea784d</x:v>
      </x:c>
      <x:c r="W50" s="12" t="n">
        <x:v>13.831647936310086</x:v>
      </x:c>
      <x:c r="X50" s="12" t="str">
        <x:v>PUBLISHED_PROXY</x:v>
      </x:c>
      <x:c r="Y50" s="12" t="n">
        <x:v>200</x:v>
      </x:c>
      <x:c r="Z50" s="12" t="str">
        <x:v>aFRRDown_2025-01-01T08:00:00Z</x:v>
      </x:c>
      <x:c r="AA50" s="12" t="str">
        <x:v>tenderStatistics_2025-01@c14c9dea784d</x:v>
      </x:c>
      <x:c r="AB50" s="12" t="n">
        <x:v>14.710198829939085</x:v>
      </x:c>
      <x:c r="AC50" s="12" t="str">
        <x:v>PUBLISHED_PROXY</x:v>
      </x:c>
      <x:c r="AD50" s="12"/>
      <x:c r="AE50" s="12" t="str">
        <x:v>SOURCE_NULL_NOT_MODELED</x:v>
      </x:c>
      <x:c r="AF50" s="12"/>
      <x:c r="AG50" s="12" t="n">
        <x:v>0</x:v>
      </x:c>
      <x:c r="AH50" s="12" t="str">
        <x:v>PUBLISHED_PROXY</x:v>
      </x:c>
      <x:c r="AI50" s="12" t="n">
        <x:v>0</x:v>
      </x:c>
      <x:c r="AJ50" s="12" t="n">
        <x:v>-161.84556000080414</x:v>
      </x:c>
      <x:c r="AK50" s="12" t="str">
        <x:v>PUBLISHED_PROXY</x:v>
      </x:c>
      <x:c r="AL50" s="12" t="n">
        <x:v>29.253</x:v>
      </x:c>
      <x:c r="AM50" s="12" t="str">
        <x:v>marginalPricesOverview_2025-01@5b9daf9d82d7</x:v>
      </x:c>
      <x:c r="AN50" s="12" t="str">
        <x:v>activatedBalancingEnergyOverview_2025-01@4135ac664b2a</x:v>
      </x:c>
      <x:c r="AO50" s="12" t="str">
        <x:v>PUBLISHED_NATIVE</x:v>
      </x:c>
      <x:c r="AP50" s="12" t="n">
        <x:v>0</x:v>
      </x:c>
      <x:c r="AQ50" s="12" t="n">
        <x:v>0.58506</x:v>
      </x:c>
      <x:c r="AR50" s="12" t="n">
        <x:v>0.58506</x:v>
      </x:c>
      <x:c r="AS50" s="13" t="b">
        <x:v>1</x:v>
      </x:c>
      <x:c r="AT50" s="13" t="b">
        <x:v>1</x:v>
      </x:c>
      <x:c r="AU50" s="13" t="b">
        <x:v>1</x:v>
      </x:c>
      <x:c r="AV50" s="13" t="b">
        <x:v>1</x:v>
      </x:c>
      <x:c r="AW50" s="13" t="b">
        <x:v>1</x:v>
      </x:c>
      <x:c r="AX50" s="13" t="b">
        <x:v>0</x:v>
      </x:c>
      <x:c r="AY50" s="13" t="b">
        <x:v>0</x:v>
      </x:c>
      <x:c r="AZ50" s="13" t="b">
        <x:v>1</x:v>
      </x:c>
      <x:c r="BA50" s="12" t="str">
        <x:v>OK</x:v>
      </x:c>
      <x:c r="BB50" s="12" t="str">
        <x:v>OK</x:v>
      </x:c>
      <x:c r="BC50" s="12" t="str">
        <x:v>EUR</x:v>
      </x:c>
      <x:c r="BD50" s="12" t="n">
        <x:v>10</x:v>
      </x:c>
      <x:c r="BE50" s="12" t="n">
        <x:v>10</x:v>
      </x:c>
      <x:c r="BF50" s="12" t="n">
        <x:v>0</x:v>
      </x:c>
      <x:c r="BG50" s="12" t="n">
        <x:v>0</x:v>
      </x:c>
      <x:c r="BH50" s="12" t="n">
        <x:v>0</x:v>
      </x:c>
      <x:c r="BI50" s="12" t="n">
        <x:v>0</x:v>
      </x:c>
      <x:c r="BJ50" s="12" t="n">
        <x:v>0</x:v>
      </x:c>
      <x:c r="BK50" s="12" t="n">
        <x:v>0</x:v>
      </x:c>
      <x:c r="BL50" s="12" t="n">
        <x:v>0</x:v>
      </x:c>
      <x:c r="BM50" s="12" t="n">
        <x:v>0</x:v>
      </x:c>
      <x:c r="BN50" s="12" t="n">
        <x:v>0</x:v>
      </x:c>
      <x:c r="BO50" s="12" t="n">
        <x:v>0</x:v>
      </x:c>
      <x:c r="BP50" s="12" t="n">
        <x:v>0</x:v>
      </x:c>
      <x:c r="BQ50" s="12" t="n">
        <x:v>0</x:v>
      </x:c>
      <x:c r="BR50" s="12" t="n">
        <x:v>0</x:v>
      </x:c>
      <x:c r="BS50" s="12" t="n">
        <x:v>0</x:v>
      </x:c>
    </x:row>
    <x:row r="51" ht="21" customHeight="1">
      <x:c r="A51" s="14" t="n">
        <x:v>45658.354166666664</x:v>
      </x:c>
      <x:c r="B51" s="14" t="n">
        <x:v>45658.364583333336</x:v>
      </x:c>
      <x:c r="C51" s="14" t="n">
        <x:v>45658.4375</x:v>
      </x:c>
      <x:c r="D51" s="15" t="n">
        <x:v>45658</x:v>
      </x:c>
      <x:c r="E51" s="12" t="n">
        <x:v>0.25</x:v>
      </x:c>
      <x:c r="F51" s="12" t="str">
        <x:v>FORMAL</x:v>
      </x:c>
      <x:c r="G51" s="14" t="n">
        <x:v>45658.333333333336</x:v>
      </x:c>
      <x:c r="H51" s="12" t="n">
        <x:v>41.43</x:v>
      </x:c>
      <x:c r="I51" s="12" t="str">
        <x:v>2025-01-01_10</x:v>
      </x:c>
      <x:c r="J51" s="12" t="n">
        <x:v>60</x:v>
      </x:c>
      <x:c r="K51" s="12" t="str">
        <x:v>DA_2025-01-01@80c3f1a8e3ee</x:v>
      </x:c>
      <x:c r="L51" s="15" t="n">
        <x:v>45657</x:v>
      </x:c>
      <x:c r="M51" s="12" t="n">
        <x:v>4.9741</x:v>
      </x:c>
      <x:c r="N51" s="12" t="str">
        <x:v>BNR2024_BOUNDARY@c4397e7f9c31</x:v>
      </x:c>
      <x:c r="O51" s="12"/>
      <x:c r="P51" s="12"/>
      <x:c r="Q51" s="12"/>
      <x:c r="R51" s="12"/>
      <x:c r="S51" s="12" t="str">
        <x:v>OUT_OF_RESEARCH_COVERAGE_PRE_2025_06</x:v>
      </x:c>
      <x:c r="T51" s="12" t="n">
        <x:v>200</x:v>
      </x:c>
      <x:c r="U51" s="12" t="str">
        <x:v>aFRRUp_2025-01-01T08:00:00Z</x:v>
      </x:c>
      <x:c r="V51" s="12" t="str">
        <x:v>tenderStatistics_2025-01@c14c9dea784d</x:v>
      </x:c>
      <x:c r="W51" s="12" t="n">
        <x:v>13.831647936310086</x:v>
      </x:c>
      <x:c r="X51" s="12" t="str">
        <x:v>PUBLISHED_PROXY</x:v>
      </x:c>
      <x:c r="Y51" s="12" t="n">
        <x:v>200</x:v>
      </x:c>
      <x:c r="Z51" s="12" t="str">
        <x:v>aFRRDown_2025-01-01T08:00:00Z</x:v>
      </x:c>
      <x:c r="AA51" s="12" t="str">
        <x:v>tenderStatistics_2025-01@c14c9dea784d</x:v>
      </x:c>
      <x:c r="AB51" s="12" t="n">
        <x:v>14.710198829939085</x:v>
      </x:c>
      <x:c r="AC51" s="12" t="str">
        <x:v>PUBLISHED_PROXY</x:v>
      </x:c>
      <x:c r="AD51" s="12"/>
      <x:c r="AE51" s="12" t="str">
        <x:v>SOURCE_NULL_NOT_MODELED</x:v>
      </x:c>
      <x:c r="AF51" s="12"/>
      <x:c r="AG51" s="12" t="n">
        <x:v>0</x:v>
      </x:c>
      <x:c r="AH51" s="12" t="str">
        <x:v>PUBLISHED_PROXY</x:v>
      </x:c>
      <x:c r="AI51" s="12" t="n">
        <x:v>0</x:v>
      </x:c>
      <x:c r="AJ51" s="12" t="n">
        <x:v>-55.336442773567086</x:v>
      </x:c>
      <x:c r="AK51" s="12" t="str">
        <x:v>PUBLISHED_PROXY</x:v>
      </x:c>
      <x:c r="AL51" s="12" t="n">
        <x:v>31.927</x:v>
      </x:c>
      <x:c r="AM51" s="12" t="str">
        <x:v>marginalPricesOverview_2025-01@5b9daf9d82d7</x:v>
      </x:c>
      <x:c r="AN51" s="12" t="str">
        <x:v>activatedBalancingEnergyOverview_2025-01@4135ac664b2a</x:v>
      </x:c>
      <x:c r="AO51" s="12" t="str">
        <x:v>PUBLISHED_NATIVE</x:v>
      </x:c>
      <x:c r="AP51" s="12" t="n">
        <x:v>0</x:v>
      </x:c>
      <x:c r="AQ51" s="12" t="n">
        <x:v>0.63854</x:v>
      </x:c>
      <x:c r="AR51" s="12" t="n">
        <x:v>0.63854</x:v>
      </x:c>
      <x:c r="AS51" s="13" t="b">
        <x:v>1</x:v>
      </x:c>
      <x:c r="AT51" s="13" t="b">
        <x:v>1</x:v>
      </x:c>
      <x:c r="AU51" s="13" t="b">
        <x:v>1</x:v>
      </x:c>
      <x:c r="AV51" s="13" t="b">
        <x:v>1</x:v>
      </x:c>
      <x:c r="AW51" s="13" t="b">
        <x:v>1</x:v>
      </x:c>
      <x:c r="AX51" s="13" t="b">
        <x:v>0</x:v>
      </x:c>
      <x:c r="AY51" s="13" t="b">
        <x:v>0</x:v>
      </x:c>
      <x:c r="AZ51" s="13" t="b">
        <x:v>1</x:v>
      </x:c>
      <x:c r="BA51" s="12" t="str">
        <x:v>OK</x:v>
      </x:c>
      <x:c r="BB51" s="12" t="str">
        <x:v>OK</x:v>
      </x:c>
      <x:c r="BC51" s="12" t="str">
        <x:v>EUR</x:v>
      </x:c>
      <x:c r="BD51" s="12" t="n">
        <x:v>10</x:v>
      </x:c>
      <x:c r="BE51" s="12" t="n">
        <x:v>10</x:v>
      </x:c>
      <x:c r="BF51" s="12" t="n">
        <x:v>0</x:v>
      </x:c>
      <x:c r="BG51" s="12" t="n">
        <x:v>0</x:v>
      </x:c>
      <x:c r="BH51" s="12" t="n">
        <x:v>0</x:v>
      </x:c>
      <x:c r="BI51" s="12" t="n">
        <x:v>0</x:v>
      </x:c>
      <x:c r="BJ51" s="12" t="n">
        <x:v>0</x:v>
      </x:c>
      <x:c r="BK51" s="12" t="n">
        <x:v>0</x:v>
      </x:c>
      <x:c r="BL51" s="12" t="n">
        <x:v>0</x:v>
      </x:c>
      <x:c r="BM51" s="12" t="n">
        <x:v>0</x:v>
      </x:c>
      <x:c r="BN51" s="12" t="n">
        <x:v>0</x:v>
      </x:c>
      <x:c r="BO51" s="12" t="n">
        <x:v>0</x:v>
      </x:c>
      <x:c r="BP51" s="12" t="n">
        <x:v>0</x:v>
      </x:c>
      <x:c r="BQ51" s="12" t="n">
        <x:v>0</x:v>
      </x:c>
      <x:c r="BR51" s="12" t="n">
        <x:v>0</x:v>
      </x:c>
      <x:c r="BS51" s="12" t="n">
        <x:v>0</x:v>
      </x:c>
    </x:row>
    <x:row r="52" ht="21" customHeight="1">
      <x:c r="A52" s="14" t="n">
        <x:v>45658.364583333336</x:v>
      </x:c>
      <x:c r="B52" s="14" t="n">
        <x:v>45658.375</x:v>
      </x:c>
      <x:c r="C52" s="14" t="n">
        <x:v>45658.447916666664</x:v>
      </x:c>
      <x:c r="D52" s="15" t="n">
        <x:v>45658</x:v>
      </x:c>
      <x:c r="E52" s="12" t="n">
        <x:v>0.25</x:v>
      </x:c>
      <x:c r="F52" s="12" t="str">
        <x:v>FORMAL</x:v>
      </x:c>
      <x:c r="G52" s="14" t="n">
        <x:v>45658.333333333336</x:v>
      </x:c>
      <x:c r="H52" s="12" t="n">
        <x:v>41.43</x:v>
      </x:c>
      <x:c r="I52" s="12" t="str">
        <x:v>2025-01-01_10</x:v>
      </x:c>
      <x:c r="J52" s="12" t="n">
        <x:v>60</x:v>
      </x:c>
      <x:c r="K52" s="12" t="str">
        <x:v>DA_2025-01-01@80c3f1a8e3ee</x:v>
      </x:c>
      <x:c r="L52" s="15" t="n">
        <x:v>45657</x:v>
      </x:c>
      <x:c r="M52" s="12" t="n">
        <x:v>4.9741</x:v>
      </x:c>
      <x:c r="N52" s="12" t="str">
        <x:v>BNR2024_BOUNDARY@c4397e7f9c31</x:v>
      </x:c>
      <x:c r="O52" s="12"/>
      <x:c r="P52" s="12"/>
      <x:c r="Q52" s="12"/>
      <x:c r="R52" s="12"/>
      <x:c r="S52" s="12" t="str">
        <x:v>OUT_OF_RESEARCH_COVERAGE_PRE_2025_06</x:v>
      </x:c>
      <x:c r="T52" s="12" t="n">
        <x:v>200</x:v>
      </x:c>
      <x:c r="U52" s="12" t="str">
        <x:v>aFRRUp_2025-01-01T08:00:00Z</x:v>
      </x:c>
      <x:c r="V52" s="12" t="str">
        <x:v>tenderStatistics_2025-01@c14c9dea784d</x:v>
      </x:c>
      <x:c r="W52" s="12" t="n">
        <x:v>13.831647936310086</x:v>
      </x:c>
      <x:c r="X52" s="12" t="str">
        <x:v>PUBLISHED_PROXY</x:v>
      </x:c>
      <x:c r="Y52" s="12" t="n">
        <x:v>200</x:v>
      </x:c>
      <x:c r="Z52" s="12" t="str">
        <x:v>aFRRDown_2025-01-01T08:00:00Z</x:v>
      </x:c>
      <x:c r="AA52" s="12" t="str">
        <x:v>tenderStatistics_2025-01@c14c9dea784d</x:v>
      </x:c>
      <x:c r="AB52" s="12" t="n">
        <x:v>14.710198829939085</x:v>
      </x:c>
      <x:c r="AC52" s="12" t="str">
        <x:v>PUBLISHED_PROXY</x:v>
      </x:c>
      <x:c r="AD52" s="12"/>
      <x:c r="AE52" s="12" t="str">
        <x:v>SOURCE_NULL_NOT_MODELED</x:v>
      </x:c>
      <x:c r="AF52" s="12"/>
      <x:c r="AG52" s="12" t="n">
        <x:v>0</x:v>
      </x:c>
      <x:c r="AH52" s="12" t="str">
        <x:v>PUBLISHED_PROXY</x:v>
      </x:c>
      <x:c r="AI52" s="12" t="n">
        <x:v>0</x:v>
      </x:c>
      <x:c r="AJ52" s="12" t="n">
        <x:v>-38.434892744416075</x:v>
      </x:c>
      <x:c r="AK52" s="12" t="str">
        <x:v>PUBLISHED_PROXY</x:v>
      </x:c>
      <x:c r="AL52" s="12" t="n">
        <x:v>33.245</x:v>
      </x:c>
      <x:c r="AM52" s="12" t="str">
        <x:v>marginalPricesOverview_2025-01@5b9daf9d82d7</x:v>
      </x:c>
      <x:c r="AN52" s="12" t="str">
        <x:v>activatedBalancingEnergyOverview_2025-01@4135ac664b2a</x:v>
      </x:c>
      <x:c r="AO52" s="12" t="str">
        <x:v>PUBLISHED_NATIVE</x:v>
      </x:c>
      <x:c r="AP52" s="12" t="n">
        <x:v>0</x:v>
      </x:c>
      <x:c r="AQ52" s="12" t="n">
        <x:v>0.6648999999999999</x:v>
      </x:c>
      <x:c r="AR52" s="12" t="n">
        <x:v>0.6648999999999999</x:v>
      </x:c>
      <x:c r="AS52" s="13" t="b">
        <x:v>1</x:v>
      </x:c>
      <x:c r="AT52" s="13" t="b">
        <x:v>1</x:v>
      </x:c>
      <x:c r="AU52" s="13" t="b">
        <x:v>1</x:v>
      </x:c>
      <x:c r="AV52" s="13" t="b">
        <x:v>1</x:v>
      </x:c>
      <x:c r="AW52" s="13" t="b">
        <x:v>1</x:v>
      </x:c>
      <x:c r="AX52" s="13" t="b">
        <x:v>0</x:v>
      </x:c>
      <x:c r="AY52" s="13" t="b">
        <x:v>0</x:v>
      </x:c>
      <x:c r="AZ52" s="13" t="b">
        <x:v>1</x:v>
      </x:c>
      <x:c r="BA52" s="12" t="str">
        <x:v>OK</x:v>
      </x:c>
      <x:c r="BB52" s="12" t="str">
        <x:v>OK</x:v>
      </x:c>
      <x:c r="BC52" s="12" t="str">
        <x:v>EUR</x:v>
      </x:c>
      <x:c r="BD52" s="12" t="n">
        <x:v>10</x:v>
      </x:c>
      <x:c r="BE52" s="12" t="n">
        <x:v>10</x:v>
      </x:c>
      <x:c r="BF52" s="12" t="n">
        <x:v>0</x:v>
      </x:c>
      <x:c r="BG52" s="12" t="n">
        <x:v>0</x:v>
      </x:c>
      <x:c r="BH52" s="12" t="n">
        <x:v>0</x:v>
      </x:c>
      <x:c r="BI52" s="12" t="n">
        <x:v>0</x:v>
      </x:c>
      <x:c r="BJ52" s="12" t="n">
        <x:v>0</x:v>
      </x:c>
      <x:c r="BK52" s="12" t="n">
        <x:v>0</x:v>
      </x:c>
      <x:c r="BL52" s="12" t="n">
        <x:v>0</x:v>
      </x:c>
      <x:c r="BM52" s="12" t="n">
        <x:v>0</x:v>
      </x:c>
      <x:c r="BN52" s="12" t="n">
        <x:v>0</x:v>
      </x:c>
      <x:c r="BO52" s="12" t="n">
        <x:v>0</x:v>
      </x:c>
      <x:c r="BP52" s="12" t="n">
        <x:v>0</x:v>
      </x:c>
      <x:c r="BQ52" s="12" t="n">
        <x:v>0</x:v>
      </x:c>
      <x:c r="BR52" s="12" t="n">
        <x:v>0</x:v>
      </x:c>
      <x:c r="BS52" s="12" t="n">
        <x:v>0</x:v>
      </x:c>
    </x:row>
    <x:row r="53" ht="21" customHeight="1">
      <x:c r="A53" s="14" t="n">
        <x:v>45658.375</x:v>
      </x:c>
      <x:c r="B53" s="14" t="n">
        <x:v>45658.385416666664</x:v>
      </x:c>
      <x:c r="C53" s="14" t="n">
        <x:v>45658.458333333336</x:v>
      </x:c>
      <x:c r="D53" s="15" t="n">
        <x:v>45658</x:v>
      </x:c>
      <x:c r="E53" s="12" t="n">
        <x:v>0.25</x:v>
      </x:c>
      <x:c r="F53" s="12" t="str">
        <x:v>FORMAL</x:v>
      </x:c>
      <x:c r="G53" s="14" t="n">
        <x:v>45658.375</x:v>
      </x:c>
      <x:c r="H53" s="12" t="n">
        <x:v>28.98</x:v>
      </x:c>
      <x:c r="I53" s="12" t="str">
        <x:v>2025-01-01_11</x:v>
      </x:c>
      <x:c r="J53" s="12" t="n">
        <x:v>60</x:v>
      </x:c>
      <x:c r="K53" s="12" t="str">
        <x:v>DA_2025-01-01@80c3f1a8e3ee</x:v>
      </x:c>
      <x:c r="L53" s="15" t="n">
        <x:v>45657</x:v>
      </x:c>
      <x:c r="M53" s="12" t="n">
        <x:v>4.9741</x:v>
      </x:c>
      <x:c r="N53" s="12" t="str">
        <x:v>BNR2024_BOUNDARY@c4397e7f9c31</x:v>
      </x:c>
      <x:c r="O53" s="12"/>
      <x:c r="P53" s="12"/>
      <x:c r="Q53" s="12"/>
      <x:c r="R53" s="12"/>
      <x:c r="S53" s="12" t="str">
        <x:v>OUT_OF_RESEARCH_COVERAGE_PRE_2025_06</x:v>
      </x:c>
      <x:c r="T53" s="12" t="n">
        <x:v>200</x:v>
      </x:c>
      <x:c r="U53" s="12" t="str">
        <x:v>aFRRUp_2025-01-01T09:00:00Z</x:v>
      </x:c>
      <x:c r="V53" s="12" t="str">
        <x:v>tenderStatistics_2025-01@c14c9dea784d</x:v>
      </x:c>
      <x:c r="W53" s="12" t="n">
        <x:v>13.71102309965622</x:v>
      </x:c>
      <x:c r="X53" s="12" t="str">
        <x:v>PUBLISHED_PROXY</x:v>
      </x:c>
      <x:c r="Y53" s="12" t="n">
        <x:v>200</x:v>
      </x:c>
      <x:c r="Z53" s="12" t="str">
        <x:v>aFRRDown_2025-01-01T09:00:00Z</x:v>
      </x:c>
      <x:c r="AA53" s="12" t="str">
        <x:v>tenderStatistics_2025-01@c14c9dea784d</x:v>
      </x:c>
      <x:c r="AB53" s="12" t="n">
        <x:v>14.710198829939085</x:v>
      </x:c>
      <x:c r="AC53" s="12" t="str">
        <x:v>PUBLISHED_PROXY</x:v>
      </x:c>
      <x:c r="AD53" s="12"/>
      <x:c r="AE53" s="12" t="str">
        <x:v>SOURCE_NULL_NOT_MODELED</x:v>
      </x:c>
      <x:c r="AF53" s="12"/>
      <x:c r="AG53" s="12" t="n">
        <x:v>0</x:v>
      </x:c>
      <x:c r="AH53" s="12" t="str">
        <x:v>PUBLISHED_PROXY</x:v>
      </x:c>
      <x:c r="AI53" s="12" t="n">
        <x:v>0</x:v>
      </x:c>
      <x:c r="AJ53" s="12" t="n">
        <x:v>-0.6421262137874189</x:v>
      </x:c>
      <x:c r="AK53" s="12" t="str">
        <x:v>PUBLISHED_PROXY</x:v>
      </x:c>
      <x:c r="AL53" s="12" t="n">
        <x:v>23.946</x:v>
      </x:c>
      <x:c r="AM53" s="12" t="str">
        <x:v>marginalPricesOverview_2025-01@5b9daf9d82d7</x:v>
      </x:c>
      <x:c r="AN53" s="12" t="str">
        <x:v>activatedBalancingEnergyOverview_2025-01@4135ac664b2a</x:v>
      </x:c>
      <x:c r="AO53" s="12" t="str">
        <x:v>PUBLISHED_NATIVE</x:v>
      </x:c>
      <x:c r="AP53" s="12" t="n">
        <x:v>0</x:v>
      </x:c>
      <x:c r="AQ53" s="12" t="n">
        <x:v>0.47892</x:v>
      </x:c>
      <x:c r="AR53" s="12" t="n">
        <x:v>0.47892</x:v>
      </x:c>
      <x:c r="AS53" s="13" t="b">
        <x:v>1</x:v>
      </x:c>
      <x:c r="AT53" s="13" t="b">
        <x:v>1</x:v>
      </x:c>
      <x:c r="AU53" s="13" t="b">
        <x:v>1</x:v>
      </x:c>
      <x:c r="AV53" s="13" t="b">
        <x:v>1</x:v>
      </x:c>
      <x:c r="AW53" s="13" t="b">
        <x:v>1</x:v>
      </x:c>
      <x:c r="AX53" s="13" t="b">
        <x:v>0</x:v>
      </x:c>
      <x:c r="AY53" s="13" t="b">
        <x:v>0</x:v>
      </x:c>
      <x:c r="AZ53" s="13" t="b">
        <x:v>1</x:v>
      </x:c>
      <x:c r="BA53" s="12" t="str">
        <x:v>OK</x:v>
      </x:c>
      <x:c r="BB53" s="12" t="str">
        <x:v>OK</x:v>
      </x:c>
      <x:c r="BC53" s="12" t="str">
        <x:v>EUR</x:v>
      </x:c>
      <x:c r="BD53" s="12" t="n">
        <x:v>10</x:v>
      </x:c>
      <x:c r="BE53" s="12" t="n">
        <x:v>10</x:v>
      </x:c>
      <x:c r="BF53" s="12" t="n">
        <x:v>0</x:v>
      </x:c>
      <x:c r="BG53" s="12" t="n">
        <x:v>0</x:v>
      </x:c>
      <x:c r="BH53" s="12" t="n">
        <x:v>0</x:v>
      </x:c>
      <x:c r="BI53" s="12" t="n">
        <x:v>0</x:v>
      </x:c>
      <x:c r="BJ53" s="12" t="n">
        <x:v>0</x:v>
      </x:c>
      <x:c r="BK53" s="12" t="n">
        <x:v>0</x:v>
      </x:c>
      <x:c r="BL53" s="12" t="n">
        <x:v>0</x:v>
      </x:c>
      <x:c r="BM53" s="12" t="n">
        <x:v>0</x:v>
      </x:c>
      <x:c r="BN53" s="12" t="n">
        <x:v>0</x:v>
      </x:c>
      <x:c r="BO53" s="12" t="n">
        <x:v>0</x:v>
      </x:c>
      <x:c r="BP53" s="12" t="n">
        <x:v>0</x:v>
      </x:c>
      <x:c r="BQ53" s="12" t="n">
        <x:v>0</x:v>
      </x:c>
      <x:c r="BR53" s="12" t="n">
        <x:v>0</x:v>
      </x:c>
      <x:c r="BS53" s="12" t="n">
        <x:v>0</x:v>
      </x:c>
    </x:row>
    <x:row r="54" ht="21" customHeight="1">
      <x:c r="A54" s="14" t="n">
        <x:v>45658.385416666664</x:v>
      </x:c>
      <x:c r="B54" s="14" t="n">
        <x:v>45658.395833333336</x:v>
      </x:c>
      <x:c r="C54" s="14" t="n">
        <x:v>45658.46875</x:v>
      </x:c>
      <x:c r="D54" s="15" t="n">
        <x:v>45658</x:v>
      </x:c>
      <x:c r="E54" s="12" t="n">
        <x:v>0.25</x:v>
      </x:c>
      <x:c r="F54" s="12" t="str">
        <x:v>FORMAL</x:v>
      </x:c>
      <x:c r="G54" s="14" t="n">
        <x:v>45658.375</x:v>
      </x:c>
      <x:c r="H54" s="12" t="n">
        <x:v>28.98</x:v>
      </x:c>
      <x:c r="I54" s="12" t="str">
        <x:v>2025-01-01_11</x:v>
      </x:c>
      <x:c r="J54" s="12" t="n">
        <x:v>60</x:v>
      </x:c>
      <x:c r="K54" s="12" t="str">
        <x:v>DA_2025-01-01@80c3f1a8e3ee</x:v>
      </x:c>
      <x:c r="L54" s="15" t="n">
        <x:v>45657</x:v>
      </x:c>
      <x:c r="M54" s="12" t="n">
        <x:v>4.9741</x:v>
      </x:c>
      <x:c r="N54" s="12" t="str">
        <x:v>BNR2024_BOUNDARY@c4397e7f9c31</x:v>
      </x:c>
      <x:c r="O54" s="12"/>
      <x:c r="P54" s="12"/>
      <x:c r="Q54" s="12"/>
      <x:c r="R54" s="12"/>
      <x:c r="S54" s="12" t="str">
        <x:v>OUT_OF_RESEARCH_COVERAGE_PRE_2025_06</x:v>
      </x:c>
      <x:c r="T54" s="12" t="n">
        <x:v>200</x:v>
      </x:c>
      <x:c r="U54" s="12" t="str">
        <x:v>aFRRUp_2025-01-01T09:00:00Z</x:v>
      </x:c>
      <x:c r="V54" s="12" t="str">
        <x:v>tenderStatistics_2025-01@c14c9dea784d</x:v>
      </x:c>
      <x:c r="W54" s="12" t="n">
        <x:v>13.71102309965622</x:v>
      </x:c>
      <x:c r="X54" s="12" t="str">
        <x:v>PUBLISHED_PROXY</x:v>
      </x:c>
      <x:c r="Y54" s="12" t="n">
        <x:v>200</x:v>
      </x:c>
      <x:c r="Z54" s="12" t="str">
        <x:v>aFRRDown_2025-01-01T09:00:00Z</x:v>
      </x:c>
      <x:c r="AA54" s="12" t="str">
        <x:v>tenderStatistics_2025-01@c14c9dea784d</x:v>
      </x:c>
      <x:c r="AB54" s="12" t="n">
        <x:v>14.710198829939085</x:v>
      </x:c>
      <x:c r="AC54" s="12" t="str">
        <x:v>PUBLISHED_PROXY</x:v>
      </x:c>
      <x:c r="AD54" s="12"/>
      <x:c r="AE54" s="12" t="str">
        <x:v>SOURCE_NULL_NOT_MODELED</x:v>
      </x:c>
      <x:c r="AF54" s="12"/>
      <x:c r="AG54" s="12" t="n">
        <x:v>0</x:v>
      </x:c>
      <x:c r="AH54" s="12" t="str">
        <x:v>PUBLISHED_PROXY</x:v>
      </x:c>
      <x:c r="AI54" s="12" t="n">
        <x:v>0</x:v>
      </x:c>
      <x:c r="AJ54" s="12" t="n">
        <x:v>5.266681409702257</x:v>
      </x:c>
      <x:c r="AK54" s="12" t="str">
        <x:v>PUBLISHED_PROXY</x:v>
      </x:c>
      <x:c r="AL54" s="12" t="n">
        <x:v>16.769</x:v>
      </x:c>
      <x:c r="AM54" s="12" t="str">
        <x:v>marginalPricesOverview_2025-01@5b9daf9d82d7</x:v>
      </x:c>
      <x:c r="AN54" s="12" t="str">
        <x:v>activatedBalancingEnergyOverview_2025-01@4135ac664b2a</x:v>
      </x:c>
      <x:c r="AO54" s="12" t="str">
        <x:v>PUBLISHED_NATIVE</x:v>
      </x:c>
      <x:c r="AP54" s="12" t="n">
        <x:v>0</x:v>
      </x:c>
      <x:c r="AQ54" s="12" t="n">
        <x:v>0.3353799999999999</x:v>
      </x:c>
      <x:c r="AR54" s="12" t="n">
        <x:v>0.3353799999999999</x:v>
      </x:c>
      <x:c r="AS54" s="13" t="b">
        <x:v>1</x:v>
      </x:c>
      <x:c r="AT54" s="13" t="b">
        <x:v>1</x:v>
      </x:c>
      <x:c r="AU54" s="13" t="b">
        <x:v>1</x:v>
      </x:c>
      <x:c r="AV54" s="13" t="b">
        <x:v>1</x:v>
      </x:c>
      <x:c r="AW54" s="13" t="b">
        <x:v>1</x:v>
      </x:c>
      <x:c r="AX54" s="13" t="b">
        <x:v>0</x:v>
      </x:c>
      <x:c r="AY54" s="13" t="b">
        <x:v>0</x:v>
      </x:c>
      <x:c r="AZ54" s="13" t="b">
        <x:v>1</x:v>
      </x:c>
      <x:c r="BA54" s="12" t="str">
        <x:v>OK</x:v>
      </x:c>
      <x:c r="BB54" s="12" t="str">
        <x:v>OK</x:v>
      </x:c>
      <x:c r="BC54" s="12" t="str">
        <x:v>EUR</x:v>
      </x:c>
      <x:c r="BD54" s="12" t="n">
        <x:v>10</x:v>
      </x:c>
      <x:c r="BE54" s="12" t="n">
        <x:v>10</x:v>
      </x:c>
      <x:c r="BF54" s="12" t="n">
        <x:v>0</x:v>
      </x:c>
      <x:c r="BG54" s="12" t="n">
        <x:v>0</x:v>
      </x:c>
      <x:c r="BH54" s="12" t="n">
        <x:v>0</x:v>
      </x:c>
      <x:c r="BI54" s="12" t="n">
        <x:v>0</x:v>
      </x:c>
      <x:c r="BJ54" s="12" t="n">
        <x:v>0</x:v>
      </x:c>
      <x:c r="BK54" s="12" t="n">
        <x:v>0</x:v>
      </x:c>
      <x:c r="BL54" s="12" t="n">
        <x:v>0</x:v>
      </x:c>
      <x:c r="BM54" s="12" t="n">
        <x:v>0</x:v>
      </x:c>
      <x:c r="BN54" s="12" t="n">
        <x:v>0</x:v>
      </x:c>
      <x:c r="BO54" s="12" t="n">
        <x:v>0</x:v>
      </x:c>
      <x:c r="BP54" s="12" t="n">
        <x:v>0</x:v>
      </x:c>
      <x:c r="BQ54" s="12" t="n">
        <x:v>0</x:v>
      </x:c>
      <x:c r="BR54" s="12" t="n">
        <x:v>0</x:v>
      </x:c>
      <x:c r="BS54" s="12" t="n">
        <x:v>0</x:v>
      </x:c>
    </x:row>
    <x:row r="55" ht="21" customHeight="1">
      <x:c r="A55" s="14" t="n">
        <x:v>45658.395833333336</x:v>
      </x:c>
      <x:c r="B55" s="14" t="n">
        <x:v>45658.40625</x:v>
      </x:c>
      <x:c r="C55" s="14" t="n">
        <x:v>45658.479166666664</x:v>
      </x:c>
      <x:c r="D55" s="15" t="n">
        <x:v>45658</x:v>
      </x:c>
      <x:c r="E55" s="12" t="n">
        <x:v>0.25</x:v>
      </x:c>
      <x:c r="F55" s="12" t="str">
        <x:v>FORMAL</x:v>
      </x:c>
      <x:c r="G55" s="14" t="n">
        <x:v>45658.375</x:v>
      </x:c>
      <x:c r="H55" s="12" t="n">
        <x:v>28.98</x:v>
      </x:c>
      <x:c r="I55" s="12" t="str">
        <x:v>2025-01-01_11</x:v>
      </x:c>
      <x:c r="J55" s="12" t="n">
        <x:v>60</x:v>
      </x:c>
      <x:c r="K55" s="12" t="str">
        <x:v>DA_2025-01-01@80c3f1a8e3ee</x:v>
      </x:c>
      <x:c r="L55" s="15" t="n">
        <x:v>45657</x:v>
      </x:c>
      <x:c r="M55" s="12" t="n">
        <x:v>4.9741</x:v>
      </x:c>
      <x:c r="N55" s="12" t="str">
        <x:v>BNR2024_BOUNDARY@c4397e7f9c31</x:v>
      </x:c>
      <x:c r="O55" s="12"/>
      <x:c r="P55" s="12"/>
      <x:c r="Q55" s="12"/>
      <x:c r="R55" s="12"/>
      <x:c r="S55" s="12" t="str">
        <x:v>OUT_OF_RESEARCH_COVERAGE_PRE_2025_06</x:v>
      </x:c>
      <x:c r="T55" s="12" t="n">
        <x:v>200</x:v>
      </x:c>
      <x:c r="U55" s="12" t="str">
        <x:v>aFRRUp_2025-01-01T09:00:00Z</x:v>
      </x:c>
      <x:c r="V55" s="12" t="str">
        <x:v>tenderStatistics_2025-01@c14c9dea784d</x:v>
      </x:c>
      <x:c r="W55" s="12" t="n">
        <x:v>13.71102309965622</x:v>
      </x:c>
      <x:c r="X55" s="12" t="str">
        <x:v>PUBLISHED_PROXY</x:v>
      </x:c>
      <x:c r="Y55" s="12" t="n">
        <x:v>200</x:v>
      </x:c>
      <x:c r="Z55" s="12" t="str">
        <x:v>aFRRDown_2025-01-01T09:00:00Z</x:v>
      </x:c>
      <x:c r="AA55" s="12" t="str">
        <x:v>tenderStatistics_2025-01@c14c9dea784d</x:v>
      </x:c>
      <x:c r="AB55" s="12" t="n">
        <x:v>14.710198829939085</x:v>
      </x:c>
      <x:c r="AC55" s="12" t="str">
        <x:v>PUBLISHED_PROXY</x:v>
      </x:c>
      <x:c r="AD55" s="12"/>
      <x:c r="AE55" s="12" t="str">
        <x:v>SOURCE_NULL_NOT_MODELED</x:v>
      </x:c>
      <x:c r="AF55" s="12"/>
      <x:c r="AG55" s="12" t="n">
        <x:v>0</x:v>
      </x:c>
      <x:c r="AH55" s="12" t="str">
        <x:v>PUBLISHED_PROXY</x:v>
      </x:c>
      <x:c r="AI55" s="12" t="n">
        <x:v>0</x:v>
      </x:c>
      <x:c r="AJ55" s="12" t="n">
        <x:v>19.65762650529744</x:v>
      </x:c>
      <x:c r="AK55" s="12" t="str">
        <x:v>PUBLISHED_PROXY</x:v>
      </x:c>
      <x:c r="AL55" s="12" t="n">
        <x:v>6.724</x:v>
      </x:c>
      <x:c r="AM55" s="12" t="str">
        <x:v>marginalPricesOverview_2025-01@5b9daf9d82d7</x:v>
      </x:c>
      <x:c r="AN55" s="12" t="str">
        <x:v>activatedBalancingEnergyOverview_2025-01@4135ac664b2a</x:v>
      </x:c>
      <x:c r="AO55" s="12" t="str">
        <x:v>PUBLISHED_NATIVE</x:v>
      </x:c>
      <x:c r="AP55" s="12" t="n">
        <x:v>0</x:v>
      </x:c>
      <x:c r="AQ55" s="12" t="n">
        <x:v>0.13448</x:v>
      </x:c>
      <x:c r="AR55" s="12" t="n">
        <x:v>0.13448</x:v>
      </x:c>
      <x:c r="AS55" s="13" t="b">
        <x:v>1</x:v>
      </x:c>
      <x:c r="AT55" s="13" t="b">
        <x:v>1</x:v>
      </x:c>
      <x:c r="AU55" s="13" t="b">
        <x:v>1</x:v>
      </x:c>
      <x:c r="AV55" s="13" t="b">
        <x:v>1</x:v>
      </x:c>
      <x:c r="AW55" s="13" t="b">
        <x:v>1</x:v>
      </x:c>
      <x:c r="AX55" s="13" t="b">
        <x:v>0</x:v>
      </x:c>
      <x:c r="AY55" s="13" t="b">
        <x:v>0</x:v>
      </x:c>
      <x:c r="AZ55" s="13" t="b">
        <x:v>1</x:v>
      </x:c>
      <x:c r="BA55" s="12" t="str">
        <x:v>OK</x:v>
      </x:c>
      <x:c r="BB55" s="12" t="str">
        <x:v>OK</x:v>
      </x:c>
      <x:c r="BC55" s="12" t="str">
        <x:v>EUR</x:v>
      </x:c>
      <x:c r="BD55" s="12" t="n">
        <x:v>10</x:v>
      </x:c>
      <x:c r="BE55" s="12" t="n">
        <x:v>10</x:v>
      </x:c>
      <x:c r="BF55" s="12" t="n">
        <x:v>0</x:v>
      </x:c>
      <x:c r="BG55" s="12" t="n">
        <x:v>0</x:v>
      </x:c>
      <x:c r="BH55" s="12" t="n">
        <x:v>0</x:v>
      </x:c>
      <x:c r="BI55" s="12" t="n">
        <x:v>0</x:v>
      </x:c>
      <x:c r="BJ55" s="12" t="n">
        <x:v>0</x:v>
      </x:c>
      <x:c r="BK55" s="12" t="n">
        <x:v>0</x:v>
      </x:c>
      <x:c r="BL55" s="12" t="n">
        <x:v>0</x:v>
      </x:c>
      <x:c r="BM55" s="12" t="n">
        <x:v>0</x:v>
      </x:c>
      <x:c r="BN55" s="12" t="n">
        <x:v>0</x:v>
      </x:c>
      <x:c r="BO55" s="12" t="n">
        <x:v>0</x:v>
      </x:c>
      <x:c r="BP55" s="12" t="n">
        <x:v>0</x:v>
      </x:c>
      <x:c r="BQ55" s="12" t="n">
        <x:v>0</x:v>
      </x:c>
      <x:c r="BR55" s="12" t="n">
        <x:v>0</x:v>
      </x:c>
      <x:c r="BS55" s="12" t="n">
        <x:v>0</x:v>
      </x:c>
    </x:row>
    <x:row r="56" ht="21" customHeight="1">
      <x:c r="A56" s="14" t="n">
        <x:v>45658.40625</x:v>
      </x:c>
      <x:c r="B56" s="14" t="n">
        <x:v>45658.416666666664</x:v>
      </x:c>
      <x:c r="C56" s="14" t="n">
        <x:v>45658.489583333336</x:v>
      </x:c>
      <x:c r="D56" s="15" t="n">
        <x:v>45658</x:v>
      </x:c>
      <x:c r="E56" s="12" t="n">
        <x:v>0.25</x:v>
      </x:c>
      <x:c r="F56" s="12" t="str">
        <x:v>FORMAL</x:v>
      </x:c>
      <x:c r="G56" s="14" t="n">
        <x:v>45658.375</x:v>
      </x:c>
      <x:c r="H56" s="12" t="n">
        <x:v>28.98</x:v>
      </x:c>
      <x:c r="I56" s="12" t="str">
        <x:v>2025-01-01_11</x:v>
      </x:c>
      <x:c r="J56" s="12" t="n">
        <x:v>60</x:v>
      </x:c>
      <x:c r="K56" s="12" t="str">
        <x:v>DA_2025-01-01@80c3f1a8e3ee</x:v>
      </x:c>
      <x:c r="L56" s="15" t="n">
        <x:v>45657</x:v>
      </x:c>
      <x:c r="M56" s="12" t="n">
        <x:v>4.9741</x:v>
      </x:c>
      <x:c r="N56" s="12" t="str">
        <x:v>BNR2024_BOUNDARY@c4397e7f9c31</x:v>
      </x:c>
      <x:c r="O56" s="12"/>
      <x:c r="P56" s="12"/>
      <x:c r="Q56" s="12"/>
      <x:c r="R56" s="12"/>
      <x:c r="S56" s="12" t="str">
        <x:v>OUT_OF_RESEARCH_COVERAGE_PRE_2025_06</x:v>
      </x:c>
      <x:c r="T56" s="12" t="n">
        <x:v>200</x:v>
      </x:c>
      <x:c r="U56" s="12" t="str">
        <x:v>aFRRUp_2025-01-01T09:00:00Z</x:v>
      </x:c>
      <x:c r="V56" s="12" t="str">
        <x:v>tenderStatistics_2025-01@c14c9dea784d</x:v>
      </x:c>
      <x:c r="W56" s="12" t="n">
        <x:v>13.71102309965622</x:v>
      </x:c>
      <x:c r="X56" s="12" t="str">
        <x:v>PUBLISHED_PROXY</x:v>
      </x:c>
      <x:c r="Y56" s="12" t="n">
        <x:v>200</x:v>
      </x:c>
      <x:c r="Z56" s="12" t="str">
        <x:v>aFRRDown_2025-01-01T09:00:00Z</x:v>
      </x:c>
      <x:c r="AA56" s="12" t="str">
        <x:v>tenderStatistics_2025-01@c14c9dea784d</x:v>
      </x:c>
      <x:c r="AB56" s="12" t="n">
        <x:v>14.710198829939085</x:v>
      </x:c>
      <x:c r="AC56" s="12" t="str">
        <x:v>PUBLISHED_PROXY</x:v>
      </x:c>
      <x:c r="AD56" s="12"/>
      <x:c r="AE56" s="12" t="str">
        <x:v>SOURCE_NULL_NOT_MODELED</x:v>
      </x:c>
      <x:c r="AF56" s="12"/>
      <x:c r="AG56" s="12" t="n">
        <x:v>0</x:v>
      </x:c>
      <x:c r="AH56" s="12" t="str">
        <x:v>PUBLISHED_PROXY</x:v>
      </x:c>
      <x:c r="AI56" s="12" t="n">
        <x:v>0</x:v>
      </x:c>
      <x:c r="AJ56" s="12" t="n">
        <x:v>19.35727066202931</x:v>
      </x:c>
      <x:c r="AK56" s="12" t="str">
        <x:v>PUBLISHED_PROXY</x:v>
      </x:c>
      <x:c r="AL56" s="12" t="n">
        <x:v>11.391</x:v>
      </x:c>
      <x:c r="AM56" s="12" t="str">
        <x:v>marginalPricesOverview_2025-01@5b9daf9d82d7</x:v>
      </x:c>
      <x:c r="AN56" s="12" t="str">
        <x:v>activatedBalancingEnergyOverview_2025-01@4135ac664b2a</x:v>
      </x:c>
      <x:c r="AO56" s="12" t="str">
        <x:v>PUBLISHED_NATIVE</x:v>
      </x:c>
      <x:c r="AP56" s="12" t="n">
        <x:v>0</x:v>
      </x:c>
      <x:c r="AQ56" s="12" t="n">
        <x:v>0.22782</x:v>
      </x:c>
      <x:c r="AR56" s="12" t="n">
        <x:v>0.22782</x:v>
      </x:c>
      <x:c r="AS56" s="13" t="b">
        <x:v>1</x:v>
      </x:c>
      <x:c r="AT56" s="13" t="b">
        <x:v>1</x:v>
      </x:c>
      <x:c r="AU56" s="13" t="b">
        <x:v>1</x:v>
      </x:c>
      <x:c r="AV56" s="13" t="b">
        <x:v>1</x:v>
      </x:c>
      <x:c r="AW56" s="13" t="b">
        <x:v>1</x:v>
      </x:c>
      <x:c r="AX56" s="13" t="b">
        <x:v>0</x:v>
      </x:c>
      <x:c r="AY56" s="13" t="b">
        <x:v>0</x:v>
      </x:c>
      <x:c r="AZ56" s="13" t="b">
        <x:v>1</x:v>
      </x:c>
      <x:c r="BA56" s="12" t="str">
        <x:v>OK</x:v>
      </x:c>
      <x:c r="BB56" s="12" t="str">
        <x:v>OK</x:v>
      </x:c>
      <x:c r="BC56" s="12" t="str">
        <x:v>EUR</x:v>
      </x:c>
      <x:c r="BD56" s="12" t="n">
        <x:v>10</x:v>
      </x:c>
      <x:c r="BE56" s="12" t="n">
        <x:v>10</x:v>
      </x:c>
      <x:c r="BF56" s="12" t="n">
        <x:v>0</x:v>
      </x:c>
      <x:c r="BG56" s="12" t="n">
        <x:v>0</x:v>
      </x:c>
      <x:c r="BH56" s="12" t="n">
        <x:v>0</x:v>
      </x:c>
      <x:c r="BI56" s="12" t="n">
        <x:v>0</x:v>
      </x:c>
      <x:c r="BJ56" s="12" t="n">
        <x:v>0</x:v>
      </x:c>
      <x:c r="BK56" s="12" t="n">
        <x:v>0</x:v>
      </x:c>
      <x:c r="BL56" s="12" t="n">
        <x:v>0</x:v>
      </x:c>
      <x:c r="BM56" s="12" t="n">
        <x:v>0</x:v>
      </x:c>
      <x:c r="BN56" s="12" t="n">
        <x:v>0</x:v>
      </x:c>
      <x:c r="BO56" s="12" t="n">
        <x:v>0</x:v>
      </x:c>
      <x:c r="BP56" s="12" t="n">
        <x:v>0</x:v>
      </x:c>
      <x:c r="BQ56" s="12" t="n">
        <x:v>0</x:v>
      </x:c>
      <x:c r="BR56" s="12" t="n">
        <x:v>0</x:v>
      </x:c>
      <x:c r="BS56" s="12" t="n">
        <x:v>0</x:v>
      </x:c>
    </x:row>
    <x:row r="57" ht="21" customHeight="1">
      <x:c r="A57" s="14" t="n">
        <x:v>45658.416666666664</x:v>
      </x:c>
      <x:c r="B57" s="14" t="n">
        <x:v>45658.427083333336</x:v>
      </x:c>
      <x:c r="C57" s="14" t="n">
        <x:v>45658.5</x:v>
      </x:c>
      <x:c r="D57" s="15" t="n">
        <x:v>45658</x:v>
      </x:c>
      <x:c r="E57" s="12" t="n">
        <x:v>0.25</x:v>
      </x:c>
      <x:c r="F57" s="12" t="str">
        <x:v>FORMAL</x:v>
      </x:c>
      <x:c r="G57" s="14" t="n">
        <x:v>45658.416666666664</x:v>
      </x:c>
      <x:c r="H57" s="12" t="n">
        <x:v>32.8</x:v>
      </x:c>
      <x:c r="I57" s="12" t="str">
        <x:v>2025-01-01_12</x:v>
      </x:c>
      <x:c r="J57" s="12" t="n">
        <x:v>60</x:v>
      </x:c>
      <x:c r="K57" s="12" t="str">
        <x:v>DA_2025-01-01@80c3f1a8e3ee</x:v>
      </x:c>
      <x:c r="L57" s="15" t="n">
        <x:v>45657</x:v>
      </x:c>
      <x:c r="M57" s="12" t="n">
        <x:v>4.9741</x:v>
      </x:c>
      <x:c r="N57" s="12" t="str">
        <x:v>BNR2024_BOUNDARY@c4397e7f9c31</x:v>
      </x:c>
      <x:c r="O57" s="12"/>
      <x:c r="P57" s="12"/>
      <x:c r="Q57" s="12"/>
      <x:c r="R57" s="12"/>
      <x:c r="S57" s="12" t="str">
        <x:v>OUT_OF_RESEARCH_COVERAGE_PRE_2025_06</x:v>
      </x:c>
      <x:c r="T57" s="12" t="n">
        <x:v>200</x:v>
      </x:c>
      <x:c r="U57" s="12" t="str">
        <x:v>aFRRUp_2025-01-01T10:00:00Z</x:v>
      </x:c>
      <x:c r="V57" s="12" t="str">
        <x:v>tenderStatistics_2025-01@c14c9dea784d</x:v>
      </x:c>
      <x:c r="W57" s="12" t="n">
        <x:v>13.71102309965622</x:v>
      </x:c>
      <x:c r="X57" s="12" t="str">
        <x:v>PUBLISHED_PROXY</x:v>
      </x:c>
      <x:c r="Y57" s="12" t="n">
        <x:v>200</x:v>
      </x:c>
      <x:c r="Z57" s="12" t="str">
        <x:v>aFRRDown_2025-01-01T10:00:00Z</x:v>
      </x:c>
      <x:c r="AA57" s="12" t="str">
        <x:v>tenderStatistics_2025-01@c14c9dea784d</x:v>
      </x:c>
      <x:c r="AB57" s="12" t="n">
        <x:v>14.710198829939085</x:v>
      </x:c>
      <x:c r="AC57" s="12" t="str">
        <x:v>PUBLISHED_PROXY</x:v>
      </x:c>
      <x:c r="AD57" s="12"/>
      <x:c r="AE57" s="12" t="str">
        <x:v>SOURCE_NULL_NOT_MODELED</x:v>
      </x:c>
      <x:c r="AF57" s="12"/>
      <x:c r="AG57" s="12" t="n">
        <x:v>0</x:v>
      </x:c>
      <x:c r="AH57" s="12" t="str">
        <x:v>PUBLISHED_PROXY</x:v>
      </x:c>
      <x:c r="AI57" s="12" t="n">
        <x:v>0</x:v>
      </x:c>
      <x:c r="AJ57" s="12" t="n">
        <x:v>22.863834663557228</x:v>
      </x:c>
      <x:c r="AK57" s="12" t="str">
        <x:v>PUBLISHED_PROXY</x:v>
      </x:c>
      <x:c r="AL57" s="12" t="n">
        <x:v>2.704</x:v>
      </x:c>
      <x:c r="AM57" s="12" t="str">
        <x:v>marginalPricesOverview_2025-01@5b9daf9d82d7</x:v>
      </x:c>
      <x:c r="AN57" s="12" t="str">
        <x:v>activatedBalancingEnergyOverview_2025-01@4135ac664b2a</x:v>
      </x:c>
      <x:c r="AO57" s="12" t="str">
        <x:v>PUBLISHED_NATIVE</x:v>
      </x:c>
      <x:c r="AP57" s="12" t="n">
        <x:v>0</x:v>
      </x:c>
      <x:c r="AQ57" s="12" t="n">
        <x:v>0.05408</x:v>
      </x:c>
      <x:c r="AR57" s="12" t="n">
        <x:v>0.05408</x:v>
      </x:c>
      <x:c r="AS57" s="13" t="b">
        <x:v>1</x:v>
      </x:c>
      <x:c r="AT57" s="13" t="b">
        <x:v>1</x:v>
      </x:c>
      <x:c r="AU57" s="13" t="b">
        <x:v>1</x:v>
      </x:c>
      <x:c r="AV57" s="13" t="b">
        <x:v>1</x:v>
      </x:c>
      <x:c r="AW57" s="13" t="b">
        <x:v>1</x:v>
      </x:c>
      <x:c r="AX57" s="13" t="b">
        <x:v>0</x:v>
      </x:c>
      <x:c r="AY57" s="13" t="b">
        <x:v>0</x:v>
      </x:c>
      <x:c r="AZ57" s="13" t="b">
        <x:v>1</x:v>
      </x:c>
      <x:c r="BA57" s="12" t="str">
        <x:v>OK</x:v>
      </x:c>
      <x:c r="BB57" s="12" t="str">
        <x:v>OK</x:v>
      </x:c>
      <x:c r="BC57" s="12" t="str">
        <x:v>EUR</x:v>
      </x:c>
      <x:c r="BD57" s="12" t="n">
        <x:v>10</x:v>
      </x:c>
      <x:c r="BE57" s="12" t="n">
        <x:v>10</x:v>
      </x:c>
      <x:c r="BF57" s="12" t="n">
        <x:v>0</x:v>
      </x:c>
      <x:c r="BG57" s="12" t="n">
        <x:v>0</x:v>
      </x:c>
      <x:c r="BH57" s="12" t="n">
        <x:v>0</x:v>
      </x:c>
      <x:c r="BI57" s="12" t="n">
        <x:v>0</x:v>
      </x:c>
      <x:c r="BJ57" s="12" t="n">
        <x:v>0</x:v>
      </x:c>
      <x:c r="BK57" s="12" t="n">
        <x:v>0</x:v>
      </x:c>
      <x:c r="BL57" s="12" t="n">
        <x:v>0</x:v>
      </x:c>
      <x:c r="BM57" s="12" t="n">
        <x:v>0</x:v>
      </x:c>
      <x:c r="BN57" s="12" t="n">
        <x:v>0</x:v>
      </x:c>
      <x:c r="BO57" s="12" t="n">
        <x:v>0</x:v>
      </x:c>
      <x:c r="BP57" s="12" t="n">
        <x:v>0</x:v>
      </x:c>
      <x:c r="BQ57" s="12" t="n">
        <x:v>0</x:v>
      </x:c>
      <x:c r="BR57" s="12" t="n">
        <x:v>0</x:v>
      </x:c>
      <x:c r="BS57" s="12" t="n">
        <x:v>0</x:v>
      </x:c>
    </x:row>
    <x:row r="58" ht="21" customHeight="1">
      <x:c r="A58" s="14" t="n">
        <x:v>45658.427083333336</x:v>
      </x:c>
      <x:c r="B58" s="14" t="n">
        <x:v>45658.4375</x:v>
      </x:c>
      <x:c r="C58" s="14" t="n">
        <x:v>45658.510416666664</x:v>
      </x:c>
      <x:c r="D58" s="15" t="n">
        <x:v>45658</x:v>
      </x:c>
      <x:c r="E58" s="12" t="n">
        <x:v>0.25</x:v>
      </x:c>
      <x:c r="F58" s="12" t="str">
        <x:v>FORMAL</x:v>
      </x:c>
      <x:c r="G58" s="14" t="n">
        <x:v>45658.416666666664</x:v>
      </x:c>
      <x:c r="H58" s="12" t="n">
        <x:v>32.8</x:v>
      </x:c>
      <x:c r="I58" s="12" t="str">
        <x:v>2025-01-01_12</x:v>
      </x:c>
      <x:c r="J58" s="12" t="n">
        <x:v>60</x:v>
      </x:c>
      <x:c r="K58" s="12" t="str">
        <x:v>DA_2025-01-01@80c3f1a8e3ee</x:v>
      </x:c>
      <x:c r="L58" s="15" t="n">
        <x:v>45657</x:v>
      </x:c>
      <x:c r="M58" s="12" t="n">
        <x:v>4.9741</x:v>
      </x:c>
      <x:c r="N58" s="12" t="str">
        <x:v>BNR2024_BOUNDARY@c4397e7f9c31</x:v>
      </x:c>
      <x:c r="O58" s="12"/>
      <x:c r="P58" s="12"/>
      <x:c r="Q58" s="12"/>
      <x:c r="R58" s="12"/>
      <x:c r="S58" s="12" t="str">
        <x:v>OUT_OF_RESEARCH_COVERAGE_PRE_2025_06</x:v>
      </x:c>
      <x:c r="T58" s="12" t="n">
        <x:v>200</x:v>
      </x:c>
      <x:c r="U58" s="12" t="str">
        <x:v>aFRRUp_2025-01-01T10:00:00Z</x:v>
      </x:c>
      <x:c r="V58" s="12" t="str">
        <x:v>tenderStatistics_2025-01@c14c9dea784d</x:v>
      </x:c>
      <x:c r="W58" s="12" t="n">
        <x:v>13.71102309965622</x:v>
      </x:c>
      <x:c r="X58" s="12" t="str">
        <x:v>PUBLISHED_PROXY</x:v>
      </x:c>
      <x:c r="Y58" s="12" t="n">
        <x:v>200</x:v>
      </x:c>
      <x:c r="Z58" s="12" t="str">
        <x:v>aFRRDown_2025-01-01T10:00:00Z</x:v>
      </x:c>
      <x:c r="AA58" s="12" t="str">
        <x:v>tenderStatistics_2025-01@c14c9dea784d</x:v>
      </x:c>
      <x:c r="AB58" s="12" t="n">
        <x:v>14.710198829939085</x:v>
      </x:c>
      <x:c r="AC58" s="12" t="str">
        <x:v>PUBLISHED_PROXY</x:v>
      </x:c>
      <x:c r="AD58" s="12"/>
      <x:c r="AE58" s="12" t="str">
        <x:v>SOURCE_NULL_NOT_MODELED</x:v>
      </x:c>
      <x:c r="AF58" s="12"/>
      <x:c r="AG58" s="12" t="n">
        <x:v>121.39422207032428</x:v>
      </x:c>
      <x:c r="AH58" s="12" t="str">
        <x:v>PUBLISHED_PROXY</x:v>
      </x:c>
      <x:c r="AI58" s="12" t="n">
        <x:v>0.965</x:v>
      </x:c>
      <x:c r="AJ58" s="12" t="n">
        <x:v>58.3020043827024</x:v>
      </x:c>
      <x:c r="AK58" s="12" t="str">
        <x:v>PUBLISHED_PROXY</x:v>
      </x:c>
      <x:c r="AL58" s="12" t="n">
        <x:v>0.005</x:v>
      </x:c>
      <x:c r="AM58" s="12" t="str">
        <x:v>marginalPricesOverview_2025-01@5b9daf9d82d7</x:v>
      </x:c>
      <x:c r="AN58" s="12" t="str">
        <x:v>activatedBalancingEnergyOverview_2025-01@4135ac664b2a</x:v>
      </x:c>
      <x:c r="AO58" s="12" t="str">
        <x:v>PUBLISHED_NATIVE</x:v>
      </x:c>
      <x:c r="AP58" s="12" t="n">
        <x:v>0.0192999999999999</x:v>
      </x:c>
      <x:c r="AQ58" s="12" t="n">
        <x:v>0.0001</x:v>
      </x:c>
      <x:c r="AR58" s="12" t="n">
        <x:v>0.0193999999999999</x:v>
      </x:c>
      <x:c r="AS58" s="13" t="b">
        <x:v>1</x:v>
      </x:c>
      <x:c r="AT58" s="13" t="b">
        <x:v>1</x:v>
      </x:c>
      <x:c r="AU58" s="13" t="b">
        <x:v>1</x:v>
      </x:c>
      <x:c r="AV58" s="13" t="b">
        <x:v>1</x:v>
      </x:c>
      <x:c r="AW58" s="13" t="b">
        <x:v>1</x:v>
      </x:c>
      <x:c r="AX58" s="13" t="b">
        <x:v>0</x:v>
      </x:c>
      <x:c r="AY58" s="13" t="b">
        <x:v>0</x:v>
      </x:c>
      <x:c r="AZ58" s="13" t="b">
        <x:v>1</x:v>
      </x:c>
      <x:c r="BA58" s="12" t="str">
        <x:v>OK</x:v>
      </x:c>
      <x:c r="BB58" s="12" t="str">
        <x:v>OK</x:v>
      </x:c>
      <x:c r="BC58" s="12" t="str">
        <x:v>EUR</x:v>
      </x:c>
      <x:c r="BD58" s="12" t="n">
        <x:v>10</x:v>
      </x:c>
      <x:c r="BE58" s="12" t="n">
        <x:v>10</x:v>
      </x:c>
      <x:c r="BF58" s="12" t="n">
        <x:v>0</x:v>
      </x:c>
      <x:c r="BG58" s="12" t="n">
        <x:v>0</x:v>
      </x:c>
      <x:c r="BH58" s="12" t="n">
        <x:v>0</x:v>
      </x:c>
      <x:c r="BI58" s="12" t="n">
        <x:v>0</x:v>
      </x:c>
      <x:c r="BJ58" s="12" t="n">
        <x:v>0</x:v>
      </x:c>
      <x:c r="BK58" s="12" t="n">
        <x:v>0</x:v>
      </x:c>
      <x:c r="BL58" s="12" t="n">
        <x:v>0</x:v>
      </x:c>
      <x:c r="BM58" s="12" t="n">
        <x:v>0</x:v>
      </x:c>
      <x:c r="BN58" s="12" t="n">
        <x:v>0</x:v>
      </x:c>
      <x:c r="BO58" s="12" t="n">
        <x:v>0</x:v>
      </x:c>
      <x:c r="BP58" s="12" t="n">
        <x:v>0</x:v>
      </x:c>
      <x:c r="BQ58" s="12" t="n">
        <x:v>0</x:v>
      </x:c>
      <x:c r="BR58" s="12" t="n">
        <x:v>0</x:v>
      </x:c>
      <x:c r="BS58" s="12" t="n">
        <x:v>0</x:v>
      </x:c>
    </x:row>
    <x:row r="59" ht="21" customHeight="1">
      <x:c r="A59" s="14" t="n">
        <x:v>45658.4375</x:v>
      </x:c>
      <x:c r="B59" s="14" t="n">
        <x:v>45658.447916666664</x:v>
      </x:c>
      <x:c r="C59" s="14" t="n">
        <x:v>45658.520833333336</x:v>
      </x:c>
      <x:c r="D59" s="15" t="n">
        <x:v>45658</x:v>
      </x:c>
      <x:c r="E59" s="12" t="n">
        <x:v>0.25</x:v>
      </x:c>
      <x:c r="F59" s="12" t="str">
        <x:v>FORMAL</x:v>
      </x:c>
      <x:c r="G59" s="14" t="n">
        <x:v>45658.416666666664</x:v>
      </x:c>
      <x:c r="H59" s="12" t="n">
        <x:v>32.8</x:v>
      </x:c>
      <x:c r="I59" s="12" t="str">
        <x:v>2025-01-01_12</x:v>
      </x:c>
      <x:c r="J59" s="12" t="n">
        <x:v>60</x:v>
      </x:c>
      <x:c r="K59" s="12" t="str">
        <x:v>DA_2025-01-01@80c3f1a8e3ee</x:v>
      </x:c>
      <x:c r="L59" s="15" t="n">
        <x:v>45657</x:v>
      </x:c>
      <x:c r="M59" s="12" t="n">
        <x:v>4.9741</x:v>
      </x:c>
      <x:c r="N59" s="12" t="str">
        <x:v>BNR2024_BOUNDARY@c4397e7f9c31</x:v>
      </x:c>
      <x:c r="O59" s="12"/>
      <x:c r="P59" s="12"/>
      <x:c r="Q59" s="12"/>
      <x:c r="R59" s="12"/>
      <x:c r="S59" s="12" t="str">
        <x:v>OUT_OF_RESEARCH_COVERAGE_PRE_2025_06</x:v>
      </x:c>
      <x:c r="T59" s="12" t="n">
        <x:v>200</x:v>
      </x:c>
      <x:c r="U59" s="12" t="str">
        <x:v>aFRRUp_2025-01-01T10:00:00Z</x:v>
      </x:c>
      <x:c r="V59" s="12" t="str">
        <x:v>tenderStatistics_2025-01@c14c9dea784d</x:v>
      </x:c>
      <x:c r="W59" s="12" t="n">
        <x:v>13.71102309965622</x:v>
      </x:c>
      <x:c r="X59" s="12" t="str">
        <x:v>PUBLISHED_PROXY</x:v>
      </x:c>
      <x:c r="Y59" s="12" t="n">
        <x:v>200</x:v>
      </x:c>
      <x:c r="Z59" s="12" t="str">
        <x:v>aFRRDown_2025-01-01T10:00:00Z</x:v>
      </x:c>
      <x:c r="AA59" s="12" t="str">
        <x:v>tenderStatistics_2025-01@c14c9dea784d</x:v>
      </x:c>
      <x:c r="AB59" s="12" t="n">
        <x:v>14.710198829939085</x:v>
      </x:c>
      <x:c r="AC59" s="12" t="str">
        <x:v>PUBLISHED_PROXY</x:v>
      </x:c>
      <x:c r="AD59" s="12"/>
      <x:c r="AE59" s="12" t="str">
        <x:v>SOURCE_NULL_NOT_MODELED</x:v>
      </x:c>
      <x:c r="AF59" s="12"/>
      <x:c r="AG59" s="12" t="n">
        <x:v>123.28662471602904</x:v>
      </x:c>
      <x:c r="AH59" s="12" t="str">
        <x:v>PUBLISHED_PROXY</x:v>
      </x:c>
      <x:c r="AI59" s="12" t="n">
        <x:v>10.927</x:v>
      </x:c>
      <x:c r="AJ59" s="12" t="n">
        <x:v>0</x:v>
      </x:c>
      <x:c r="AK59" s="12" t="str">
        <x:v>PUBLISHED_PROXY</x:v>
      </x:c>
      <x:c r="AL59" s="12" t="n">
        <x:v>0</x:v>
      </x:c>
      <x:c r="AM59" s="12" t="str">
        <x:v>marginalPricesOverview_2025-01@5b9daf9d82d7</x:v>
      </x:c>
      <x:c r="AN59" s="12" t="str">
        <x:v>activatedBalancingEnergyOverview_2025-01@4135ac664b2a</x:v>
      </x:c>
      <x:c r="AO59" s="12" t="str">
        <x:v>PUBLISHED_NATIVE</x:v>
      </x:c>
      <x:c r="AP59" s="12" t="n">
        <x:v>0.2185399999999999</x:v>
      </x:c>
      <x:c r="AQ59" s="12" t="n">
        <x:v>0</x:v>
      </x:c>
      <x:c r="AR59" s="12" t="n">
        <x:v>0.2185399999999999</x:v>
      </x:c>
      <x:c r="AS59" s="13" t="b">
        <x:v>1</x:v>
      </x:c>
      <x:c r="AT59" s="13" t="b">
        <x:v>1</x:v>
      </x:c>
      <x:c r="AU59" s="13" t="b">
        <x:v>1</x:v>
      </x:c>
      <x:c r="AV59" s="13" t="b">
        <x:v>1</x:v>
      </x:c>
      <x:c r="AW59" s="13" t="b">
        <x:v>1</x:v>
      </x:c>
      <x:c r="AX59" s="13" t="b">
        <x:v>0</x:v>
      </x:c>
      <x:c r="AY59" s="13" t="b">
        <x:v>0</x:v>
      </x:c>
      <x:c r="AZ59" s="13" t="b">
        <x:v>1</x:v>
      </x:c>
      <x:c r="BA59" s="12" t="str">
        <x:v>OK</x:v>
      </x:c>
      <x:c r="BB59" s="12" t="str">
        <x:v>OK</x:v>
      </x:c>
      <x:c r="BC59" s="12" t="str">
        <x:v>EUR</x:v>
      </x:c>
      <x:c r="BD59" s="12" t="n">
        <x:v>10</x:v>
      </x:c>
      <x:c r="BE59" s="12" t="n">
        <x:v>10</x:v>
      </x:c>
      <x:c r="BF59" s="12" t="n">
        <x:v>0</x:v>
      </x:c>
      <x:c r="BG59" s="12" t="n">
        <x:v>0</x:v>
      </x:c>
      <x:c r="BH59" s="12" t="n">
        <x:v>0</x:v>
      </x:c>
      <x:c r="BI59" s="12" t="n">
        <x:v>0</x:v>
      </x:c>
      <x:c r="BJ59" s="12" t="n">
        <x:v>0</x:v>
      </x:c>
      <x:c r="BK59" s="12" t="n">
        <x:v>0</x:v>
      </x:c>
      <x:c r="BL59" s="12" t="n">
        <x:v>0</x:v>
      </x:c>
      <x:c r="BM59" s="12" t="n">
        <x:v>0</x:v>
      </x:c>
      <x:c r="BN59" s="12" t="n">
        <x:v>0</x:v>
      </x:c>
      <x:c r="BO59" s="12" t="n">
        <x:v>0</x:v>
      </x:c>
      <x:c r="BP59" s="12" t="n">
        <x:v>0</x:v>
      </x:c>
      <x:c r="BQ59" s="12" t="n">
        <x:v>0</x:v>
      </x:c>
      <x:c r="BR59" s="12" t="n">
        <x:v>0</x:v>
      </x:c>
      <x:c r="BS59" s="12" t="n">
        <x:v>0</x:v>
      </x:c>
    </x:row>
    <x:row r="60" ht="21" customHeight="1">
      <x:c r="A60" s="14" t="n">
        <x:v>45658.447916666664</x:v>
      </x:c>
      <x:c r="B60" s="14" t="n">
        <x:v>45658.458333333336</x:v>
      </x:c>
      <x:c r="C60" s="14" t="n">
        <x:v>45658.53125</x:v>
      </x:c>
      <x:c r="D60" s="15" t="n">
        <x:v>45658</x:v>
      </x:c>
      <x:c r="E60" s="12" t="n">
        <x:v>0.25</x:v>
      </x:c>
      <x:c r="F60" s="12" t="str">
        <x:v>FORMAL</x:v>
      </x:c>
      <x:c r="G60" s="14" t="n">
        <x:v>45658.416666666664</x:v>
      </x:c>
      <x:c r="H60" s="12" t="n">
        <x:v>32.8</x:v>
      </x:c>
      <x:c r="I60" s="12" t="str">
        <x:v>2025-01-01_12</x:v>
      </x:c>
      <x:c r="J60" s="12" t="n">
        <x:v>60</x:v>
      </x:c>
      <x:c r="K60" s="12" t="str">
        <x:v>DA_2025-01-01@80c3f1a8e3ee</x:v>
      </x:c>
      <x:c r="L60" s="15" t="n">
        <x:v>45657</x:v>
      </x:c>
      <x:c r="M60" s="12" t="n">
        <x:v>4.9741</x:v>
      </x:c>
      <x:c r="N60" s="12" t="str">
        <x:v>BNR2024_BOUNDARY@c4397e7f9c31</x:v>
      </x:c>
      <x:c r="O60" s="12"/>
      <x:c r="P60" s="12"/>
      <x:c r="Q60" s="12"/>
      <x:c r="R60" s="12"/>
      <x:c r="S60" s="12" t="str">
        <x:v>OUT_OF_RESEARCH_COVERAGE_PRE_2025_06</x:v>
      </x:c>
      <x:c r="T60" s="12" t="n">
        <x:v>200</x:v>
      </x:c>
      <x:c r="U60" s="12" t="str">
        <x:v>aFRRUp_2025-01-01T10:00:00Z</x:v>
      </x:c>
      <x:c r="V60" s="12" t="str">
        <x:v>tenderStatistics_2025-01@c14c9dea784d</x:v>
      </x:c>
      <x:c r="W60" s="12" t="n">
        <x:v>13.71102309965622</x:v>
      </x:c>
      <x:c r="X60" s="12" t="str">
        <x:v>PUBLISHED_PROXY</x:v>
      </x:c>
      <x:c r="Y60" s="12" t="n">
        <x:v>200</x:v>
      </x:c>
      <x:c r="Z60" s="12" t="str">
        <x:v>aFRRDown_2025-01-01T10:00:00Z</x:v>
      </x:c>
      <x:c r="AA60" s="12" t="str">
        <x:v>tenderStatistics_2025-01@c14c9dea784d</x:v>
      </x:c>
      <x:c r="AB60" s="12" t="n">
        <x:v>14.710198829939085</x:v>
      </x:c>
      <x:c r="AC60" s="12" t="str">
        <x:v>PUBLISHED_PROXY</x:v>
      </x:c>
      <x:c r="AD60" s="12"/>
      <x:c r="AE60" s="12" t="str">
        <x:v>SOURCE_NULL_NOT_MODELED</x:v>
      </x:c>
      <x:c r="AF60" s="12"/>
      <x:c r="AG60" s="12" t="n">
        <x:v>123.28662471602904</x:v>
      </x:c>
      <x:c r="AH60" s="12" t="str">
        <x:v>PUBLISHED_PROXY</x:v>
      </x:c>
      <x:c r="AI60" s="12" t="n">
        <x:v>7.544</x:v>
      </x:c>
      <x:c r="AJ60" s="12" t="n">
        <x:v>0</x:v>
      </x:c>
      <x:c r="AK60" s="12" t="str">
        <x:v>PUBLISHED_PROXY</x:v>
      </x:c>
      <x:c r="AL60" s="12" t="n">
        <x:v>0</x:v>
      </x:c>
      <x:c r="AM60" s="12" t="str">
        <x:v>marginalPricesOverview_2025-01@5b9daf9d82d7</x:v>
      </x:c>
      <x:c r="AN60" s="12" t="str">
        <x:v>activatedBalancingEnergyOverview_2025-01@4135ac664b2a</x:v>
      </x:c>
      <x:c r="AO60" s="12" t="str">
        <x:v>PUBLISHED_NATIVE</x:v>
      </x:c>
      <x:c r="AP60" s="12" t="n">
        <x:v>0.15088</x:v>
      </x:c>
      <x:c r="AQ60" s="12" t="n">
        <x:v>0</x:v>
      </x:c>
      <x:c r="AR60" s="12" t="n">
        <x:v>0.15088</x:v>
      </x:c>
      <x:c r="AS60" s="13" t="b">
        <x:v>1</x:v>
      </x:c>
      <x:c r="AT60" s="13" t="b">
        <x:v>1</x:v>
      </x:c>
      <x:c r="AU60" s="13" t="b">
        <x:v>1</x:v>
      </x:c>
      <x:c r="AV60" s="13" t="b">
        <x:v>1</x:v>
      </x:c>
      <x:c r="AW60" s="13" t="b">
        <x:v>1</x:v>
      </x:c>
      <x:c r="AX60" s="13" t="b">
        <x:v>0</x:v>
      </x:c>
      <x:c r="AY60" s="13" t="b">
        <x:v>0</x:v>
      </x:c>
      <x:c r="AZ60" s="13" t="b">
        <x:v>1</x:v>
      </x:c>
      <x:c r="BA60" s="12" t="str">
        <x:v>OK</x:v>
      </x:c>
      <x:c r="BB60" s="12" t="str">
        <x:v>OK</x:v>
      </x:c>
      <x:c r="BC60" s="12" t="str">
        <x:v>EUR</x:v>
      </x:c>
      <x:c r="BD60" s="12" t="n">
        <x:v>10</x:v>
      </x:c>
      <x:c r="BE60" s="12" t="n">
        <x:v>10</x:v>
      </x:c>
      <x:c r="BF60" s="12" t="n">
        <x:v>0</x:v>
      </x:c>
      <x:c r="BG60" s="12" t="n">
        <x:v>0</x:v>
      </x:c>
      <x:c r="BH60" s="12" t="n">
        <x:v>0</x:v>
      </x:c>
      <x:c r="BI60" s="12" t="n">
        <x:v>0</x:v>
      </x:c>
      <x:c r="BJ60" s="12" t="n">
        <x:v>0</x:v>
      </x:c>
      <x:c r="BK60" s="12" t="n">
        <x:v>0</x:v>
      </x:c>
      <x:c r="BL60" s="12" t="n">
        <x:v>0</x:v>
      </x:c>
      <x:c r="BM60" s="12" t="n">
        <x:v>0</x:v>
      </x:c>
      <x:c r="BN60" s="12" t="n">
        <x:v>0</x:v>
      </x:c>
      <x:c r="BO60" s="12" t="n">
        <x:v>0</x:v>
      </x:c>
      <x:c r="BP60" s="12" t="n">
        <x:v>0</x:v>
      </x:c>
      <x:c r="BQ60" s="12" t="n">
        <x:v>0</x:v>
      </x:c>
      <x:c r="BR60" s="12" t="n">
        <x:v>0</x:v>
      </x:c>
      <x:c r="BS60" s="12" t="n">
        <x:v>0</x:v>
      </x:c>
    </x:row>
    <x:row r="61" ht="21" customHeight="1">
      <x:c r="A61" s="14" t="n">
        <x:v>45658.458333333336</x:v>
      </x:c>
      <x:c r="B61" s="14" t="n">
        <x:v>45658.46875</x:v>
      </x:c>
      <x:c r="C61" s="14" t="n">
        <x:v>45658.541666666664</x:v>
      </x:c>
      <x:c r="D61" s="15" t="n">
        <x:v>45658</x:v>
      </x:c>
      <x:c r="E61" s="12" t="n">
        <x:v>0.25</x:v>
      </x:c>
      <x:c r="F61" s="12" t="str">
        <x:v>FORMAL</x:v>
      </x:c>
      <x:c r="G61" s="14" t="n">
        <x:v>45658.458333333336</x:v>
      </x:c>
      <x:c r="H61" s="12" t="n">
        <x:v>36.56</x:v>
      </x:c>
      <x:c r="I61" s="12" t="str">
        <x:v>2025-01-01_13</x:v>
      </x:c>
      <x:c r="J61" s="12" t="n">
        <x:v>60</x:v>
      </x:c>
      <x:c r="K61" s="12" t="str">
        <x:v>DA_2025-01-01@80c3f1a8e3ee</x:v>
      </x:c>
      <x:c r="L61" s="15" t="n">
        <x:v>45657</x:v>
      </x:c>
      <x:c r="M61" s="12" t="n">
        <x:v>4.9741</x:v>
      </x:c>
      <x:c r="N61" s="12" t="str">
        <x:v>BNR2024_BOUNDARY@c4397e7f9c31</x:v>
      </x:c>
      <x:c r="O61" s="12"/>
      <x:c r="P61" s="12"/>
      <x:c r="Q61" s="12"/>
      <x:c r="R61" s="12"/>
      <x:c r="S61" s="12" t="str">
        <x:v>OUT_OF_RESEARCH_COVERAGE_PRE_2025_06</x:v>
      </x:c>
      <x:c r="T61" s="12" t="n">
        <x:v>200</x:v>
      </x:c>
      <x:c r="U61" s="12" t="str">
        <x:v>aFRRUp_2025-01-01T11:00:00Z</x:v>
      </x:c>
      <x:c r="V61" s="12" t="str">
        <x:v>tenderStatistics_2025-01@c14c9dea784d</x:v>
      </x:c>
      <x:c r="W61" s="12" t="n">
        <x:v>13.71102309965622</x:v>
      </x:c>
      <x:c r="X61" s="12" t="str">
        <x:v>PUBLISHED_PROXY</x:v>
      </x:c>
      <x:c r="Y61" s="12" t="n">
        <x:v>200</x:v>
      </x:c>
      <x:c r="Z61" s="12" t="str">
        <x:v>aFRRDown_2025-01-01T11:00:00Z</x:v>
      </x:c>
      <x:c r="AA61" s="12" t="str">
        <x:v>tenderStatistics_2025-01@c14c9dea784d</x:v>
      </x:c>
      <x:c r="AB61" s="12" t="n">
        <x:v>14.710198829939085</x:v>
      </x:c>
      <x:c r="AC61" s="12" t="str">
        <x:v>PUBLISHED_PROXY</x:v>
      </x:c>
      <x:c r="AD61" s="12"/>
      <x:c r="AE61" s="12" t="str">
        <x:v>SOURCE_NULL_NOT_MODELED</x:v>
      </x:c>
      <x:c r="AF61" s="12"/>
      <x:c r="AG61" s="12" t="n">
        <x:v>127.04207796385275</x:v>
      </x:c>
      <x:c r="AH61" s="12" t="str">
        <x:v>PUBLISHED_PROXY</x:v>
      </x:c>
      <x:c r="AI61" s="12" t="n">
        <x:v>0.435</x:v>
      </x:c>
      <x:c r="AJ61" s="12" t="n">
        <x:v>57.06318731026719</x:v>
      </x:c>
      <x:c r="AK61" s="12" t="str">
        <x:v>PUBLISHED_PROXY</x:v>
      </x:c>
      <x:c r="AL61" s="12" t="n">
        <x:v>0.21</x:v>
      </x:c>
      <x:c r="AM61" s="12" t="str">
        <x:v>marginalPricesOverview_2025-01@5b9daf9d82d7</x:v>
      </x:c>
      <x:c r="AN61" s="12" t="str">
        <x:v>activatedBalancingEnergyOverview_2025-01@4135ac664b2a</x:v>
      </x:c>
      <x:c r="AO61" s="12" t="str">
        <x:v>PUBLISHED_NATIVE</x:v>
      </x:c>
      <x:c r="AP61" s="12" t="n">
        <x:v>0.0087</x:v>
      </x:c>
      <x:c r="AQ61" s="12" t="n">
        <x:v>0.0042</x:v>
      </x:c>
      <x:c r="AR61" s="12" t="n">
        <x:v>0.0128999999999999</x:v>
      </x:c>
      <x:c r="AS61" s="13" t="b">
        <x:v>1</x:v>
      </x:c>
      <x:c r="AT61" s="13" t="b">
        <x:v>1</x:v>
      </x:c>
      <x:c r="AU61" s="13" t="b">
        <x:v>1</x:v>
      </x:c>
      <x:c r="AV61" s="13" t="b">
        <x:v>1</x:v>
      </x:c>
      <x:c r="AW61" s="13" t="b">
        <x:v>1</x:v>
      </x:c>
      <x:c r="AX61" s="13" t="b">
        <x:v>0</x:v>
      </x:c>
      <x:c r="AY61" s="13" t="b">
        <x:v>0</x:v>
      </x:c>
      <x:c r="AZ61" s="13" t="b">
        <x:v>1</x:v>
      </x:c>
      <x:c r="BA61" s="12" t="str">
        <x:v>OK</x:v>
      </x:c>
      <x:c r="BB61" s="12" t="str">
        <x:v>OK</x:v>
      </x:c>
      <x:c r="BC61" s="12" t="str">
        <x:v>EUR</x:v>
      </x:c>
      <x:c r="BD61" s="12" t="n">
        <x:v>10</x:v>
      </x:c>
      <x:c r="BE61" s="12" t="n">
        <x:v>10</x:v>
      </x:c>
      <x:c r="BF61" s="12" t="n">
        <x:v>0</x:v>
      </x:c>
      <x:c r="BG61" s="12" t="n">
        <x:v>0</x:v>
      </x:c>
      <x:c r="BH61" s="12" t="n">
        <x:v>0</x:v>
      </x:c>
      <x:c r="BI61" s="12" t="n">
        <x:v>0</x:v>
      </x:c>
      <x:c r="BJ61" s="12" t="n">
        <x:v>0</x:v>
      </x:c>
      <x:c r="BK61" s="12" t="n">
        <x:v>0</x:v>
      </x:c>
      <x:c r="BL61" s="12" t="n">
        <x:v>0</x:v>
      </x:c>
      <x:c r="BM61" s="12" t="n">
        <x:v>0</x:v>
      </x:c>
      <x:c r="BN61" s="12" t="n">
        <x:v>0</x:v>
      </x:c>
      <x:c r="BO61" s="12" t="n">
        <x:v>0</x:v>
      </x:c>
      <x:c r="BP61" s="12" t="n">
        <x:v>0</x:v>
      </x:c>
      <x:c r="BQ61" s="12" t="n">
        <x:v>0</x:v>
      </x:c>
      <x:c r="BR61" s="12" t="n">
        <x:v>0</x:v>
      </x:c>
      <x:c r="BS61" s="12" t="n">
        <x:v>0</x:v>
      </x:c>
    </x:row>
    <x:row r="62" ht="21" customHeight="1">
      <x:c r="A62" s="14" t="n">
        <x:v>45658.46875</x:v>
      </x:c>
      <x:c r="B62" s="14" t="n">
        <x:v>45658.479166666664</x:v>
      </x:c>
      <x:c r="C62" s="14" t="n">
        <x:v>45658.552083333336</x:v>
      </x:c>
      <x:c r="D62" s="15" t="n">
        <x:v>45658</x:v>
      </x:c>
      <x:c r="E62" s="12" t="n">
        <x:v>0.25</x:v>
      </x:c>
      <x:c r="F62" s="12" t="str">
        <x:v>FORMAL</x:v>
      </x:c>
      <x:c r="G62" s="14" t="n">
        <x:v>45658.458333333336</x:v>
      </x:c>
      <x:c r="H62" s="12" t="n">
        <x:v>36.56</x:v>
      </x:c>
      <x:c r="I62" s="12" t="str">
        <x:v>2025-01-01_13</x:v>
      </x:c>
      <x:c r="J62" s="12" t="n">
        <x:v>60</x:v>
      </x:c>
      <x:c r="K62" s="12" t="str">
        <x:v>DA_2025-01-01@80c3f1a8e3ee</x:v>
      </x:c>
      <x:c r="L62" s="15" t="n">
        <x:v>45657</x:v>
      </x:c>
      <x:c r="M62" s="12" t="n">
        <x:v>4.9741</x:v>
      </x:c>
      <x:c r="N62" s="12" t="str">
        <x:v>BNR2024_BOUNDARY@c4397e7f9c31</x:v>
      </x:c>
      <x:c r="O62" s="12"/>
      <x:c r="P62" s="12"/>
      <x:c r="Q62" s="12"/>
      <x:c r="R62" s="12"/>
      <x:c r="S62" s="12" t="str">
        <x:v>OUT_OF_RESEARCH_COVERAGE_PRE_2025_06</x:v>
      </x:c>
      <x:c r="T62" s="12" t="n">
        <x:v>200</x:v>
      </x:c>
      <x:c r="U62" s="12" t="str">
        <x:v>aFRRUp_2025-01-01T11:00:00Z</x:v>
      </x:c>
      <x:c r="V62" s="12" t="str">
        <x:v>tenderStatistics_2025-01@c14c9dea784d</x:v>
      </x:c>
      <x:c r="W62" s="12" t="n">
        <x:v>13.71102309965622</x:v>
      </x:c>
      <x:c r="X62" s="12" t="str">
        <x:v>PUBLISHED_PROXY</x:v>
      </x:c>
      <x:c r="Y62" s="12" t="n">
        <x:v>200</x:v>
      </x:c>
      <x:c r="Z62" s="12" t="str">
        <x:v>aFRRDown_2025-01-01T11:00:00Z</x:v>
      </x:c>
      <x:c r="AA62" s="12" t="str">
        <x:v>tenderStatistics_2025-01@c14c9dea784d</x:v>
      </x:c>
      <x:c r="AB62" s="12" t="n">
        <x:v>14.710198829939085</x:v>
      </x:c>
      <x:c r="AC62" s="12" t="str">
        <x:v>PUBLISHED_PROXY</x:v>
      </x:c>
      <x:c r="AD62" s="12"/>
      <x:c r="AE62" s="12" t="str">
        <x:v>SOURCE_NULL_NOT_MODELED</x:v>
      </x:c>
      <x:c r="AF62" s="12"/>
      <x:c r="AG62" s="12" t="n">
        <x:v>0</x:v>
      </x:c>
      <x:c r="AH62" s="12" t="str">
        <x:v>PUBLISHED_PROXY</x:v>
      </x:c>
      <x:c r="AI62" s="12" t="n">
        <x:v>0</x:v>
      </x:c>
      <x:c r="AJ62" s="12" t="n">
        <x:v>28.282704408837784</x:v>
      </x:c>
      <x:c r="AK62" s="12" t="str">
        <x:v>PUBLISHED_PROXY</x:v>
      </x:c>
      <x:c r="AL62" s="12" t="n">
        <x:v>2.85</x:v>
      </x:c>
      <x:c r="AM62" s="12" t="str">
        <x:v>marginalPricesOverview_2025-01@5b9daf9d82d7</x:v>
      </x:c>
      <x:c r="AN62" s="12" t="str">
        <x:v>activatedBalancingEnergyOverview_2025-01@4135ac664b2a</x:v>
      </x:c>
      <x:c r="AO62" s="12" t="str">
        <x:v>PUBLISHED_NATIVE</x:v>
      </x:c>
      <x:c r="AP62" s="12" t="n">
        <x:v>0</x:v>
      </x:c>
      <x:c r="AQ62" s="12" t="n">
        <x:v>0.057</x:v>
      </x:c>
      <x:c r="AR62" s="12" t="n">
        <x:v>0.057</x:v>
      </x:c>
      <x:c r="AS62" s="13" t="b">
        <x:v>1</x:v>
      </x:c>
      <x:c r="AT62" s="13" t="b">
        <x:v>1</x:v>
      </x:c>
      <x:c r="AU62" s="13" t="b">
        <x:v>1</x:v>
      </x:c>
      <x:c r="AV62" s="13" t="b">
        <x:v>1</x:v>
      </x:c>
      <x:c r="AW62" s="13" t="b">
        <x:v>1</x:v>
      </x:c>
      <x:c r="AX62" s="13" t="b">
        <x:v>0</x:v>
      </x:c>
      <x:c r="AY62" s="13" t="b">
        <x:v>0</x:v>
      </x:c>
      <x:c r="AZ62" s="13" t="b">
        <x:v>1</x:v>
      </x:c>
      <x:c r="BA62" s="12" t="str">
        <x:v>OK</x:v>
      </x:c>
      <x:c r="BB62" s="12" t="str">
        <x:v>OK</x:v>
      </x:c>
      <x:c r="BC62" s="12" t="str">
        <x:v>EUR</x:v>
      </x:c>
      <x:c r="BD62" s="12" t="n">
        <x:v>10</x:v>
      </x:c>
      <x:c r="BE62" s="12" t="n">
        <x:v>10</x:v>
      </x:c>
      <x:c r="BF62" s="12" t="n">
        <x:v>0</x:v>
      </x:c>
      <x:c r="BG62" s="12" t="n">
        <x:v>0</x:v>
      </x:c>
      <x:c r="BH62" s="12" t="n">
        <x:v>0</x:v>
      </x:c>
      <x:c r="BI62" s="12" t="n">
        <x:v>0</x:v>
      </x:c>
      <x:c r="BJ62" s="12" t="n">
        <x:v>0</x:v>
      </x:c>
      <x:c r="BK62" s="12" t="n">
        <x:v>0</x:v>
      </x:c>
      <x:c r="BL62" s="12" t="n">
        <x:v>0</x:v>
      </x:c>
      <x:c r="BM62" s="12" t="n">
        <x:v>0</x:v>
      </x:c>
      <x:c r="BN62" s="12" t="n">
        <x:v>0</x:v>
      </x:c>
      <x:c r="BO62" s="12" t="n">
        <x:v>0</x:v>
      </x:c>
      <x:c r="BP62" s="12" t="n">
        <x:v>0</x:v>
      </x:c>
      <x:c r="BQ62" s="12" t="n">
        <x:v>0</x:v>
      </x:c>
      <x:c r="BR62" s="12" t="n">
        <x:v>0</x:v>
      </x:c>
      <x:c r="BS62" s="12" t="n">
        <x:v>0</x:v>
      </x:c>
    </x:row>
    <x:row r="63" ht="21" customHeight="1">
      <x:c r="A63" s="14" t="n">
        <x:v>45658.479166666664</x:v>
      </x:c>
      <x:c r="B63" s="14" t="n">
        <x:v>45658.489583333336</x:v>
      </x:c>
      <x:c r="C63" s="14" t="n">
        <x:v>45658.5625</x:v>
      </x:c>
      <x:c r="D63" s="15" t="n">
        <x:v>45658</x:v>
      </x:c>
      <x:c r="E63" s="12" t="n">
        <x:v>0.25</x:v>
      </x:c>
      <x:c r="F63" s="12" t="str">
        <x:v>FORMAL</x:v>
      </x:c>
      <x:c r="G63" s="14" t="n">
        <x:v>45658.458333333336</x:v>
      </x:c>
      <x:c r="H63" s="12" t="n">
        <x:v>36.56</x:v>
      </x:c>
      <x:c r="I63" s="12" t="str">
        <x:v>2025-01-01_13</x:v>
      </x:c>
      <x:c r="J63" s="12" t="n">
        <x:v>60</x:v>
      </x:c>
      <x:c r="K63" s="12" t="str">
        <x:v>DA_2025-01-01@80c3f1a8e3ee</x:v>
      </x:c>
      <x:c r="L63" s="15" t="n">
        <x:v>45657</x:v>
      </x:c>
      <x:c r="M63" s="12" t="n">
        <x:v>4.9741</x:v>
      </x:c>
      <x:c r="N63" s="12" t="str">
        <x:v>BNR2024_BOUNDARY@c4397e7f9c31</x:v>
      </x:c>
      <x:c r="O63" s="12"/>
      <x:c r="P63" s="12"/>
      <x:c r="Q63" s="12"/>
      <x:c r="R63" s="12"/>
      <x:c r="S63" s="12" t="str">
        <x:v>OUT_OF_RESEARCH_COVERAGE_PRE_2025_06</x:v>
      </x:c>
      <x:c r="T63" s="12" t="n">
        <x:v>200</x:v>
      </x:c>
      <x:c r="U63" s="12" t="str">
        <x:v>aFRRUp_2025-01-01T11:00:00Z</x:v>
      </x:c>
      <x:c r="V63" s="12" t="str">
        <x:v>tenderStatistics_2025-01@c14c9dea784d</x:v>
      </x:c>
      <x:c r="W63" s="12" t="n">
        <x:v>13.71102309965622</x:v>
      </x:c>
      <x:c r="X63" s="12" t="str">
        <x:v>PUBLISHED_PROXY</x:v>
      </x:c>
      <x:c r="Y63" s="12" t="n">
        <x:v>200</x:v>
      </x:c>
      <x:c r="Z63" s="12" t="str">
        <x:v>aFRRDown_2025-01-01T11:00:00Z</x:v>
      </x:c>
      <x:c r="AA63" s="12" t="str">
        <x:v>tenderStatistics_2025-01@c14c9dea784d</x:v>
      </x:c>
      <x:c r="AB63" s="12" t="n">
        <x:v>14.710198829939085</x:v>
      </x:c>
      <x:c r="AC63" s="12" t="str">
        <x:v>PUBLISHED_PROXY</x:v>
      </x:c>
      <x:c r="AD63" s="12"/>
      <x:c r="AE63" s="12" t="str">
        <x:v>SOURCE_NULL_NOT_MODELED</x:v>
      </x:c>
      <x:c r="AF63" s="12"/>
      <x:c r="AG63" s="12" t="n">
        <x:v>0</x:v>
      </x:c>
      <x:c r="AH63" s="12" t="str">
        <x:v>PUBLISHED_PROXY</x:v>
      </x:c>
      <x:c r="AI63" s="12" t="n">
        <x:v>0</x:v>
      </x:c>
      <x:c r="AJ63" s="12" t="n">
        <x:v>33.16479363100863</x:v>
      </x:c>
      <x:c r="AK63" s="12" t="str">
        <x:v>PUBLISHED_PROXY</x:v>
      </x:c>
      <x:c r="AL63" s="12" t="n">
        <x:v>2.124</x:v>
      </x:c>
      <x:c r="AM63" s="12" t="str">
        <x:v>marginalPricesOverview_2025-01@5b9daf9d82d7</x:v>
      </x:c>
      <x:c r="AN63" s="12" t="str">
        <x:v>activatedBalancingEnergyOverview_2025-01@4135ac664b2a</x:v>
      </x:c>
      <x:c r="AO63" s="12" t="str">
        <x:v>PUBLISHED_NATIVE</x:v>
      </x:c>
      <x:c r="AP63" s="12" t="n">
        <x:v>0</x:v>
      </x:c>
      <x:c r="AQ63" s="12" t="n">
        <x:v>0.04248</x:v>
      </x:c>
      <x:c r="AR63" s="12" t="n">
        <x:v>0.04248</x:v>
      </x:c>
      <x:c r="AS63" s="13" t="b">
        <x:v>1</x:v>
      </x:c>
      <x:c r="AT63" s="13" t="b">
        <x:v>1</x:v>
      </x:c>
      <x:c r="AU63" s="13" t="b">
        <x:v>1</x:v>
      </x:c>
      <x:c r="AV63" s="13" t="b">
        <x:v>1</x:v>
      </x:c>
      <x:c r="AW63" s="13" t="b">
        <x:v>1</x:v>
      </x:c>
      <x:c r="AX63" s="13" t="b">
        <x:v>0</x:v>
      </x:c>
      <x:c r="AY63" s="13" t="b">
        <x:v>0</x:v>
      </x:c>
      <x:c r="AZ63" s="13" t="b">
        <x:v>1</x:v>
      </x:c>
      <x:c r="BA63" s="12" t="str">
        <x:v>OK</x:v>
      </x:c>
      <x:c r="BB63" s="12" t="str">
        <x:v>OK</x:v>
      </x:c>
      <x:c r="BC63" s="12" t="str">
        <x:v>EUR</x:v>
      </x:c>
      <x:c r="BD63" s="12" t="n">
        <x:v>10</x:v>
      </x:c>
      <x:c r="BE63" s="12" t="n">
        <x:v>10</x:v>
      </x:c>
      <x:c r="BF63" s="12" t="n">
        <x:v>0</x:v>
      </x:c>
      <x:c r="BG63" s="12" t="n">
        <x:v>0</x:v>
      </x:c>
      <x:c r="BH63" s="12" t="n">
        <x:v>0</x:v>
      </x:c>
      <x:c r="BI63" s="12" t="n">
        <x:v>0</x:v>
      </x:c>
      <x:c r="BJ63" s="12" t="n">
        <x:v>0</x:v>
      </x:c>
      <x:c r="BK63" s="12" t="n">
        <x:v>0</x:v>
      </x:c>
      <x:c r="BL63" s="12" t="n">
        <x:v>0</x:v>
      </x:c>
      <x:c r="BM63" s="12" t="n">
        <x:v>0</x:v>
      </x:c>
      <x:c r="BN63" s="12" t="n">
        <x:v>0</x:v>
      </x:c>
      <x:c r="BO63" s="12" t="n">
        <x:v>0</x:v>
      </x:c>
      <x:c r="BP63" s="12" t="n">
        <x:v>0</x:v>
      </x:c>
      <x:c r="BQ63" s="12" t="n">
        <x:v>0</x:v>
      </x:c>
      <x:c r="BR63" s="12" t="n">
        <x:v>0</x:v>
      </x:c>
      <x:c r="BS63" s="12" t="n">
        <x:v>0</x:v>
      </x:c>
    </x:row>
    <x:row r="64" ht="21" customHeight="1">
      <x:c r="A64" s="14" t="n">
        <x:v>45658.489583333336</x:v>
      </x:c>
      <x:c r="B64" s="14" t="n">
        <x:v>45658.5</x:v>
      </x:c>
      <x:c r="C64" s="14" t="n">
        <x:v>45658.572916666664</x:v>
      </x:c>
      <x:c r="D64" s="15" t="n">
        <x:v>45658</x:v>
      </x:c>
      <x:c r="E64" s="12" t="n">
        <x:v>0.25</x:v>
      </x:c>
      <x:c r="F64" s="12" t="str">
        <x:v>FORMAL</x:v>
      </x:c>
      <x:c r="G64" s="14" t="n">
        <x:v>45658.458333333336</x:v>
      </x:c>
      <x:c r="H64" s="12" t="n">
        <x:v>36.56</x:v>
      </x:c>
      <x:c r="I64" s="12" t="str">
        <x:v>2025-01-01_13</x:v>
      </x:c>
      <x:c r="J64" s="12" t="n">
        <x:v>60</x:v>
      </x:c>
      <x:c r="K64" s="12" t="str">
        <x:v>DA_2025-01-01@80c3f1a8e3ee</x:v>
      </x:c>
      <x:c r="L64" s="15" t="n">
        <x:v>45657</x:v>
      </x:c>
      <x:c r="M64" s="12" t="n">
        <x:v>4.9741</x:v>
      </x:c>
      <x:c r="N64" s="12" t="str">
        <x:v>BNR2024_BOUNDARY@c4397e7f9c31</x:v>
      </x:c>
      <x:c r="O64" s="12"/>
      <x:c r="P64" s="12"/>
      <x:c r="Q64" s="12"/>
      <x:c r="R64" s="12"/>
      <x:c r="S64" s="12" t="str">
        <x:v>OUT_OF_RESEARCH_COVERAGE_PRE_2025_06</x:v>
      </x:c>
      <x:c r="T64" s="12" t="n">
        <x:v>200</x:v>
      </x:c>
      <x:c r="U64" s="12" t="str">
        <x:v>aFRRUp_2025-01-01T11:00:00Z</x:v>
      </x:c>
      <x:c r="V64" s="12" t="str">
        <x:v>tenderStatistics_2025-01@c14c9dea784d</x:v>
      </x:c>
      <x:c r="W64" s="12" t="n">
        <x:v>13.71102309965622</x:v>
      </x:c>
      <x:c r="X64" s="12" t="str">
        <x:v>PUBLISHED_PROXY</x:v>
      </x:c>
      <x:c r="Y64" s="12" t="n">
        <x:v>200</x:v>
      </x:c>
      <x:c r="Z64" s="12" t="str">
        <x:v>aFRRDown_2025-01-01T11:00:00Z</x:v>
      </x:c>
      <x:c r="AA64" s="12" t="str">
        <x:v>tenderStatistics_2025-01@c14c9dea784d</x:v>
      </x:c>
      <x:c r="AB64" s="12" t="n">
        <x:v>14.710198829939085</x:v>
      </x:c>
      <x:c r="AC64" s="12" t="str">
        <x:v>PUBLISHED_PROXY</x:v>
      </x:c>
      <x:c r="AD64" s="12"/>
      <x:c r="AE64" s="12" t="str">
        <x:v>SOURCE_NULL_NOT_MODELED</x:v>
      </x:c>
      <x:c r="AF64" s="12"/>
      <x:c r="AG64" s="12" t="n">
        <x:v>127.04207796385275</x:v>
      </x:c>
      <x:c r="AH64" s="12" t="str">
        <x:v>PUBLISHED_PROXY</x:v>
      </x:c>
      <x:c r="AI64" s="12" t="n">
        <x:v>0.006</x:v>
      </x:c>
      <x:c r="AJ64" s="12" t="n">
        <x:v>23.212842524275747</x:v>
      </x:c>
      <x:c r="AK64" s="12" t="str">
        <x:v>PUBLISHED_PROXY</x:v>
      </x:c>
      <x:c r="AL64" s="12" t="n">
        <x:v>2.918</x:v>
      </x:c>
      <x:c r="AM64" s="12" t="str">
        <x:v>marginalPricesOverview_2025-01@5b9daf9d82d7</x:v>
      </x:c>
      <x:c r="AN64" s="12" t="str">
        <x:v>activatedBalancingEnergyOverview_2025-01@4135ac664b2a</x:v>
      </x:c>
      <x:c r="AO64" s="12" t="str">
        <x:v>PUBLISHED_NATIVE</x:v>
      </x:c>
      <x:c r="AP64" s="12" t="n">
        <x:v>0.00012</x:v>
      </x:c>
      <x:c r="AQ64" s="12" t="n">
        <x:v>0.05836</x:v>
      </x:c>
      <x:c r="AR64" s="12" t="n">
        <x:v>0.05848</x:v>
      </x:c>
      <x:c r="AS64" s="13" t="b">
        <x:v>1</x:v>
      </x:c>
      <x:c r="AT64" s="13" t="b">
        <x:v>1</x:v>
      </x:c>
      <x:c r="AU64" s="13" t="b">
        <x:v>1</x:v>
      </x:c>
      <x:c r="AV64" s="13" t="b">
        <x:v>1</x:v>
      </x:c>
      <x:c r="AW64" s="13" t="b">
        <x:v>1</x:v>
      </x:c>
      <x:c r="AX64" s="13" t="b">
        <x:v>0</x:v>
      </x:c>
      <x:c r="AY64" s="13" t="b">
        <x:v>0</x:v>
      </x:c>
      <x:c r="AZ64" s="13" t="b">
        <x:v>1</x:v>
      </x:c>
      <x:c r="BA64" s="12" t="str">
        <x:v>OK</x:v>
      </x:c>
      <x:c r="BB64" s="12" t="str">
        <x:v>OK</x:v>
      </x:c>
      <x:c r="BC64" s="12" t="str">
        <x:v>EUR</x:v>
      </x:c>
      <x:c r="BD64" s="12" t="n">
        <x:v>10</x:v>
      </x:c>
      <x:c r="BE64" s="12" t="n">
        <x:v>10</x:v>
      </x:c>
      <x:c r="BF64" s="12" t="n">
        <x:v>0</x:v>
      </x:c>
      <x:c r="BG64" s="12" t="n">
        <x:v>0</x:v>
      </x:c>
      <x:c r="BH64" s="12" t="n">
        <x:v>0</x:v>
      </x:c>
      <x:c r="BI64" s="12" t="n">
        <x:v>0</x:v>
      </x:c>
      <x:c r="BJ64" s="12" t="n">
        <x:v>0</x:v>
      </x:c>
      <x:c r="BK64" s="12" t="n">
        <x:v>0</x:v>
      </x:c>
      <x:c r="BL64" s="12" t="n">
        <x:v>0</x:v>
      </x:c>
      <x:c r="BM64" s="12" t="n">
        <x:v>0</x:v>
      </x:c>
      <x:c r="BN64" s="12" t="n">
        <x:v>0</x:v>
      </x:c>
      <x:c r="BO64" s="12" t="n">
        <x:v>0</x:v>
      </x:c>
      <x:c r="BP64" s="12" t="n">
        <x:v>0</x:v>
      </x:c>
      <x:c r="BQ64" s="12" t="n">
        <x:v>0</x:v>
      </x:c>
      <x:c r="BR64" s="12" t="n">
        <x:v>0</x:v>
      </x:c>
      <x:c r="BS64" s="12" t="n">
        <x:v>0</x:v>
      </x:c>
    </x:row>
    <x:row r="65" ht="21" customHeight="1">
      <x:c r="A65" s="14" t="n">
        <x:v>45658.5</x:v>
      </x:c>
      <x:c r="B65" s="14" t="n">
        <x:v>45658.510416666664</x:v>
      </x:c>
      <x:c r="C65" s="14" t="n">
        <x:v>45658.583333333336</x:v>
      </x:c>
      <x:c r="D65" s="15" t="n">
        <x:v>45658</x:v>
      </x:c>
      <x:c r="E65" s="12" t="n">
        <x:v>0.25</x:v>
      </x:c>
      <x:c r="F65" s="12" t="str">
        <x:v>FORMAL</x:v>
      </x:c>
      <x:c r="G65" s="14" t="n">
        <x:v>45658.5</x:v>
      </x:c>
      <x:c r="H65" s="12" t="n">
        <x:v>53.17</x:v>
      </x:c>
      <x:c r="I65" s="12" t="str">
        <x:v>2025-01-01_14</x:v>
      </x:c>
      <x:c r="J65" s="12" t="n">
        <x:v>60</x:v>
      </x:c>
      <x:c r="K65" s="12" t="str">
        <x:v>DA_2025-01-01@80c3f1a8e3ee</x:v>
      </x:c>
      <x:c r="L65" s="15" t="n">
        <x:v>45657</x:v>
      </x:c>
      <x:c r="M65" s="12" t="n">
        <x:v>4.9741</x:v>
      </x:c>
      <x:c r="N65" s="12" t="str">
        <x:v>BNR2024_BOUNDARY@c4397e7f9c31</x:v>
      </x:c>
      <x:c r="O65" s="12"/>
      <x:c r="P65" s="12"/>
      <x:c r="Q65" s="12"/>
      <x:c r="R65" s="12"/>
      <x:c r="S65" s="12" t="str">
        <x:v>OUT_OF_RESEARCH_COVERAGE_PRE_2025_06</x:v>
      </x:c>
      <x:c r="T65" s="12" t="n">
        <x:v>200</x:v>
      </x:c>
      <x:c r="U65" s="12" t="str">
        <x:v>aFRRUp_2025-01-01T12:00:00Z</x:v>
      </x:c>
      <x:c r="V65" s="12" t="str">
        <x:v>tenderStatistics_2025-01@c14c9dea784d</x:v>
      </x:c>
      <x:c r="W65" s="12" t="n">
        <x:v>13.71102309965622</x:v>
      </x:c>
      <x:c r="X65" s="12" t="str">
        <x:v>PUBLISHED_PROXY</x:v>
      </x:c>
      <x:c r="Y65" s="12" t="n">
        <x:v>200</x:v>
      </x:c>
      <x:c r="Z65" s="12" t="str">
        <x:v>aFRRDown_2025-01-01T12:00:00Z</x:v>
      </x:c>
      <x:c r="AA65" s="12" t="str">
        <x:v>tenderStatistics_2025-01@c14c9dea784d</x:v>
      </x:c>
      <x:c r="AB65" s="12" t="n">
        <x:v>14.710198829939085</x:v>
      </x:c>
      <x:c r="AC65" s="12" t="str">
        <x:v>PUBLISHED_PROXY</x:v>
      </x:c>
      <x:c r="AD65" s="12"/>
      <x:c r="AE65" s="12" t="str">
        <x:v>SOURCE_NULL_NOT_MODELED</x:v>
      </x:c>
      <x:c r="AF65" s="12"/>
      <x:c r="AG65" s="12" t="n">
        <x:v>0</x:v>
      </x:c>
      <x:c r="AH65" s="12" t="str">
        <x:v>PUBLISHED_PROXY</x:v>
      </x:c>
      <x:c r="AI65" s="12" t="n">
        <x:v>0</x:v>
      </x:c>
      <x:c r="AJ65" s="12" t="n">
        <x:v>2.433002955308498</x:v>
      </x:c>
      <x:c r="AK65" s="12" t="str">
        <x:v>PUBLISHED_PROXY</x:v>
      </x:c>
      <x:c r="AL65" s="12" t="n">
        <x:v>20.242</x:v>
      </x:c>
      <x:c r="AM65" s="12" t="str">
        <x:v>marginalPricesOverview_2025-01@5b9daf9d82d7</x:v>
      </x:c>
      <x:c r="AN65" s="12" t="str">
        <x:v>activatedBalancingEnergyOverview_2025-01@4135ac664b2a</x:v>
      </x:c>
      <x:c r="AO65" s="12" t="str">
        <x:v>PUBLISHED_NATIVE</x:v>
      </x:c>
      <x:c r="AP65" s="12" t="n">
        <x:v>0</x:v>
      </x:c>
      <x:c r="AQ65" s="12" t="n">
        <x:v>0.40484</x:v>
      </x:c>
      <x:c r="AR65" s="12" t="n">
        <x:v>0.40484</x:v>
      </x:c>
      <x:c r="AS65" s="13" t="b">
        <x:v>1</x:v>
      </x:c>
      <x:c r="AT65" s="13" t="b">
        <x:v>1</x:v>
      </x:c>
      <x:c r="AU65" s="13" t="b">
        <x:v>1</x:v>
      </x:c>
      <x:c r="AV65" s="13" t="b">
        <x:v>1</x:v>
      </x:c>
      <x:c r="AW65" s="13" t="b">
        <x:v>1</x:v>
      </x:c>
      <x:c r="AX65" s="13" t="b">
        <x:v>0</x:v>
      </x:c>
      <x:c r="AY65" s="13" t="b">
        <x:v>0</x:v>
      </x:c>
      <x:c r="AZ65" s="13" t="b">
        <x:v>1</x:v>
      </x:c>
      <x:c r="BA65" s="12" t="str">
        <x:v>OK</x:v>
      </x:c>
      <x:c r="BB65" s="12" t="str">
        <x:v>OK</x:v>
      </x:c>
      <x:c r="BC65" s="12" t="str">
        <x:v>EUR</x:v>
      </x:c>
      <x:c r="BD65" s="12" t="n">
        <x:v>10</x:v>
      </x:c>
      <x:c r="BE65" s="12" t="n">
        <x:v>10</x:v>
      </x:c>
      <x:c r="BF65" s="12" t="n">
        <x:v>0</x:v>
      </x:c>
      <x:c r="BG65" s="12" t="n">
        <x:v>0</x:v>
      </x:c>
      <x:c r="BH65" s="12" t="n">
        <x:v>0</x:v>
      </x:c>
      <x:c r="BI65" s="12" t="n">
        <x:v>0</x:v>
      </x:c>
      <x:c r="BJ65" s="12" t="n">
        <x:v>0</x:v>
      </x:c>
      <x:c r="BK65" s="12" t="n">
        <x:v>0</x:v>
      </x:c>
      <x:c r="BL65" s="12" t="n">
        <x:v>0</x:v>
      </x:c>
      <x:c r="BM65" s="12" t="n">
        <x:v>0</x:v>
      </x:c>
      <x:c r="BN65" s="12" t="n">
        <x:v>0</x:v>
      </x:c>
      <x:c r="BO65" s="12" t="n">
        <x:v>0</x:v>
      </x:c>
      <x:c r="BP65" s="12" t="n">
        <x:v>0</x:v>
      </x:c>
      <x:c r="BQ65" s="12" t="n">
        <x:v>0</x:v>
      </x:c>
      <x:c r="BR65" s="12" t="n">
        <x:v>0</x:v>
      </x:c>
      <x:c r="BS65" s="12" t="n">
        <x:v>0</x:v>
      </x:c>
    </x:row>
    <x:row r="66" ht="21" customHeight="1">
      <x:c r="A66" s="14" t="n">
        <x:v>45658.510416666664</x:v>
      </x:c>
      <x:c r="B66" s="14" t="n">
        <x:v>45658.520833333336</x:v>
      </x:c>
      <x:c r="C66" s="14" t="n">
        <x:v>45658.59375</x:v>
      </x:c>
      <x:c r="D66" s="15" t="n">
        <x:v>45658</x:v>
      </x:c>
      <x:c r="E66" s="12" t="n">
        <x:v>0.25</x:v>
      </x:c>
      <x:c r="F66" s="12" t="str">
        <x:v>FORMAL</x:v>
      </x:c>
      <x:c r="G66" s="14" t="n">
        <x:v>45658.5</x:v>
      </x:c>
      <x:c r="H66" s="12" t="n">
        <x:v>53.17</x:v>
      </x:c>
      <x:c r="I66" s="12" t="str">
        <x:v>2025-01-01_14</x:v>
      </x:c>
      <x:c r="J66" s="12" t="n">
        <x:v>60</x:v>
      </x:c>
      <x:c r="K66" s="12" t="str">
        <x:v>DA_2025-01-01@80c3f1a8e3ee</x:v>
      </x:c>
      <x:c r="L66" s="15" t="n">
        <x:v>45657</x:v>
      </x:c>
      <x:c r="M66" s="12" t="n">
        <x:v>4.9741</x:v>
      </x:c>
      <x:c r="N66" s="12" t="str">
        <x:v>BNR2024_BOUNDARY@c4397e7f9c31</x:v>
      </x:c>
      <x:c r="O66" s="12"/>
      <x:c r="P66" s="12"/>
      <x:c r="Q66" s="12"/>
      <x:c r="R66" s="12"/>
      <x:c r="S66" s="12" t="str">
        <x:v>OUT_OF_RESEARCH_COVERAGE_PRE_2025_06</x:v>
      </x:c>
      <x:c r="T66" s="12" t="n">
        <x:v>200</x:v>
      </x:c>
      <x:c r="U66" s="12" t="str">
        <x:v>aFRRUp_2025-01-01T12:00:00Z</x:v>
      </x:c>
      <x:c r="V66" s="12" t="str">
        <x:v>tenderStatistics_2025-01@c14c9dea784d</x:v>
      </x:c>
      <x:c r="W66" s="12" t="n">
        <x:v>13.71102309965622</x:v>
      </x:c>
      <x:c r="X66" s="12" t="str">
        <x:v>PUBLISHED_PROXY</x:v>
      </x:c>
      <x:c r="Y66" s="12" t="n">
        <x:v>200</x:v>
      </x:c>
      <x:c r="Z66" s="12" t="str">
        <x:v>aFRRDown_2025-01-01T12:00:00Z</x:v>
      </x:c>
      <x:c r="AA66" s="12" t="str">
        <x:v>tenderStatistics_2025-01@c14c9dea784d</x:v>
      </x:c>
      <x:c r="AB66" s="12" t="n">
        <x:v>14.710198829939085</x:v>
      </x:c>
      <x:c r="AC66" s="12" t="str">
        <x:v>PUBLISHED_PROXY</x:v>
      </x:c>
      <x:c r="AD66" s="12"/>
      <x:c r="AE66" s="12" t="str">
        <x:v>SOURCE_NULL_NOT_MODELED</x:v>
      </x:c>
      <x:c r="AF66" s="12"/>
      <x:c r="AG66" s="12" t="n">
        <x:v>0</x:v>
      </x:c>
      <x:c r="AH66" s="12" t="str">
        <x:v>PUBLISHED_PROXY</x:v>
      </x:c>
      <x:c r="AI66" s="12" t="n">
        <x:v>0</x:v>
      </x:c>
      <x:c r="AJ66" s="12" t="n">
        <x:v>0.2909068977302427</x:v>
      </x:c>
      <x:c r="AK66" s="12" t="str">
        <x:v>PUBLISHED_PROXY</x:v>
      </x:c>
      <x:c r="AL66" s="12" t="n">
        <x:v>24.235</x:v>
      </x:c>
      <x:c r="AM66" s="12" t="str">
        <x:v>marginalPricesOverview_2025-01@5b9daf9d82d7</x:v>
      </x:c>
      <x:c r="AN66" s="12" t="str">
        <x:v>activatedBalancingEnergyOverview_2025-01@4135ac664b2a</x:v>
      </x:c>
      <x:c r="AO66" s="12" t="str">
        <x:v>PUBLISHED_NATIVE</x:v>
      </x:c>
      <x:c r="AP66" s="12" t="n">
        <x:v>0</x:v>
      </x:c>
      <x:c r="AQ66" s="12" t="n">
        <x:v>0.4846999999999999</x:v>
      </x:c>
      <x:c r="AR66" s="12" t="n">
        <x:v>0.4846999999999999</x:v>
      </x:c>
      <x:c r="AS66" s="13" t="b">
        <x:v>1</x:v>
      </x:c>
      <x:c r="AT66" s="13" t="b">
        <x:v>1</x:v>
      </x:c>
      <x:c r="AU66" s="13" t="b">
        <x:v>1</x:v>
      </x:c>
      <x:c r="AV66" s="13" t="b">
        <x:v>1</x:v>
      </x:c>
      <x:c r="AW66" s="13" t="b">
        <x:v>1</x:v>
      </x:c>
      <x:c r="AX66" s="13" t="b">
        <x:v>0</x:v>
      </x:c>
      <x:c r="AY66" s="13" t="b">
        <x:v>0</x:v>
      </x:c>
      <x:c r="AZ66" s="13" t="b">
        <x:v>1</x:v>
      </x:c>
      <x:c r="BA66" s="12" t="str">
        <x:v>OK</x:v>
      </x:c>
      <x:c r="BB66" s="12" t="str">
        <x:v>OK</x:v>
      </x:c>
      <x:c r="BC66" s="12" t="str">
        <x:v>EUR</x:v>
      </x:c>
      <x:c r="BD66" s="12" t="n">
        <x:v>10</x:v>
      </x:c>
      <x:c r="BE66" s="12" t="n">
        <x:v>10</x:v>
      </x:c>
      <x:c r="BF66" s="12" t="n">
        <x:v>0</x:v>
      </x:c>
      <x:c r="BG66" s="12" t="n">
        <x:v>0</x:v>
      </x:c>
      <x:c r="BH66" s="12" t="n">
        <x:v>0</x:v>
      </x:c>
      <x:c r="BI66" s="12" t="n">
        <x:v>0</x:v>
      </x:c>
      <x:c r="BJ66" s="12" t="n">
        <x:v>0</x:v>
      </x:c>
      <x:c r="BK66" s="12" t="n">
        <x:v>0</x:v>
      </x:c>
      <x:c r="BL66" s="12" t="n">
        <x:v>0</x:v>
      </x:c>
      <x:c r="BM66" s="12" t="n">
        <x:v>0</x:v>
      </x:c>
      <x:c r="BN66" s="12" t="n">
        <x:v>0</x:v>
      </x:c>
      <x:c r="BO66" s="12" t="n">
        <x:v>0</x:v>
      </x:c>
      <x:c r="BP66" s="12" t="n">
        <x:v>0</x:v>
      </x:c>
      <x:c r="BQ66" s="12" t="n">
        <x:v>0</x:v>
      </x:c>
      <x:c r="BR66" s="12" t="n">
        <x:v>0</x:v>
      </x:c>
      <x:c r="BS66" s="12" t="n">
        <x:v>0</x:v>
      </x:c>
    </x:row>
    <x:row r="67" ht="21" customHeight="1">
      <x:c r="A67" s="14" t="n">
        <x:v>45658.520833333336</x:v>
      </x:c>
      <x:c r="B67" s="14" t="n">
        <x:v>45658.53125</x:v>
      </x:c>
      <x:c r="C67" s="14" t="n">
        <x:v>45658.604166666664</x:v>
      </x:c>
      <x:c r="D67" s="15" t="n">
        <x:v>45658</x:v>
      </x:c>
      <x:c r="E67" s="12" t="n">
        <x:v>0.25</x:v>
      </x:c>
      <x:c r="F67" s="12" t="str">
        <x:v>FORMAL</x:v>
      </x:c>
      <x:c r="G67" s="14" t="n">
        <x:v>45658.5</x:v>
      </x:c>
      <x:c r="H67" s="12" t="n">
        <x:v>53.17</x:v>
      </x:c>
      <x:c r="I67" s="12" t="str">
        <x:v>2025-01-01_14</x:v>
      </x:c>
      <x:c r="J67" s="12" t="n">
        <x:v>60</x:v>
      </x:c>
      <x:c r="K67" s="12" t="str">
        <x:v>DA_2025-01-01@80c3f1a8e3ee</x:v>
      </x:c>
      <x:c r="L67" s="15" t="n">
        <x:v>45657</x:v>
      </x:c>
      <x:c r="M67" s="12" t="n">
        <x:v>4.9741</x:v>
      </x:c>
      <x:c r="N67" s="12" t="str">
        <x:v>BNR2024_BOUNDARY@c4397e7f9c31</x:v>
      </x:c>
      <x:c r="O67" s="12"/>
      <x:c r="P67" s="12"/>
      <x:c r="Q67" s="12"/>
      <x:c r="R67" s="12"/>
      <x:c r="S67" s="12" t="str">
        <x:v>OUT_OF_RESEARCH_COVERAGE_PRE_2025_06</x:v>
      </x:c>
      <x:c r="T67" s="12" t="n">
        <x:v>200</x:v>
      </x:c>
      <x:c r="U67" s="12" t="str">
        <x:v>aFRRUp_2025-01-01T12:00:00Z</x:v>
      </x:c>
      <x:c r="V67" s="12" t="str">
        <x:v>tenderStatistics_2025-01@c14c9dea784d</x:v>
      </x:c>
      <x:c r="W67" s="12" t="n">
        <x:v>13.71102309965622</x:v>
      </x:c>
      <x:c r="X67" s="12" t="str">
        <x:v>PUBLISHED_PROXY</x:v>
      </x:c>
      <x:c r="Y67" s="12" t="n">
        <x:v>200</x:v>
      </x:c>
      <x:c r="Z67" s="12" t="str">
        <x:v>aFRRDown_2025-01-01T12:00:00Z</x:v>
      </x:c>
      <x:c r="AA67" s="12" t="str">
        <x:v>tenderStatistics_2025-01@c14c9dea784d</x:v>
      </x:c>
      <x:c r="AB67" s="12" t="n">
        <x:v>14.710198829939085</x:v>
      </x:c>
      <x:c r="AC67" s="12" t="str">
        <x:v>PUBLISHED_PROXY</x:v>
      </x:c>
      <x:c r="AD67" s="12"/>
      <x:c r="AE67" s="12" t="str">
        <x:v>SOURCE_NULL_NOT_MODELED</x:v>
      </x:c>
      <x:c r="AF67" s="12"/>
      <x:c r="AG67" s="12" t="n">
        <x:v>0</x:v>
      </x:c>
      <x:c r="AH67" s="12" t="str">
        <x:v>PUBLISHED_PROXY</x:v>
      </x:c>
      <x:c r="AI67" s="12" t="n">
        <x:v>0</x:v>
      </x:c>
      <x:c r="AJ67" s="12" t="n">
        <x:v>10.445306688647193</x:v>
      </x:c>
      <x:c r="AK67" s="12" t="str">
        <x:v>PUBLISHED_PROXY</x:v>
      </x:c>
      <x:c r="AL67" s="12" t="n">
        <x:v>12.687</x:v>
      </x:c>
      <x:c r="AM67" s="12" t="str">
        <x:v>marginalPricesOverview_2025-01@5b9daf9d82d7</x:v>
      </x:c>
      <x:c r="AN67" s="12" t="str">
        <x:v>activatedBalancingEnergyOverview_2025-01@4135ac664b2a</x:v>
      </x:c>
      <x:c r="AO67" s="12" t="str">
        <x:v>PUBLISHED_NATIVE</x:v>
      </x:c>
      <x:c r="AP67" s="12" t="n">
        <x:v>0</x:v>
      </x:c>
      <x:c r="AQ67" s="12" t="n">
        <x:v>0.2537399999999999</x:v>
      </x:c>
      <x:c r="AR67" s="12" t="n">
        <x:v>0.2537399999999999</x:v>
      </x:c>
      <x:c r="AS67" s="13" t="b">
        <x:v>1</x:v>
      </x:c>
      <x:c r="AT67" s="13" t="b">
        <x:v>1</x:v>
      </x:c>
      <x:c r="AU67" s="13" t="b">
        <x:v>1</x:v>
      </x:c>
      <x:c r="AV67" s="13" t="b">
        <x:v>1</x:v>
      </x:c>
      <x:c r="AW67" s="13" t="b">
        <x:v>1</x:v>
      </x:c>
      <x:c r="AX67" s="13" t="b">
        <x:v>0</x:v>
      </x:c>
      <x:c r="AY67" s="13" t="b">
        <x:v>0</x:v>
      </x:c>
      <x:c r="AZ67" s="13" t="b">
        <x:v>1</x:v>
      </x:c>
      <x:c r="BA67" s="12" t="str">
        <x:v>OK</x:v>
      </x:c>
      <x:c r="BB67" s="12" t="str">
        <x:v>OK</x:v>
      </x:c>
      <x:c r="BC67" s="12" t="str">
        <x:v>EUR</x:v>
      </x:c>
      <x:c r="BD67" s="12" t="n">
        <x:v>10</x:v>
      </x:c>
      <x:c r="BE67" s="12" t="n">
        <x:v>10</x:v>
      </x:c>
      <x:c r="BF67" s="12" t="n">
        <x:v>0</x:v>
      </x:c>
      <x:c r="BG67" s="12" t="n">
        <x:v>0</x:v>
      </x:c>
      <x:c r="BH67" s="12" t="n">
        <x:v>0</x:v>
      </x:c>
      <x:c r="BI67" s="12" t="n">
        <x:v>0</x:v>
      </x:c>
      <x:c r="BJ67" s="12" t="n">
        <x:v>0</x:v>
      </x:c>
      <x:c r="BK67" s="12" t="n">
        <x:v>0</x:v>
      </x:c>
      <x:c r="BL67" s="12" t="n">
        <x:v>0</x:v>
      </x:c>
      <x:c r="BM67" s="12" t="n">
        <x:v>0</x:v>
      </x:c>
      <x:c r="BN67" s="12" t="n">
        <x:v>0</x:v>
      </x:c>
      <x:c r="BO67" s="12" t="n">
        <x:v>0</x:v>
      </x:c>
      <x:c r="BP67" s="12" t="n">
        <x:v>0</x:v>
      </x:c>
      <x:c r="BQ67" s="12" t="n">
        <x:v>0</x:v>
      </x:c>
      <x:c r="BR67" s="12" t="n">
        <x:v>0</x:v>
      </x:c>
      <x:c r="BS67" s="12" t="n">
        <x:v>0</x:v>
      </x:c>
    </x:row>
    <x:row r="68" ht="21" customHeight="1">
      <x:c r="A68" s="14" t="n">
        <x:v>45658.53125</x:v>
      </x:c>
      <x:c r="B68" s="14" t="n">
        <x:v>45658.541666666664</x:v>
      </x:c>
      <x:c r="C68" s="14" t="n">
        <x:v>45658.614583333336</x:v>
      </x:c>
      <x:c r="D68" s="15" t="n">
        <x:v>45658</x:v>
      </x:c>
      <x:c r="E68" s="12" t="n">
        <x:v>0.25</x:v>
      </x:c>
      <x:c r="F68" s="12" t="str">
        <x:v>FORMAL</x:v>
      </x:c>
      <x:c r="G68" s="14" t="n">
        <x:v>45658.5</x:v>
      </x:c>
      <x:c r="H68" s="12" t="n">
        <x:v>53.17</x:v>
      </x:c>
      <x:c r="I68" s="12" t="str">
        <x:v>2025-01-01_14</x:v>
      </x:c>
      <x:c r="J68" s="12" t="n">
        <x:v>60</x:v>
      </x:c>
      <x:c r="K68" s="12" t="str">
        <x:v>DA_2025-01-01@80c3f1a8e3ee</x:v>
      </x:c>
      <x:c r="L68" s="15" t="n">
        <x:v>45657</x:v>
      </x:c>
      <x:c r="M68" s="12" t="n">
        <x:v>4.9741</x:v>
      </x:c>
      <x:c r="N68" s="12" t="str">
        <x:v>BNR2024_BOUNDARY@c4397e7f9c31</x:v>
      </x:c>
      <x:c r="O68" s="12"/>
      <x:c r="P68" s="12"/>
      <x:c r="Q68" s="12"/>
      <x:c r="R68" s="12"/>
      <x:c r="S68" s="12" t="str">
        <x:v>OUT_OF_RESEARCH_COVERAGE_PRE_2025_06</x:v>
      </x:c>
      <x:c r="T68" s="12" t="n">
        <x:v>200</x:v>
      </x:c>
      <x:c r="U68" s="12" t="str">
        <x:v>aFRRUp_2025-01-01T12:00:00Z</x:v>
      </x:c>
      <x:c r="V68" s="12" t="str">
        <x:v>tenderStatistics_2025-01@c14c9dea784d</x:v>
      </x:c>
      <x:c r="W68" s="12" t="n">
        <x:v>13.71102309965622</x:v>
      </x:c>
      <x:c r="X68" s="12" t="str">
        <x:v>PUBLISHED_PROXY</x:v>
      </x:c>
      <x:c r="Y68" s="12" t="n">
        <x:v>200</x:v>
      </x:c>
      <x:c r="Z68" s="12" t="str">
        <x:v>aFRRDown_2025-01-01T12:00:00Z</x:v>
      </x:c>
      <x:c r="AA68" s="12" t="str">
        <x:v>tenderStatistics_2025-01@c14c9dea784d</x:v>
      </x:c>
      <x:c r="AB68" s="12" t="n">
        <x:v>14.710198829939085</x:v>
      </x:c>
      <x:c r="AC68" s="12" t="str">
        <x:v>PUBLISHED_PROXY</x:v>
      </x:c>
      <x:c r="AD68" s="12"/>
      <x:c r="AE68" s="12" t="str">
        <x:v>SOURCE_NULL_NOT_MODELED</x:v>
      </x:c>
      <x:c r="AF68" s="12"/>
      <x:c r="AG68" s="12" t="n">
        <x:v>0</x:v>
      </x:c>
      <x:c r="AH68" s="12" t="str">
        <x:v>PUBLISHED_PROXY</x:v>
      </x:c>
      <x:c r="AI68" s="12" t="n">
        <x:v>0</x:v>
      </x:c>
      <x:c r="AJ68" s="12" t="n">
        <x:v>25.6723829436481</x:v>
      </x:c>
      <x:c r="AK68" s="12" t="str">
        <x:v>PUBLISHED_PROXY</x:v>
      </x:c>
      <x:c r="AL68" s="12" t="n">
        <x:v>3.715</x:v>
      </x:c>
      <x:c r="AM68" s="12" t="str">
        <x:v>marginalPricesOverview_2025-01@5b9daf9d82d7</x:v>
      </x:c>
      <x:c r="AN68" s="12" t="str">
        <x:v>activatedBalancingEnergyOverview_2025-01@4135ac664b2a</x:v>
      </x:c>
      <x:c r="AO68" s="12" t="str">
        <x:v>PUBLISHED_NATIVE</x:v>
      </x:c>
      <x:c r="AP68" s="12" t="n">
        <x:v>0</x:v>
      </x:c>
      <x:c r="AQ68" s="12" t="n">
        <x:v>0.0742999999999999</x:v>
      </x:c>
      <x:c r="AR68" s="12" t="n">
        <x:v>0.0742999999999999</x:v>
      </x:c>
      <x:c r="AS68" s="13" t="b">
        <x:v>1</x:v>
      </x:c>
      <x:c r="AT68" s="13" t="b">
        <x:v>1</x:v>
      </x:c>
      <x:c r="AU68" s="13" t="b">
        <x:v>1</x:v>
      </x:c>
      <x:c r="AV68" s="13" t="b">
        <x:v>1</x:v>
      </x:c>
      <x:c r="AW68" s="13" t="b">
        <x:v>1</x:v>
      </x:c>
      <x:c r="AX68" s="13" t="b">
        <x:v>0</x:v>
      </x:c>
      <x:c r="AY68" s="13" t="b">
        <x:v>0</x:v>
      </x:c>
      <x:c r="AZ68" s="13" t="b">
        <x:v>1</x:v>
      </x:c>
      <x:c r="BA68" s="12" t="str">
        <x:v>OK</x:v>
      </x:c>
      <x:c r="BB68" s="12" t="str">
        <x:v>OK</x:v>
      </x:c>
      <x:c r="BC68" s="12" t="str">
        <x:v>EUR</x:v>
      </x:c>
      <x:c r="BD68" s="12" t="n">
        <x:v>10</x:v>
      </x:c>
      <x:c r="BE68" s="12" t="n">
        <x:v>10</x:v>
      </x:c>
      <x:c r="BF68" s="12" t="n">
        <x:v>0</x:v>
      </x:c>
      <x:c r="BG68" s="12" t="n">
        <x:v>0</x:v>
      </x:c>
      <x:c r="BH68" s="12" t="n">
        <x:v>0</x:v>
      </x:c>
      <x:c r="BI68" s="12" t="n">
        <x:v>0</x:v>
      </x:c>
      <x:c r="BJ68" s="12" t="n">
        <x:v>0</x:v>
      </x:c>
      <x:c r="BK68" s="12" t="n">
        <x:v>0</x:v>
      </x:c>
      <x:c r="BL68" s="12" t="n">
        <x:v>0</x:v>
      </x:c>
      <x:c r="BM68" s="12" t="n">
        <x:v>0</x:v>
      </x:c>
      <x:c r="BN68" s="12" t="n">
        <x:v>0</x:v>
      </x:c>
      <x:c r="BO68" s="12" t="n">
        <x:v>0</x:v>
      </x:c>
      <x:c r="BP68" s="12" t="n">
        <x:v>0</x:v>
      </x:c>
      <x:c r="BQ68" s="12" t="n">
        <x:v>0</x:v>
      </x:c>
      <x:c r="BR68" s="12" t="n">
        <x:v>0</x:v>
      </x:c>
      <x:c r="BS68" s="12" t="n">
        <x:v>0</x:v>
      </x:c>
    </x:row>
    <x:row r="69" ht="21" customHeight="1">
      <x:c r="A69" s="14" t="n">
        <x:v>45658.541666666664</x:v>
      </x:c>
      <x:c r="B69" s="14" t="n">
        <x:v>45658.552083333336</x:v>
      </x:c>
      <x:c r="C69" s="14" t="n">
        <x:v>45658.625</x:v>
      </x:c>
      <x:c r="D69" s="15" t="n">
        <x:v>45658</x:v>
      </x:c>
      <x:c r="E69" s="12" t="n">
        <x:v>0.25</x:v>
      </x:c>
      <x:c r="F69" s="12" t="str">
        <x:v>FORMAL</x:v>
      </x:c>
      <x:c r="G69" s="14" t="n">
        <x:v>45658.541666666664</x:v>
      </x:c>
      <x:c r="H69" s="12" t="n">
        <x:v>66.8</x:v>
      </x:c>
      <x:c r="I69" s="12" t="str">
        <x:v>2025-01-01_15</x:v>
      </x:c>
      <x:c r="J69" s="12" t="n">
        <x:v>60</x:v>
      </x:c>
      <x:c r="K69" s="12" t="str">
        <x:v>DA_2025-01-01@80c3f1a8e3ee</x:v>
      </x:c>
      <x:c r="L69" s="15" t="n">
        <x:v>45657</x:v>
      </x:c>
      <x:c r="M69" s="12" t="n">
        <x:v>4.9741</x:v>
      </x:c>
      <x:c r="N69" s="12" t="str">
        <x:v>BNR2024_BOUNDARY@c4397e7f9c31</x:v>
      </x:c>
      <x:c r="O69" s="12"/>
      <x:c r="P69" s="12"/>
      <x:c r="Q69" s="12"/>
      <x:c r="R69" s="12"/>
      <x:c r="S69" s="12" t="str">
        <x:v>OUT_OF_RESEARCH_COVERAGE_PRE_2025_06</x:v>
      </x:c>
      <x:c r="T69" s="12" t="n">
        <x:v>200</x:v>
      </x:c>
      <x:c r="U69" s="12" t="str">
        <x:v>aFRRUp_2025-01-01T13:00:00Z</x:v>
      </x:c>
      <x:c r="V69" s="12" t="str">
        <x:v>tenderStatistics_2025-01@c14c9dea784d</x:v>
      </x:c>
      <x:c r="W69" s="12" t="n">
        <x:v>13.831647936310086</x:v>
      </x:c>
      <x:c r="X69" s="12" t="str">
        <x:v>PUBLISHED_PROXY</x:v>
      </x:c>
      <x:c r="Y69" s="12" t="n">
        <x:v>200</x:v>
      </x:c>
      <x:c r="Z69" s="12" t="str">
        <x:v>aFRRDown_2025-01-01T13:00:00Z</x:v>
      </x:c>
      <x:c r="AA69" s="12" t="str">
        <x:v>tenderStatistics_2025-01@c14c9dea784d</x:v>
      </x:c>
      <x:c r="AB69" s="12" t="n">
        <x:v>14.710198829939085</x:v>
      </x:c>
      <x:c r="AC69" s="12" t="str">
        <x:v>PUBLISHED_PROXY</x:v>
      </x:c>
      <x:c r="AD69" s="12"/>
      <x:c r="AE69" s="12" t="str">
        <x:v>SOURCE_NULL_NOT_MODELED</x:v>
      </x:c>
      <x:c r="AF69" s="12"/>
      <x:c r="AG69" s="12" t="n">
        <x:v>0</x:v>
      </x:c>
      <x:c r="AH69" s="12" t="str">
        <x:v>PUBLISHED_PROXY</x:v>
      </x:c>
      <x:c r="AI69" s="12" t="n">
        <x:v>0</x:v>
      </x:c>
      <x:c r="AJ69" s="12" t="n">
        <x:v>0.8898092117166925</x:v>
      </x:c>
      <x:c r="AK69" s="12" t="str">
        <x:v>PUBLISHED_PROXY</x:v>
      </x:c>
      <x:c r="AL69" s="12" t="n">
        <x:v>19.377</x:v>
      </x:c>
      <x:c r="AM69" s="12" t="str">
        <x:v>marginalPricesOverview_2025-01@5b9daf9d82d7</x:v>
      </x:c>
      <x:c r="AN69" s="12" t="str">
        <x:v>activatedBalancingEnergyOverview_2025-01@4135ac664b2a</x:v>
      </x:c>
      <x:c r="AO69" s="12" t="str">
        <x:v>PUBLISHED_NATIVE</x:v>
      </x:c>
      <x:c r="AP69" s="12" t="n">
        <x:v>0</x:v>
      </x:c>
      <x:c r="AQ69" s="12" t="n">
        <x:v>0.38754</x:v>
      </x:c>
      <x:c r="AR69" s="12" t="n">
        <x:v>0.38754</x:v>
      </x:c>
      <x:c r="AS69" s="13" t="b">
        <x:v>1</x:v>
      </x:c>
      <x:c r="AT69" s="13" t="b">
        <x:v>1</x:v>
      </x:c>
      <x:c r="AU69" s="13" t="b">
        <x:v>1</x:v>
      </x:c>
      <x:c r="AV69" s="13" t="b">
        <x:v>1</x:v>
      </x:c>
      <x:c r="AW69" s="13" t="b">
        <x:v>1</x:v>
      </x:c>
      <x:c r="AX69" s="13" t="b">
        <x:v>0</x:v>
      </x:c>
      <x:c r="AY69" s="13" t="b">
        <x:v>0</x:v>
      </x:c>
      <x:c r="AZ69" s="13" t="b">
        <x:v>1</x:v>
      </x:c>
      <x:c r="BA69" s="12" t="str">
        <x:v>OK</x:v>
      </x:c>
      <x:c r="BB69" s="12" t="str">
        <x:v>OK</x:v>
      </x:c>
      <x:c r="BC69" s="12" t="str">
        <x:v>EUR</x:v>
      </x:c>
      <x:c r="BD69" s="12" t="n">
        <x:v>10</x:v>
      </x:c>
      <x:c r="BE69" s="12" t="n">
        <x:v>10</x:v>
      </x:c>
      <x:c r="BF69" s="12" t="n">
        <x:v>0</x:v>
      </x:c>
      <x:c r="BG69" s="12" t="n">
        <x:v>0</x:v>
      </x:c>
      <x:c r="BH69" s="12" t="n">
        <x:v>0</x:v>
      </x:c>
      <x:c r="BI69" s="12" t="n">
        <x:v>0</x:v>
      </x:c>
      <x:c r="BJ69" s="12" t="n">
        <x:v>0</x:v>
      </x:c>
      <x:c r="BK69" s="12" t="n">
        <x:v>0</x:v>
      </x:c>
      <x:c r="BL69" s="12" t="n">
        <x:v>0</x:v>
      </x:c>
      <x:c r="BM69" s="12" t="n">
        <x:v>0</x:v>
      </x:c>
      <x:c r="BN69" s="12" t="n">
        <x:v>0</x:v>
      </x:c>
      <x:c r="BO69" s="12" t="n">
        <x:v>0</x:v>
      </x:c>
      <x:c r="BP69" s="12" t="n">
        <x:v>0</x:v>
      </x:c>
      <x:c r="BQ69" s="12" t="n">
        <x:v>0</x:v>
      </x:c>
      <x:c r="BR69" s="12" t="n">
        <x:v>0</x:v>
      </x:c>
      <x:c r="BS69" s="12" t="n">
        <x:v>0</x:v>
      </x:c>
    </x:row>
    <x:row r="70" ht="21" customHeight="1">
      <x:c r="A70" s="14" t="n">
        <x:v>45658.552083333336</x:v>
      </x:c>
      <x:c r="B70" s="14" t="n">
        <x:v>45658.5625</x:v>
      </x:c>
      <x:c r="C70" s="14" t="n">
        <x:v>45658.635416666664</x:v>
      </x:c>
      <x:c r="D70" s="15" t="n">
        <x:v>45658</x:v>
      </x:c>
      <x:c r="E70" s="12" t="n">
        <x:v>0.25</x:v>
      </x:c>
      <x:c r="F70" s="12" t="str">
        <x:v>FORMAL</x:v>
      </x:c>
      <x:c r="G70" s="14" t="n">
        <x:v>45658.541666666664</x:v>
      </x:c>
      <x:c r="H70" s="12" t="n">
        <x:v>66.8</x:v>
      </x:c>
      <x:c r="I70" s="12" t="str">
        <x:v>2025-01-01_15</x:v>
      </x:c>
      <x:c r="J70" s="12" t="n">
        <x:v>60</x:v>
      </x:c>
      <x:c r="K70" s="12" t="str">
        <x:v>DA_2025-01-01@80c3f1a8e3ee</x:v>
      </x:c>
      <x:c r="L70" s="15" t="n">
        <x:v>45657</x:v>
      </x:c>
      <x:c r="M70" s="12" t="n">
        <x:v>4.9741</x:v>
      </x:c>
      <x:c r="N70" s="12" t="str">
        <x:v>BNR2024_BOUNDARY@c4397e7f9c31</x:v>
      </x:c>
      <x:c r="O70" s="12"/>
      <x:c r="P70" s="12"/>
      <x:c r="Q70" s="12"/>
      <x:c r="R70" s="12"/>
      <x:c r="S70" s="12" t="str">
        <x:v>OUT_OF_RESEARCH_COVERAGE_PRE_2025_06</x:v>
      </x:c>
      <x:c r="T70" s="12" t="n">
        <x:v>200</x:v>
      </x:c>
      <x:c r="U70" s="12" t="str">
        <x:v>aFRRUp_2025-01-01T13:00:00Z</x:v>
      </x:c>
      <x:c r="V70" s="12" t="str">
        <x:v>tenderStatistics_2025-01@c14c9dea784d</x:v>
      </x:c>
      <x:c r="W70" s="12" t="n">
        <x:v>13.831647936310086</x:v>
      </x:c>
      <x:c r="X70" s="12" t="str">
        <x:v>PUBLISHED_PROXY</x:v>
      </x:c>
      <x:c r="Y70" s="12" t="n">
        <x:v>200</x:v>
      </x:c>
      <x:c r="Z70" s="12" t="str">
        <x:v>aFRRDown_2025-01-01T13:00:00Z</x:v>
      </x:c>
      <x:c r="AA70" s="12" t="str">
        <x:v>tenderStatistics_2025-01@c14c9dea784d</x:v>
      </x:c>
      <x:c r="AB70" s="12" t="n">
        <x:v>14.710198829939085</x:v>
      </x:c>
      <x:c r="AC70" s="12" t="str">
        <x:v>PUBLISHED_PROXY</x:v>
      </x:c>
      <x:c r="AD70" s="12"/>
      <x:c r="AE70" s="12" t="str">
        <x:v>SOURCE_NULL_NOT_MODELED</x:v>
      </x:c>
      <x:c r="AF70" s="12"/>
      <x:c r="AG70" s="12" t="n">
        <x:v>0</x:v>
      </x:c>
      <x:c r="AH70" s="12" t="str">
        <x:v>PUBLISHED_PROXY</x:v>
      </x:c>
      <x:c r="AI70" s="12" t="n">
        <x:v>0</x:v>
      </x:c>
      <x:c r="AJ70" s="12" t="n">
        <x:v>7.295792203614724</x:v>
      </x:c>
      <x:c r="AK70" s="12" t="str">
        <x:v>PUBLISHED_PROXY</x:v>
      </x:c>
      <x:c r="AL70" s="12" t="n">
        <x:v>10.023</x:v>
      </x:c>
      <x:c r="AM70" s="12" t="str">
        <x:v>marginalPricesOverview_2025-01@5b9daf9d82d7</x:v>
      </x:c>
      <x:c r="AN70" s="12" t="str">
        <x:v>activatedBalancingEnergyOverview_2025-01@4135ac664b2a</x:v>
      </x:c>
      <x:c r="AO70" s="12" t="str">
        <x:v>PUBLISHED_NATIVE</x:v>
      </x:c>
      <x:c r="AP70" s="12" t="n">
        <x:v>0</x:v>
      </x:c>
      <x:c r="AQ70" s="12" t="n">
        <x:v>0.20046</x:v>
      </x:c>
      <x:c r="AR70" s="12" t="n">
        <x:v>0.20046</x:v>
      </x:c>
      <x:c r="AS70" s="13" t="b">
        <x:v>1</x:v>
      </x:c>
      <x:c r="AT70" s="13" t="b">
        <x:v>1</x:v>
      </x:c>
      <x:c r="AU70" s="13" t="b">
        <x:v>1</x:v>
      </x:c>
      <x:c r="AV70" s="13" t="b">
        <x:v>1</x:v>
      </x:c>
      <x:c r="AW70" s="13" t="b">
        <x:v>1</x:v>
      </x:c>
      <x:c r="AX70" s="13" t="b">
        <x:v>0</x:v>
      </x:c>
      <x:c r="AY70" s="13" t="b">
        <x:v>0</x:v>
      </x:c>
      <x:c r="AZ70" s="13" t="b">
        <x:v>1</x:v>
      </x:c>
      <x:c r="BA70" s="12" t="str">
        <x:v>OK</x:v>
      </x:c>
      <x:c r="BB70" s="12" t="str">
        <x:v>OK</x:v>
      </x:c>
      <x:c r="BC70" s="12" t="str">
        <x:v>EUR</x:v>
      </x:c>
      <x:c r="BD70" s="12" t="n">
        <x:v>10</x:v>
      </x:c>
      <x:c r="BE70" s="12" t="n">
        <x:v>10</x:v>
      </x:c>
      <x:c r="BF70" s="12" t="n">
        <x:v>0</x:v>
      </x:c>
      <x:c r="BG70" s="12" t="n">
        <x:v>0</x:v>
      </x:c>
      <x:c r="BH70" s="12" t="n">
        <x:v>0</x:v>
      </x:c>
      <x:c r="BI70" s="12" t="n">
        <x:v>0</x:v>
      </x:c>
      <x:c r="BJ70" s="12" t="n">
        <x:v>0</x:v>
      </x:c>
      <x:c r="BK70" s="12" t="n">
        <x:v>0</x:v>
      </x:c>
      <x:c r="BL70" s="12" t="n">
        <x:v>0</x:v>
      </x:c>
      <x:c r="BM70" s="12" t="n">
        <x:v>0</x:v>
      </x:c>
      <x:c r="BN70" s="12" t="n">
        <x:v>0</x:v>
      </x:c>
      <x:c r="BO70" s="12" t="n">
        <x:v>0</x:v>
      </x:c>
      <x:c r="BP70" s="12" t="n">
        <x:v>0</x:v>
      </x:c>
      <x:c r="BQ70" s="12" t="n">
        <x:v>0</x:v>
      </x:c>
      <x:c r="BR70" s="12" t="n">
        <x:v>0</x:v>
      </x:c>
      <x:c r="BS70" s="12" t="n">
        <x:v>0</x:v>
      </x:c>
    </x:row>
    <x:row r="71" ht="21" customHeight="1">
      <x:c r="A71" s="14" t="n">
        <x:v>45658.5625</x:v>
      </x:c>
      <x:c r="B71" s="14" t="n">
        <x:v>45658.572916666664</x:v>
      </x:c>
      <x:c r="C71" s="14" t="n">
        <x:v>45658.645833333336</x:v>
      </x:c>
      <x:c r="D71" s="15" t="n">
        <x:v>45658</x:v>
      </x:c>
      <x:c r="E71" s="12" t="n">
        <x:v>0.25</x:v>
      </x:c>
      <x:c r="F71" s="12" t="str">
        <x:v>FORMAL</x:v>
      </x:c>
      <x:c r="G71" s="14" t="n">
        <x:v>45658.541666666664</x:v>
      </x:c>
      <x:c r="H71" s="12" t="n">
        <x:v>66.8</x:v>
      </x:c>
      <x:c r="I71" s="12" t="str">
        <x:v>2025-01-01_15</x:v>
      </x:c>
      <x:c r="J71" s="12" t="n">
        <x:v>60</x:v>
      </x:c>
      <x:c r="K71" s="12" t="str">
        <x:v>DA_2025-01-01@80c3f1a8e3ee</x:v>
      </x:c>
      <x:c r="L71" s="15" t="n">
        <x:v>45657</x:v>
      </x:c>
      <x:c r="M71" s="12" t="n">
        <x:v>4.9741</x:v>
      </x:c>
      <x:c r="N71" s="12" t="str">
        <x:v>BNR2024_BOUNDARY@c4397e7f9c31</x:v>
      </x:c>
      <x:c r="O71" s="12"/>
      <x:c r="P71" s="12"/>
      <x:c r="Q71" s="12"/>
      <x:c r="R71" s="12"/>
      <x:c r="S71" s="12" t="str">
        <x:v>OUT_OF_RESEARCH_COVERAGE_PRE_2025_06</x:v>
      </x:c>
      <x:c r="T71" s="12" t="n">
        <x:v>200</x:v>
      </x:c>
      <x:c r="U71" s="12" t="str">
        <x:v>aFRRUp_2025-01-01T13:00:00Z</x:v>
      </x:c>
      <x:c r="V71" s="12" t="str">
        <x:v>tenderStatistics_2025-01@c14c9dea784d</x:v>
      </x:c>
      <x:c r="W71" s="12" t="n">
        <x:v>13.831647936310086</x:v>
      </x:c>
      <x:c r="X71" s="12" t="str">
        <x:v>PUBLISHED_PROXY</x:v>
      </x:c>
      <x:c r="Y71" s="12" t="n">
        <x:v>200</x:v>
      </x:c>
      <x:c r="Z71" s="12" t="str">
        <x:v>aFRRDown_2025-01-01T13:00:00Z</x:v>
      </x:c>
      <x:c r="AA71" s="12" t="str">
        <x:v>tenderStatistics_2025-01@c14c9dea784d</x:v>
      </x:c>
      <x:c r="AB71" s="12" t="n">
        <x:v>14.710198829939085</x:v>
      </x:c>
      <x:c r="AC71" s="12" t="str">
        <x:v>PUBLISHED_PROXY</x:v>
      </x:c>
      <x:c r="AD71" s="12"/>
      <x:c r="AE71" s="12" t="str">
        <x:v>SOURCE_NULL_NOT_MODELED</x:v>
      </x:c>
      <x:c r="AF71" s="12"/>
      <x:c r="AG71" s="12" t="n">
        <x:v>154.8609798757564</x:v>
      </x:c>
      <x:c r="AH71" s="12" t="str">
        <x:v>PUBLISHED_PROXY</x:v>
      </x:c>
      <x:c r="AI71" s="12" t="n">
        <x:v>9.936</x:v>
      </x:c>
      <x:c r="AJ71" s="12" t="n">
        <x:v>58.3020043827024</x:v>
      </x:c>
      <x:c r="AK71" s="12" t="str">
        <x:v>PUBLISHED_PROXY</x:v>
      </x:c>
      <x:c r="AL71" s="12" t="n">
        <x:v>0.04</x:v>
      </x:c>
      <x:c r="AM71" s="12" t="str">
        <x:v>marginalPricesOverview_2025-01@5b9daf9d82d7</x:v>
      </x:c>
      <x:c r="AN71" s="12" t="str">
        <x:v>activatedBalancingEnergyOverview_2025-01@4135ac664b2a</x:v>
      </x:c>
      <x:c r="AO71" s="12" t="str">
        <x:v>PUBLISHED_NATIVE</x:v>
      </x:c>
      <x:c r="AP71" s="12" t="n">
        <x:v>0.19872</x:v>
      </x:c>
      <x:c r="AQ71" s="12" t="n">
        <x:v>0.0008</x:v>
      </x:c>
      <x:c r="AR71" s="12" t="n">
        <x:v>0.19952</x:v>
      </x:c>
      <x:c r="AS71" s="13" t="b">
        <x:v>1</x:v>
      </x:c>
      <x:c r="AT71" s="13" t="b">
        <x:v>1</x:v>
      </x:c>
      <x:c r="AU71" s="13" t="b">
        <x:v>1</x:v>
      </x:c>
      <x:c r="AV71" s="13" t="b">
        <x:v>1</x:v>
      </x:c>
      <x:c r="AW71" s="13" t="b">
        <x:v>1</x:v>
      </x:c>
      <x:c r="AX71" s="13" t="b">
        <x:v>0</x:v>
      </x:c>
      <x:c r="AY71" s="13" t="b">
        <x:v>0</x:v>
      </x:c>
      <x:c r="AZ71" s="13" t="b">
        <x:v>1</x:v>
      </x:c>
      <x:c r="BA71" s="12" t="str">
        <x:v>OK</x:v>
      </x:c>
      <x:c r="BB71" s="12" t="str">
        <x:v>OK</x:v>
      </x:c>
      <x:c r="BC71" s="12" t="str">
        <x:v>EUR</x:v>
      </x:c>
      <x:c r="BD71" s="12" t="n">
        <x:v>10</x:v>
      </x:c>
      <x:c r="BE71" s="12" t="n">
        <x:v>10</x:v>
      </x:c>
      <x:c r="BF71" s="12" t="n">
        <x:v>0</x:v>
      </x:c>
      <x:c r="BG71" s="12" t="n">
        <x:v>0</x:v>
      </x:c>
      <x:c r="BH71" s="12" t="n">
        <x:v>0</x:v>
      </x:c>
      <x:c r="BI71" s="12" t="n">
        <x:v>0</x:v>
      </x:c>
      <x:c r="BJ71" s="12" t="n">
        <x:v>0</x:v>
      </x:c>
      <x:c r="BK71" s="12" t="n">
        <x:v>0</x:v>
      </x:c>
      <x:c r="BL71" s="12" t="n">
        <x:v>0</x:v>
      </x:c>
      <x:c r="BM71" s="12" t="n">
        <x:v>0</x:v>
      </x:c>
      <x:c r="BN71" s="12" t="n">
        <x:v>0</x:v>
      </x:c>
      <x:c r="BO71" s="12" t="n">
        <x:v>0</x:v>
      </x:c>
      <x:c r="BP71" s="12" t="n">
        <x:v>0</x:v>
      </x:c>
      <x:c r="BQ71" s="12" t="n">
        <x:v>0</x:v>
      </x:c>
      <x:c r="BR71" s="12" t="n">
        <x:v>0</x:v>
      </x:c>
      <x:c r="BS71" s="12" t="n">
        <x:v>0</x:v>
      </x:c>
    </x:row>
    <x:row r="72" ht="21" customHeight="1">
      <x:c r="A72" s="14" t="n">
        <x:v>45658.572916666664</x:v>
      </x:c>
      <x:c r="B72" s="14" t="n">
        <x:v>45658.583333333336</x:v>
      </x:c>
      <x:c r="C72" s="14" t="n">
        <x:v>45658.65625</x:v>
      </x:c>
      <x:c r="D72" s="15" t="n">
        <x:v>45658</x:v>
      </x:c>
      <x:c r="E72" s="12" t="n">
        <x:v>0.25</x:v>
      </x:c>
      <x:c r="F72" s="12" t="str">
        <x:v>FORMAL</x:v>
      </x:c>
      <x:c r="G72" s="14" t="n">
        <x:v>45658.541666666664</x:v>
      </x:c>
      <x:c r="H72" s="12" t="n">
        <x:v>66.8</x:v>
      </x:c>
      <x:c r="I72" s="12" t="str">
        <x:v>2025-01-01_15</x:v>
      </x:c>
      <x:c r="J72" s="12" t="n">
        <x:v>60</x:v>
      </x:c>
      <x:c r="K72" s="12" t="str">
        <x:v>DA_2025-01-01@80c3f1a8e3ee</x:v>
      </x:c>
      <x:c r="L72" s="15" t="n">
        <x:v>45657</x:v>
      </x:c>
      <x:c r="M72" s="12" t="n">
        <x:v>4.9741</x:v>
      </x:c>
      <x:c r="N72" s="12" t="str">
        <x:v>BNR2024_BOUNDARY@c4397e7f9c31</x:v>
      </x:c>
      <x:c r="O72" s="12"/>
      <x:c r="P72" s="12"/>
      <x:c r="Q72" s="12"/>
      <x:c r="R72" s="12"/>
      <x:c r="S72" s="12" t="str">
        <x:v>OUT_OF_RESEARCH_COVERAGE_PRE_2025_06</x:v>
      </x:c>
      <x:c r="T72" s="12" t="n">
        <x:v>200</x:v>
      </x:c>
      <x:c r="U72" s="12" t="str">
        <x:v>aFRRUp_2025-01-01T13:00:00Z</x:v>
      </x:c>
      <x:c r="V72" s="12" t="str">
        <x:v>tenderStatistics_2025-01@c14c9dea784d</x:v>
      </x:c>
      <x:c r="W72" s="12" t="n">
        <x:v>13.831647936310086</x:v>
      </x:c>
      <x:c r="X72" s="12" t="str">
        <x:v>PUBLISHED_PROXY</x:v>
      </x:c>
      <x:c r="Y72" s="12" t="n">
        <x:v>200</x:v>
      </x:c>
      <x:c r="Z72" s="12" t="str">
        <x:v>aFRRDown_2025-01-01T13:00:00Z</x:v>
      </x:c>
      <x:c r="AA72" s="12" t="str">
        <x:v>tenderStatistics_2025-01@c14c9dea784d</x:v>
      </x:c>
      <x:c r="AB72" s="12" t="n">
        <x:v>14.710198829939085</x:v>
      </x:c>
      <x:c r="AC72" s="12" t="str">
        <x:v>PUBLISHED_PROXY</x:v>
      </x:c>
      <x:c r="AD72" s="12"/>
      <x:c r="AE72" s="12" t="str">
        <x:v>SOURCE_NULL_NOT_MODELED</x:v>
      </x:c>
      <x:c r="AF72" s="12"/>
      <x:c r="AG72" s="12" t="n">
        <x:v>216.88707504875254</x:v>
      </x:c>
      <x:c r="AH72" s="12" t="str">
        <x:v>PUBLISHED_PROXY</x:v>
      </x:c>
      <x:c r="AI72" s="12" t="n">
        <x:v>39.44</x:v>
      </x:c>
      <x:c r="AJ72" s="12" t="n">
        <x:v>0</x:v>
      </x:c>
      <x:c r="AK72" s="12" t="str">
        <x:v>PUBLISHED_PROXY</x:v>
      </x:c>
      <x:c r="AL72" s="12" t="n">
        <x:v>0</x:v>
      </x:c>
      <x:c r="AM72" s="12" t="str">
        <x:v>marginalPricesOverview_2025-01@5b9daf9d82d7</x:v>
      </x:c>
      <x:c r="AN72" s="12" t="str">
        <x:v>activatedBalancingEnergyOverview_2025-01@4135ac664b2a</x:v>
      </x:c>
      <x:c r="AO72" s="12" t="str">
        <x:v>PUBLISHED_NATIVE</x:v>
      </x:c>
      <x:c r="AP72" s="12" t="n">
        <x:v>0.7888</x:v>
      </x:c>
      <x:c r="AQ72" s="12" t="n">
        <x:v>0</x:v>
      </x:c>
      <x:c r="AR72" s="12" t="n">
        <x:v>0.7888</x:v>
      </x:c>
      <x:c r="AS72" s="13" t="b">
        <x:v>1</x:v>
      </x:c>
      <x:c r="AT72" s="13" t="b">
        <x:v>1</x:v>
      </x:c>
      <x:c r="AU72" s="13" t="b">
        <x:v>1</x:v>
      </x:c>
      <x:c r="AV72" s="13" t="b">
        <x:v>1</x:v>
      </x:c>
      <x:c r="AW72" s="13" t="b">
        <x:v>1</x:v>
      </x:c>
      <x:c r="AX72" s="13" t="b">
        <x:v>0</x:v>
      </x:c>
      <x:c r="AY72" s="13" t="b">
        <x:v>0</x:v>
      </x:c>
      <x:c r="AZ72" s="13" t="b">
        <x:v>1</x:v>
      </x:c>
      <x:c r="BA72" s="12" t="str">
        <x:v>OK</x:v>
      </x:c>
      <x:c r="BB72" s="12" t="str">
        <x:v>OK</x:v>
      </x:c>
      <x:c r="BC72" s="12" t="str">
        <x:v>EUR</x:v>
      </x:c>
      <x:c r="BD72" s="12" t="n">
        <x:v>10</x:v>
      </x:c>
      <x:c r="BE72" s="12" t="n">
        <x:v>10</x:v>
      </x:c>
      <x:c r="BF72" s="12" t="n">
        <x:v>0</x:v>
      </x:c>
      <x:c r="BG72" s="12" t="n">
        <x:v>0</x:v>
      </x:c>
      <x:c r="BH72" s="12" t="n">
        <x:v>0</x:v>
      </x:c>
      <x:c r="BI72" s="12" t="n">
        <x:v>0</x:v>
      </x:c>
      <x:c r="BJ72" s="12" t="n">
        <x:v>0</x:v>
      </x:c>
      <x:c r="BK72" s="12" t="n">
        <x:v>0</x:v>
      </x:c>
      <x:c r="BL72" s="12" t="n">
        <x:v>0</x:v>
      </x:c>
      <x:c r="BM72" s="12" t="n">
        <x:v>0</x:v>
      </x:c>
      <x:c r="BN72" s="12" t="n">
        <x:v>0</x:v>
      </x:c>
      <x:c r="BO72" s="12" t="n">
        <x:v>0</x:v>
      </x:c>
      <x:c r="BP72" s="12" t="n">
        <x:v>0</x:v>
      </x:c>
      <x:c r="BQ72" s="12" t="n">
        <x:v>0</x:v>
      </x:c>
      <x:c r="BR72" s="12" t="n">
        <x:v>0</x:v>
      </x:c>
      <x:c r="BS72" s="12" t="n">
        <x:v>0</x:v>
      </x:c>
    </x:row>
    <x:row r="73" ht="21" customHeight="1">
      <x:c r="A73" s="14" t="n">
        <x:v>45658.583333333336</x:v>
      </x:c>
      <x:c r="B73" s="14" t="n">
        <x:v>45658.59375</x:v>
      </x:c>
      <x:c r="C73" s="14" t="n">
        <x:v>45658.666666666664</x:v>
      </x:c>
      <x:c r="D73" s="15" t="n">
        <x:v>45658</x:v>
      </x:c>
      <x:c r="E73" s="12" t="n">
        <x:v>0.25</x:v>
      </x:c>
      <x:c r="F73" s="12" t="str">
        <x:v>FORMAL</x:v>
      </x:c>
      <x:c r="G73" s="14" t="n">
        <x:v>45658.583333333336</x:v>
      </x:c>
      <x:c r="H73" s="12" t="n">
        <x:v>90.51</x:v>
      </x:c>
      <x:c r="I73" s="12" t="str">
        <x:v>2025-01-01_16</x:v>
      </x:c>
      <x:c r="J73" s="12" t="n">
        <x:v>60</x:v>
      </x:c>
      <x:c r="K73" s="12" t="str">
        <x:v>DA_2025-01-01@80c3f1a8e3ee</x:v>
      </x:c>
      <x:c r="L73" s="15" t="n">
        <x:v>45657</x:v>
      </x:c>
      <x:c r="M73" s="12" t="n">
        <x:v>4.9741</x:v>
      </x:c>
      <x:c r="N73" s="12" t="str">
        <x:v>BNR2024_BOUNDARY@c4397e7f9c31</x:v>
      </x:c>
      <x:c r="O73" s="12"/>
      <x:c r="P73" s="12"/>
      <x:c r="Q73" s="12"/>
      <x:c r="R73" s="12"/>
      <x:c r="S73" s="12" t="str">
        <x:v>OUT_OF_RESEARCH_COVERAGE_PRE_2025_06</x:v>
      </x:c>
      <x:c r="T73" s="12" t="n">
        <x:v>200</x:v>
      </x:c>
      <x:c r="U73" s="12" t="str">
        <x:v>aFRRUp_2025-01-01T14:00:00Z</x:v>
      </x:c>
      <x:c r="V73" s="12" t="str">
        <x:v>tenderStatistics_2025-01@c14c9dea784d</x:v>
      </x:c>
      <x:c r="W73" s="12" t="n">
        <x:v>13.831647936310086</x:v>
      </x:c>
      <x:c r="X73" s="12" t="str">
        <x:v>PUBLISHED_PROXY</x:v>
      </x:c>
      <x:c r="Y73" s="12" t="n">
        <x:v>200</x:v>
      </x:c>
      <x:c r="Z73" s="12" t="str">
        <x:v>aFRRDown_2025-01-01T14:00:00Z</x:v>
      </x:c>
      <x:c r="AA73" s="12" t="str">
        <x:v>tenderStatistics_2025-01@c14c9dea784d</x:v>
      </x:c>
      <x:c r="AB73" s="12" t="n">
        <x:v>14.710198829939085</x:v>
      </x:c>
      <x:c r="AC73" s="12" t="str">
        <x:v>PUBLISHED_PROXY</x:v>
      </x:c>
      <x:c r="AD73" s="12"/>
      <x:c r="AE73" s="12" t="str">
        <x:v>SOURCE_NULL_NOT_MODELED</x:v>
      </x:c>
      <x:c r="AF73" s="12"/>
      <x:c r="AG73" s="12" t="n">
        <x:v>176.35109869122053</x:v>
      </x:c>
      <x:c r="AH73" s="12" t="str">
        <x:v>PUBLISHED_PROXY</x:v>
      </x:c>
      <x:c r="AI73" s="12" t="n">
        <x:v>3.71</x:v>
      </x:c>
      <x:c r="AJ73" s="12" t="n">
        <x:v>5.201342956514746</x:v>
      </x:c>
      <x:c r="AK73" s="12" t="str">
        <x:v>PUBLISHED_PROXY</x:v>
      </x:c>
      <x:c r="AL73" s="12" t="n">
        <x:v>11.742</x:v>
      </x:c>
      <x:c r="AM73" s="12" t="str">
        <x:v>marginalPricesOverview_2025-01@5b9daf9d82d7</x:v>
      </x:c>
      <x:c r="AN73" s="12" t="str">
        <x:v>activatedBalancingEnergyOverview_2025-01@4135ac664b2a</x:v>
      </x:c>
      <x:c r="AO73" s="12" t="str">
        <x:v>PUBLISHED_NATIVE</x:v>
      </x:c>
      <x:c r="AP73" s="12" t="n">
        <x:v>0.0742</x:v>
      </x:c>
      <x:c r="AQ73" s="12" t="n">
        <x:v>0.23484</x:v>
      </x:c>
      <x:c r="AR73" s="12" t="n">
        <x:v>0.30904</x:v>
      </x:c>
      <x:c r="AS73" s="13" t="b">
        <x:v>1</x:v>
      </x:c>
      <x:c r="AT73" s="13" t="b">
        <x:v>1</x:v>
      </x:c>
      <x:c r="AU73" s="13" t="b">
        <x:v>1</x:v>
      </x:c>
      <x:c r="AV73" s="13" t="b">
        <x:v>1</x:v>
      </x:c>
      <x:c r="AW73" s="13" t="b">
        <x:v>1</x:v>
      </x:c>
      <x:c r="AX73" s="13" t="b">
        <x:v>0</x:v>
      </x:c>
      <x:c r="AY73" s="13" t="b">
        <x:v>0</x:v>
      </x:c>
      <x:c r="AZ73" s="13" t="b">
        <x:v>1</x:v>
      </x:c>
      <x:c r="BA73" s="12" t="str">
        <x:v>OK</x:v>
      </x:c>
      <x:c r="BB73" s="12" t="str">
        <x:v>OK</x:v>
      </x:c>
      <x:c r="BC73" s="12" t="str">
        <x:v>EUR</x:v>
      </x:c>
      <x:c r="BD73" s="12" t="n">
        <x:v>10</x:v>
      </x:c>
      <x:c r="BE73" s="12" t="n">
        <x:v>10</x:v>
      </x:c>
      <x:c r="BF73" s="12" t="n">
        <x:v>0</x:v>
      </x:c>
      <x:c r="BG73" s="12" t="n">
        <x:v>0</x:v>
      </x:c>
      <x:c r="BH73" s="12" t="n">
        <x:v>0</x:v>
      </x:c>
      <x:c r="BI73" s="12" t="n">
        <x:v>0</x:v>
      </x:c>
      <x:c r="BJ73" s="12" t="n">
        <x:v>0</x:v>
      </x:c>
      <x:c r="BK73" s="12" t="n">
        <x:v>0</x:v>
      </x:c>
      <x:c r="BL73" s="12" t="n">
        <x:v>0</x:v>
      </x:c>
      <x:c r="BM73" s="12" t="n">
        <x:v>0</x:v>
      </x:c>
      <x:c r="BN73" s="12" t="n">
        <x:v>0</x:v>
      </x:c>
      <x:c r="BO73" s="12" t="n">
        <x:v>0</x:v>
      </x:c>
      <x:c r="BP73" s="12" t="n">
        <x:v>0</x:v>
      </x:c>
      <x:c r="BQ73" s="12" t="n">
        <x:v>0</x:v>
      </x:c>
      <x:c r="BR73" s="12" t="n">
        <x:v>0</x:v>
      </x:c>
      <x:c r="BS73" s="12" t="n">
        <x:v>0</x:v>
      </x:c>
    </x:row>
    <x:row r="74" ht="21" customHeight="1">
      <x:c r="A74" s="14" t="n">
        <x:v>45658.59375</x:v>
      </x:c>
      <x:c r="B74" s="14" t="n">
        <x:v>45658.604166666664</x:v>
      </x:c>
      <x:c r="C74" s="14" t="n">
        <x:v>45658.677083333336</x:v>
      </x:c>
      <x:c r="D74" s="15" t="n">
        <x:v>45658</x:v>
      </x:c>
      <x:c r="E74" s="12" t="n">
        <x:v>0.25</x:v>
      </x:c>
      <x:c r="F74" s="12" t="str">
        <x:v>FORMAL</x:v>
      </x:c>
      <x:c r="G74" s="14" t="n">
        <x:v>45658.583333333336</x:v>
      </x:c>
      <x:c r="H74" s="12" t="n">
        <x:v>90.51</x:v>
      </x:c>
      <x:c r="I74" s="12" t="str">
        <x:v>2025-01-01_16</x:v>
      </x:c>
      <x:c r="J74" s="12" t="n">
        <x:v>60</x:v>
      </x:c>
      <x:c r="K74" s="12" t="str">
        <x:v>DA_2025-01-01@80c3f1a8e3ee</x:v>
      </x:c>
      <x:c r="L74" s="15" t="n">
        <x:v>45657</x:v>
      </x:c>
      <x:c r="M74" s="12" t="n">
        <x:v>4.9741</x:v>
      </x:c>
      <x:c r="N74" s="12" t="str">
        <x:v>BNR2024_BOUNDARY@c4397e7f9c31</x:v>
      </x:c>
      <x:c r="O74" s="12"/>
      <x:c r="P74" s="12"/>
      <x:c r="Q74" s="12"/>
      <x:c r="R74" s="12"/>
      <x:c r="S74" s="12" t="str">
        <x:v>OUT_OF_RESEARCH_COVERAGE_PRE_2025_06</x:v>
      </x:c>
      <x:c r="T74" s="12" t="n">
        <x:v>200</x:v>
      </x:c>
      <x:c r="U74" s="12" t="str">
        <x:v>aFRRUp_2025-01-01T14:00:00Z</x:v>
      </x:c>
      <x:c r="V74" s="12" t="str">
        <x:v>tenderStatistics_2025-01@c14c9dea784d</x:v>
      </x:c>
      <x:c r="W74" s="12" t="n">
        <x:v>13.831647936310086</x:v>
      </x:c>
      <x:c r="X74" s="12" t="str">
        <x:v>PUBLISHED_PROXY</x:v>
      </x:c>
      <x:c r="Y74" s="12" t="n">
        <x:v>200</x:v>
      </x:c>
      <x:c r="Z74" s="12" t="str">
        <x:v>aFRRDown_2025-01-01T14:00:00Z</x:v>
      </x:c>
      <x:c r="AA74" s="12" t="str">
        <x:v>tenderStatistics_2025-01@c14c9dea784d</x:v>
      </x:c>
      <x:c r="AB74" s="12" t="n">
        <x:v>14.710198829939085</x:v>
      </x:c>
      <x:c r="AC74" s="12" t="str">
        <x:v>PUBLISHED_PROXY</x:v>
      </x:c>
      <x:c r="AD74" s="12"/>
      <x:c r="AE74" s="12" t="str">
        <x:v>SOURCE_NULL_NOT_MODELED</x:v>
      </x:c>
      <x:c r="AF74" s="12"/>
      <x:c r="AG74" s="12" t="n">
        <x:v>0</x:v>
      </x:c>
      <x:c r="AH74" s="12" t="str">
        <x:v>PUBLISHED_PROXY</x:v>
      </x:c>
      <x:c r="AI74" s="12" t="n">
        <x:v>0</x:v>
      </x:c>
      <x:c r="AJ74" s="12" t="n">
        <x:v>20.681128244305505</x:v>
      </x:c>
      <x:c r="AK74" s="12" t="str">
        <x:v>PUBLISHED_PROXY</x:v>
      </x:c>
      <x:c r="AL74" s="12" t="n">
        <x:v>5.791</x:v>
      </x:c>
      <x:c r="AM74" s="12" t="str">
        <x:v>marginalPricesOverview_2025-01@5b9daf9d82d7</x:v>
      </x:c>
      <x:c r="AN74" s="12" t="str">
        <x:v>activatedBalancingEnergyOverview_2025-01@4135ac664b2a</x:v>
      </x:c>
      <x:c r="AO74" s="12" t="str">
        <x:v>PUBLISHED_NATIVE</x:v>
      </x:c>
      <x:c r="AP74" s="12" t="n">
        <x:v>0</x:v>
      </x:c>
      <x:c r="AQ74" s="12" t="n">
        <x:v>0.11582</x:v>
      </x:c>
      <x:c r="AR74" s="12" t="n">
        <x:v>0.11582</x:v>
      </x:c>
      <x:c r="AS74" s="13" t="b">
        <x:v>1</x:v>
      </x:c>
      <x:c r="AT74" s="13" t="b">
        <x:v>1</x:v>
      </x:c>
      <x:c r="AU74" s="13" t="b">
        <x:v>1</x:v>
      </x:c>
      <x:c r="AV74" s="13" t="b">
        <x:v>1</x:v>
      </x:c>
      <x:c r="AW74" s="13" t="b">
        <x:v>1</x:v>
      </x:c>
      <x:c r="AX74" s="13" t="b">
        <x:v>0</x:v>
      </x:c>
      <x:c r="AY74" s="13" t="b">
        <x:v>0</x:v>
      </x:c>
      <x:c r="AZ74" s="13" t="b">
        <x:v>1</x:v>
      </x:c>
      <x:c r="BA74" s="12" t="str">
        <x:v>OK</x:v>
      </x:c>
      <x:c r="BB74" s="12" t="str">
        <x:v>OK</x:v>
      </x:c>
      <x:c r="BC74" s="12" t="str">
        <x:v>EUR</x:v>
      </x:c>
      <x:c r="BD74" s="12" t="n">
        <x:v>10</x:v>
      </x:c>
      <x:c r="BE74" s="12" t="n">
        <x:v>10</x:v>
      </x:c>
      <x:c r="BF74" s="12" t="n">
        <x:v>0</x:v>
      </x:c>
      <x:c r="BG74" s="12" t="n">
        <x:v>0</x:v>
      </x:c>
      <x:c r="BH74" s="12" t="n">
        <x:v>0</x:v>
      </x:c>
      <x:c r="BI74" s="12" t="n">
        <x:v>0</x:v>
      </x:c>
      <x:c r="BJ74" s="12" t="n">
        <x:v>0</x:v>
      </x:c>
      <x:c r="BK74" s="12" t="n">
        <x:v>0</x:v>
      </x:c>
      <x:c r="BL74" s="12" t="n">
        <x:v>0</x:v>
      </x:c>
      <x:c r="BM74" s="12" t="n">
        <x:v>0</x:v>
      </x:c>
      <x:c r="BN74" s="12" t="n">
        <x:v>0</x:v>
      </x:c>
      <x:c r="BO74" s="12" t="n">
        <x:v>0</x:v>
      </x:c>
      <x:c r="BP74" s="12" t="n">
        <x:v>0</x:v>
      </x:c>
      <x:c r="BQ74" s="12" t="n">
        <x:v>0</x:v>
      </x:c>
      <x:c r="BR74" s="12" t="n">
        <x:v>0</x:v>
      </x:c>
      <x:c r="BS74" s="12" t="n">
        <x:v>0</x:v>
      </x:c>
    </x:row>
    <x:row r="75" ht="21" customHeight="1">
      <x:c r="A75" s="14" t="n">
        <x:v>45658.604166666664</x:v>
      </x:c>
      <x:c r="B75" s="14" t="n">
        <x:v>45658.614583333336</x:v>
      </x:c>
      <x:c r="C75" s="14" t="n">
        <x:v>45658.6875</x:v>
      </x:c>
      <x:c r="D75" s="15" t="n">
        <x:v>45658</x:v>
      </x:c>
      <x:c r="E75" s="12" t="n">
        <x:v>0.25</x:v>
      </x:c>
      <x:c r="F75" s="12" t="str">
        <x:v>FORMAL</x:v>
      </x:c>
      <x:c r="G75" s="14" t="n">
        <x:v>45658.583333333336</x:v>
      </x:c>
      <x:c r="H75" s="12" t="n">
        <x:v>90.51</x:v>
      </x:c>
      <x:c r="I75" s="12" t="str">
        <x:v>2025-01-01_16</x:v>
      </x:c>
      <x:c r="J75" s="12" t="n">
        <x:v>60</x:v>
      </x:c>
      <x:c r="K75" s="12" t="str">
        <x:v>DA_2025-01-01@80c3f1a8e3ee</x:v>
      </x:c>
      <x:c r="L75" s="15" t="n">
        <x:v>45657</x:v>
      </x:c>
      <x:c r="M75" s="12" t="n">
        <x:v>4.9741</x:v>
      </x:c>
      <x:c r="N75" s="12" t="str">
        <x:v>BNR2024_BOUNDARY@c4397e7f9c31</x:v>
      </x:c>
      <x:c r="O75" s="12"/>
      <x:c r="P75" s="12"/>
      <x:c r="Q75" s="12"/>
      <x:c r="R75" s="12"/>
      <x:c r="S75" s="12" t="str">
        <x:v>OUT_OF_RESEARCH_COVERAGE_PRE_2025_06</x:v>
      </x:c>
      <x:c r="T75" s="12" t="n">
        <x:v>200</x:v>
      </x:c>
      <x:c r="U75" s="12" t="str">
        <x:v>aFRRUp_2025-01-01T14:00:00Z</x:v>
      </x:c>
      <x:c r="V75" s="12" t="str">
        <x:v>tenderStatistics_2025-01@c14c9dea784d</x:v>
      </x:c>
      <x:c r="W75" s="12" t="n">
        <x:v>13.831647936310086</x:v>
      </x:c>
      <x:c r="X75" s="12" t="str">
        <x:v>PUBLISHED_PROXY</x:v>
      </x:c>
      <x:c r="Y75" s="12" t="n">
        <x:v>200</x:v>
      </x:c>
      <x:c r="Z75" s="12" t="str">
        <x:v>aFRRDown_2025-01-01T14:00:00Z</x:v>
      </x:c>
      <x:c r="AA75" s="12" t="str">
        <x:v>tenderStatistics_2025-01@c14c9dea784d</x:v>
      </x:c>
      <x:c r="AB75" s="12" t="n">
        <x:v>14.710198829939085</x:v>
      </x:c>
      <x:c r="AC75" s="12" t="str">
        <x:v>PUBLISHED_PROXY</x:v>
      </x:c>
      <x:c r="AD75" s="12"/>
      <x:c r="AE75" s="12" t="str">
        <x:v>SOURCE_NULL_NOT_MODELED</x:v>
      </x:c>
      <x:c r="AF75" s="12"/>
      <x:c r="AG75" s="12" t="n">
        <x:v>136.70814820771596</x:v>
      </x:c>
      <x:c r="AH75" s="12" t="str">
        <x:v>PUBLISHED_PROXY</x:v>
      </x:c>
      <x:c r="AI75" s="12" t="n">
        <x:v>0.003</x:v>
      </x:c>
      <x:c r="AJ75" s="12" t="n">
        <x:v>53.78058342212661</x:v>
      </x:c>
      <x:c r="AK75" s="12" t="str">
        <x:v>PUBLISHED_PROXY</x:v>
      </x:c>
      <x:c r="AL75" s="12" t="n">
        <x:v>1.076</x:v>
      </x:c>
      <x:c r="AM75" s="12" t="str">
        <x:v>marginalPricesOverview_2025-01@5b9daf9d82d7</x:v>
      </x:c>
      <x:c r="AN75" s="12" t="str">
        <x:v>activatedBalancingEnergyOverview_2025-01@4135ac664b2a</x:v>
      </x:c>
      <x:c r="AO75" s="12" t="str">
        <x:v>PUBLISHED_NATIVE</x:v>
      </x:c>
      <x:c r="AP75" s="12" t="n">
        <x:v>0.00006</x:v>
      </x:c>
      <x:c r="AQ75" s="12" t="n">
        <x:v>0.02152</x:v>
      </x:c>
      <x:c r="AR75" s="12" t="n">
        <x:v>0.02158</x:v>
      </x:c>
      <x:c r="AS75" s="13" t="b">
        <x:v>1</x:v>
      </x:c>
      <x:c r="AT75" s="13" t="b">
        <x:v>1</x:v>
      </x:c>
      <x:c r="AU75" s="13" t="b">
        <x:v>1</x:v>
      </x:c>
      <x:c r="AV75" s="13" t="b">
        <x:v>1</x:v>
      </x:c>
      <x:c r="AW75" s="13" t="b">
        <x:v>1</x:v>
      </x:c>
      <x:c r="AX75" s="13" t="b">
        <x:v>0</x:v>
      </x:c>
      <x:c r="AY75" s="13" t="b">
        <x:v>0</x:v>
      </x:c>
      <x:c r="AZ75" s="13" t="b">
        <x:v>1</x:v>
      </x:c>
      <x:c r="BA75" s="12" t="str">
        <x:v>OK</x:v>
      </x:c>
      <x:c r="BB75" s="12" t="str">
        <x:v>OK</x:v>
      </x:c>
      <x:c r="BC75" s="12" t="str">
        <x:v>EUR</x:v>
      </x:c>
      <x:c r="BD75" s="12" t="n">
        <x:v>10</x:v>
      </x:c>
      <x:c r="BE75" s="12" t="n">
        <x:v>10</x:v>
      </x:c>
      <x:c r="BF75" s="12" t="n">
        <x:v>0</x:v>
      </x:c>
      <x:c r="BG75" s="12" t="n">
        <x:v>0</x:v>
      </x:c>
      <x:c r="BH75" s="12" t="n">
        <x:v>0</x:v>
      </x:c>
      <x:c r="BI75" s="12" t="n">
        <x:v>0</x:v>
      </x:c>
      <x:c r="BJ75" s="12" t="n">
        <x:v>0</x:v>
      </x:c>
      <x:c r="BK75" s="12" t="n">
        <x:v>0</x:v>
      </x:c>
      <x:c r="BL75" s="12" t="n">
        <x:v>0</x:v>
      </x:c>
      <x:c r="BM75" s="12" t="n">
        <x:v>0</x:v>
      </x:c>
      <x:c r="BN75" s="12" t="n">
        <x:v>0</x:v>
      </x:c>
      <x:c r="BO75" s="12" t="n">
        <x:v>0</x:v>
      </x:c>
      <x:c r="BP75" s="12" t="n">
        <x:v>0</x:v>
      </x:c>
      <x:c r="BQ75" s="12" t="n">
        <x:v>0</x:v>
      </x:c>
      <x:c r="BR75" s="12" t="n">
        <x:v>0</x:v>
      </x:c>
      <x:c r="BS75" s="12" t="n">
        <x:v>0</x:v>
      </x:c>
    </x:row>
    <x:row r="76" ht="21" customHeight="1">
      <x:c r="A76" s="14" t="n">
        <x:v>45658.614583333336</x:v>
      </x:c>
      <x:c r="B76" s="14" t="n">
        <x:v>45658.625</x:v>
      </x:c>
      <x:c r="C76" s="14" t="n">
        <x:v>45658.697916666664</x:v>
      </x:c>
      <x:c r="D76" s="15" t="n">
        <x:v>45658</x:v>
      </x:c>
      <x:c r="E76" s="12" t="n">
        <x:v>0.25</x:v>
      </x:c>
      <x:c r="F76" s="12" t="str">
        <x:v>FORMAL</x:v>
      </x:c>
      <x:c r="G76" s="14" t="n">
        <x:v>45658.583333333336</x:v>
      </x:c>
      <x:c r="H76" s="12" t="n">
        <x:v>90.51</x:v>
      </x:c>
      <x:c r="I76" s="12" t="str">
        <x:v>2025-01-01_16</x:v>
      </x:c>
      <x:c r="J76" s="12" t="n">
        <x:v>60</x:v>
      </x:c>
      <x:c r="K76" s="12" t="str">
        <x:v>DA_2025-01-01@80c3f1a8e3ee</x:v>
      </x:c>
      <x:c r="L76" s="15" t="n">
        <x:v>45657</x:v>
      </x:c>
      <x:c r="M76" s="12" t="n">
        <x:v>4.9741</x:v>
      </x:c>
      <x:c r="N76" s="12" t="str">
        <x:v>BNR2024_BOUNDARY@c4397e7f9c31</x:v>
      </x:c>
      <x:c r="O76" s="12"/>
      <x:c r="P76" s="12"/>
      <x:c r="Q76" s="12"/>
      <x:c r="R76" s="12"/>
      <x:c r="S76" s="12" t="str">
        <x:v>OUT_OF_RESEARCH_COVERAGE_PRE_2025_06</x:v>
      </x:c>
      <x:c r="T76" s="12" t="n">
        <x:v>200</x:v>
      </x:c>
      <x:c r="U76" s="12" t="str">
        <x:v>aFRRUp_2025-01-01T14:00:00Z</x:v>
      </x:c>
      <x:c r="V76" s="12" t="str">
        <x:v>tenderStatistics_2025-01@c14c9dea784d</x:v>
      </x:c>
      <x:c r="W76" s="12" t="n">
        <x:v>13.831647936310086</x:v>
      </x:c>
      <x:c r="X76" s="12" t="str">
        <x:v>PUBLISHED_PROXY</x:v>
      </x:c>
      <x:c r="Y76" s="12" t="n">
        <x:v>200</x:v>
      </x:c>
      <x:c r="Z76" s="12" t="str">
        <x:v>aFRRDown_2025-01-01T14:00:00Z</x:v>
      </x:c>
      <x:c r="AA76" s="12" t="str">
        <x:v>tenderStatistics_2025-01@c14c9dea784d</x:v>
      </x:c>
      <x:c r="AB76" s="12" t="n">
        <x:v>14.710198829939085</x:v>
      </x:c>
      <x:c r="AC76" s="12" t="str">
        <x:v>PUBLISHED_PROXY</x:v>
      </x:c>
      <x:c r="AD76" s="12"/>
      <x:c r="AE76" s="12" t="str">
        <x:v>SOURCE_NULL_NOT_MODELED</x:v>
      </x:c>
      <x:c r="AF76" s="12"/>
      <x:c r="AG76" s="12" t="n">
        <x:v>179.02977423051405</x:v>
      </x:c>
      <x:c r="AH76" s="12" t="str">
        <x:v>PUBLISHED_PROXY</x:v>
      </x:c>
      <x:c r="AI76" s="12" t="n">
        <x:v>12.348</x:v>
      </x:c>
      <x:c r="AJ76" s="12" t="n">
        <x:v>58.50304577712551</x:v>
      </x:c>
      <x:c r="AK76" s="12" t="str">
        <x:v>PUBLISHED_PROXY</x:v>
      </x:c>
      <x:c r="AL76" s="12" t="n">
        <x:v>0.017</x:v>
      </x:c>
      <x:c r="AM76" s="12" t="str">
        <x:v>marginalPricesOverview_2025-01@5b9daf9d82d7</x:v>
      </x:c>
      <x:c r="AN76" s="12" t="str">
        <x:v>activatedBalancingEnergyOverview_2025-01@4135ac664b2a</x:v>
      </x:c>
      <x:c r="AO76" s="12" t="str">
        <x:v>PUBLISHED_NATIVE</x:v>
      </x:c>
      <x:c r="AP76" s="12" t="n">
        <x:v>0.24696</x:v>
      </x:c>
      <x:c r="AQ76" s="12" t="n">
        <x:v>0.00034</x:v>
      </x:c>
      <x:c r="AR76" s="12" t="n">
        <x:v>0.2473</x:v>
      </x:c>
      <x:c r="AS76" s="13" t="b">
        <x:v>1</x:v>
      </x:c>
      <x:c r="AT76" s="13" t="b">
        <x:v>1</x:v>
      </x:c>
      <x:c r="AU76" s="13" t="b">
        <x:v>1</x:v>
      </x:c>
      <x:c r="AV76" s="13" t="b">
        <x:v>1</x:v>
      </x:c>
      <x:c r="AW76" s="13" t="b">
        <x:v>1</x:v>
      </x:c>
      <x:c r="AX76" s="13" t="b">
        <x:v>0</x:v>
      </x:c>
      <x:c r="AY76" s="13" t="b">
        <x:v>0</x:v>
      </x:c>
      <x:c r="AZ76" s="13" t="b">
        <x:v>1</x:v>
      </x:c>
      <x:c r="BA76" s="12" t="str">
        <x:v>OK</x:v>
      </x:c>
      <x:c r="BB76" s="12" t="str">
        <x:v>OK</x:v>
      </x:c>
      <x:c r="BC76" s="12" t="str">
        <x:v>EUR</x:v>
      </x:c>
      <x:c r="BD76" s="12" t="n">
        <x:v>10</x:v>
      </x:c>
      <x:c r="BE76" s="12" t="n">
        <x:v>10</x:v>
      </x:c>
      <x:c r="BF76" s="12" t="n">
        <x:v>0</x:v>
      </x:c>
      <x:c r="BG76" s="12" t="n">
        <x:v>0</x:v>
      </x:c>
      <x:c r="BH76" s="12" t="n">
        <x:v>0</x:v>
      </x:c>
      <x:c r="BI76" s="12" t="n">
        <x:v>0</x:v>
      </x:c>
      <x:c r="BJ76" s="12" t="n">
        <x:v>0</x:v>
      </x:c>
      <x:c r="BK76" s="12" t="n">
        <x:v>0</x:v>
      </x:c>
      <x:c r="BL76" s="12" t="n">
        <x:v>0</x:v>
      </x:c>
      <x:c r="BM76" s="12" t="n">
        <x:v>0</x:v>
      </x:c>
      <x:c r="BN76" s="12" t="n">
        <x:v>0</x:v>
      </x:c>
      <x:c r="BO76" s="12" t="n">
        <x:v>0</x:v>
      </x:c>
      <x:c r="BP76" s="12" t="n">
        <x:v>0</x:v>
      </x:c>
      <x:c r="BQ76" s="12" t="n">
        <x:v>0</x:v>
      </x:c>
      <x:c r="BR76" s="12" t="n">
        <x:v>0</x:v>
      </x:c>
      <x:c r="BS76" s="12" t="n">
        <x:v>0</x:v>
      </x:c>
    </x:row>
    <x:row r="77" ht="21" customHeight="1">
      <x:c r="A77" s="14" t="n">
        <x:v>45658.625</x:v>
      </x:c>
      <x:c r="B77" s="14" t="n">
        <x:v>45658.635416666664</x:v>
      </x:c>
      <x:c r="C77" s="14" t="n">
        <x:v>45658.708333333336</x:v>
      </x:c>
      <x:c r="D77" s="15" t="n">
        <x:v>45658</x:v>
      </x:c>
      <x:c r="E77" s="12" t="n">
        <x:v>0.25</x:v>
      </x:c>
      <x:c r="F77" s="12" t="str">
        <x:v>FORMAL</x:v>
      </x:c>
      <x:c r="G77" s="14" t="n">
        <x:v>45658.625</x:v>
      </x:c>
      <x:c r="H77" s="12" t="n">
        <x:v>120.79</x:v>
      </x:c>
      <x:c r="I77" s="12" t="str">
        <x:v>2025-01-01_17</x:v>
      </x:c>
      <x:c r="J77" s="12" t="n">
        <x:v>60</x:v>
      </x:c>
      <x:c r="K77" s="12" t="str">
        <x:v>DA_2025-01-01@80c3f1a8e3ee</x:v>
      </x:c>
      <x:c r="L77" s="15" t="n">
        <x:v>45657</x:v>
      </x:c>
      <x:c r="M77" s="12" t="n">
        <x:v>4.9741</x:v>
      </x:c>
      <x:c r="N77" s="12" t="str">
        <x:v>BNR2024_BOUNDARY@c4397e7f9c31</x:v>
      </x:c>
      <x:c r="O77" s="12"/>
      <x:c r="P77" s="12"/>
      <x:c r="Q77" s="12"/>
      <x:c r="R77" s="12"/>
      <x:c r="S77" s="12" t="str">
        <x:v>OUT_OF_RESEARCH_COVERAGE_PRE_2025_06</x:v>
      </x:c>
      <x:c r="T77" s="12" t="n">
        <x:v>200</x:v>
      </x:c>
      <x:c r="U77" s="12" t="str">
        <x:v>aFRRUp_2025-01-01T15:00:00Z</x:v>
      </x:c>
      <x:c r="V77" s="12" t="str">
        <x:v>tenderStatistics_2025-01@c14c9dea784d</x:v>
      </x:c>
      <x:c r="W77" s="12" t="n">
        <x:v>13.831647936310086</x:v>
      </x:c>
      <x:c r="X77" s="12" t="str">
        <x:v>PUBLISHED_PROXY</x:v>
      </x:c>
      <x:c r="Y77" s="12" t="n">
        <x:v>200</x:v>
      </x:c>
      <x:c r="Z77" s="12" t="str">
        <x:v>aFRRDown_2025-01-01T15:00:00Z</x:v>
      </x:c>
      <x:c r="AA77" s="12" t="str">
        <x:v>tenderStatistics_2025-01@c14c9dea784d</x:v>
      </x:c>
      <x:c r="AB77" s="12" t="n">
        <x:v>14.676021792887155</x:v>
      </x:c>
      <x:c r="AC77" s="12" t="str">
        <x:v>PUBLISHED_PROXY</x:v>
      </x:c>
      <x:c r="AD77" s="12"/>
      <x:c r="AE77" s="12" t="str">
        <x:v>SOURCE_NULL_NOT_MODELED</x:v>
      </x:c>
      <x:c r="AF77" s="12"/>
      <x:c r="AG77" s="12" t="n">
        <x:v>175.82577752759295</x:v>
      </x:c>
      <x:c r="AH77" s="12" t="str">
        <x:v>PUBLISHED_PROXY</x:v>
      </x:c>
      <x:c r="AI77" s="12" t="n">
        <x:v>1.759</x:v>
      </x:c>
      <x:c r="AJ77" s="12" t="n">
        <x:v>43.2315393739571</x:v>
      </x:c>
      <x:c r="AK77" s="12" t="str">
        <x:v>PUBLISHED_PROXY</x:v>
      </x:c>
      <x:c r="AL77" s="12" t="n">
        <x:v>0.345</x:v>
      </x:c>
      <x:c r="AM77" s="12" t="str">
        <x:v>marginalPricesOverview_2025-01@5b9daf9d82d7</x:v>
      </x:c>
      <x:c r="AN77" s="12" t="str">
        <x:v>activatedBalancingEnergyOverview_2025-01@4135ac664b2a</x:v>
      </x:c>
      <x:c r="AO77" s="12" t="str">
        <x:v>PUBLISHED_NATIVE</x:v>
      </x:c>
      <x:c r="AP77" s="12" t="n">
        <x:v>0.0351799999999999</x:v>
      </x:c>
      <x:c r="AQ77" s="12" t="n">
        <x:v>0.0069</x:v>
      </x:c>
      <x:c r="AR77" s="12" t="n">
        <x:v>0.0420799999999999</x:v>
      </x:c>
      <x:c r="AS77" s="13" t="b">
        <x:v>1</x:v>
      </x:c>
      <x:c r="AT77" s="13" t="b">
        <x:v>1</x:v>
      </x:c>
      <x:c r="AU77" s="13" t="b">
        <x:v>1</x:v>
      </x:c>
      <x:c r="AV77" s="13" t="b">
        <x:v>1</x:v>
      </x:c>
      <x:c r="AW77" s="13" t="b">
        <x:v>1</x:v>
      </x:c>
      <x:c r="AX77" s="13" t="b">
        <x:v>0</x:v>
      </x:c>
      <x:c r="AY77" s="13" t="b">
        <x:v>0</x:v>
      </x:c>
      <x:c r="AZ77" s="13" t="b">
        <x:v>1</x:v>
      </x:c>
      <x:c r="BA77" s="12" t="str">
        <x:v>OK</x:v>
      </x:c>
      <x:c r="BB77" s="12" t="str">
        <x:v>OK</x:v>
      </x:c>
      <x:c r="BC77" s="12" t="str">
        <x:v>EUR</x:v>
      </x:c>
      <x:c r="BD77" s="12" t="n">
        <x:v>10</x:v>
      </x:c>
      <x:c r="BE77" s="12" t="n">
        <x:v>10</x:v>
      </x:c>
      <x:c r="BF77" s="12" t="n">
        <x:v>0</x:v>
      </x:c>
      <x:c r="BG77" s="12" t="n">
        <x:v>0</x:v>
      </x:c>
      <x:c r="BH77" s="12" t="n">
        <x:v>0</x:v>
      </x:c>
      <x:c r="BI77" s="12" t="n">
        <x:v>0</x:v>
      </x:c>
      <x:c r="BJ77" s="12" t="n">
        <x:v>0</x:v>
      </x:c>
      <x:c r="BK77" s="12" t="n">
        <x:v>0</x:v>
      </x:c>
      <x:c r="BL77" s="12" t="n">
        <x:v>0</x:v>
      </x:c>
      <x:c r="BM77" s="12" t="n">
        <x:v>0</x:v>
      </x:c>
      <x:c r="BN77" s="12" t="n">
        <x:v>0</x:v>
      </x:c>
      <x:c r="BO77" s="12" t="n">
        <x:v>0</x:v>
      </x:c>
      <x:c r="BP77" s="12" t="n">
        <x:v>0</x:v>
      </x:c>
      <x:c r="BQ77" s="12" t="n">
        <x:v>0</x:v>
      </x:c>
      <x:c r="BR77" s="12" t="n">
        <x:v>0</x:v>
      </x:c>
      <x:c r="BS77" s="12" t="n">
        <x:v>0</x:v>
      </x:c>
    </x:row>
    <x:row r="78" ht="21" customHeight="1">
      <x:c r="A78" s="14" t="n">
        <x:v>45658.635416666664</x:v>
      </x:c>
      <x:c r="B78" s="14" t="n">
        <x:v>45658.645833333336</x:v>
      </x:c>
      <x:c r="C78" s="14" t="n">
        <x:v>45658.71875</x:v>
      </x:c>
      <x:c r="D78" s="15" t="n">
        <x:v>45658</x:v>
      </x:c>
      <x:c r="E78" s="12" t="n">
        <x:v>0.25</x:v>
      </x:c>
      <x:c r="F78" s="12" t="str">
        <x:v>FORMAL</x:v>
      </x:c>
      <x:c r="G78" s="14" t="n">
        <x:v>45658.625</x:v>
      </x:c>
      <x:c r="H78" s="12" t="n">
        <x:v>120.79</x:v>
      </x:c>
      <x:c r="I78" s="12" t="str">
        <x:v>2025-01-01_17</x:v>
      </x:c>
      <x:c r="J78" s="12" t="n">
        <x:v>60</x:v>
      </x:c>
      <x:c r="K78" s="12" t="str">
        <x:v>DA_2025-01-01@80c3f1a8e3ee</x:v>
      </x:c>
      <x:c r="L78" s="15" t="n">
        <x:v>45657</x:v>
      </x:c>
      <x:c r="M78" s="12" t="n">
        <x:v>4.9741</x:v>
      </x:c>
      <x:c r="N78" s="12" t="str">
        <x:v>BNR2024_BOUNDARY@c4397e7f9c31</x:v>
      </x:c>
      <x:c r="O78" s="12"/>
      <x:c r="P78" s="12"/>
      <x:c r="Q78" s="12"/>
      <x:c r="R78" s="12"/>
      <x:c r="S78" s="12" t="str">
        <x:v>OUT_OF_RESEARCH_COVERAGE_PRE_2025_06</x:v>
      </x:c>
      <x:c r="T78" s="12" t="n">
        <x:v>200</x:v>
      </x:c>
      <x:c r="U78" s="12" t="str">
        <x:v>aFRRUp_2025-01-01T15:00:00Z</x:v>
      </x:c>
      <x:c r="V78" s="12" t="str">
        <x:v>tenderStatistics_2025-01@c14c9dea784d</x:v>
      </x:c>
      <x:c r="W78" s="12" t="n">
        <x:v>13.831647936310086</x:v>
      </x:c>
      <x:c r="X78" s="12" t="str">
        <x:v>PUBLISHED_PROXY</x:v>
      </x:c>
      <x:c r="Y78" s="12" t="n">
        <x:v>200</x:v>
      </x:c>
      <x:c r="Z78" s="12" t="str">
        <x:v>aFRRDown_2025-01-01T15:00:00Z</x:v>
      </x:c>
      <x:c r="AA78" s="12" t="str">
        <x:v>tenderStatistics_2025-01@c14c9dea784d</x:v>
      </x:c>
      <x:c r="AB78" s="12" t="n">
        <x:v>14.676021792887155</x:v>
      </x:c>
      <x:c r="AC78" s="12" t="str">
        <x:v>PUBLISHED_PROXY</x:v>
      </x:c>
      <x:c r="AD78" s="12"/>
      <x:c r="AE78" s="12" t="str">
        <x:v>SOURCE_NULL_NOT_MODELED</x:v>
      </x:c>
      <x:c r="AF78" s="12"/>
      <x:c r="AG78" s="12" t="n">
        <x:v>189.7137170543415</x:v>
      </x:c>
      <x:c r="AH78" s="12" t="str">
        <x:v>PUBLISHED_PROXY</x:v>
      </x:c>
      <x:c r="AI78" s="12" t="n">
        <x:v>6.193</x:v>
      </x:c>
      <x:c r="AJ78" s="12" t="n">
        <x:v>58.50304577712551</x:v>
      </x:c>
      <x:c r="AK78" s="12" t="str">
        <x:v>PUBLISHED_PROXY</x:v>
      </x:c>
      <x:c r="AL78" s="12" t="n">
        <x:v>0.004</x:v>
      </x:c>
      <x:c r="AM78" s="12" t="str">
        <x:v>marginalPricesOverview_2025-01@5b9daf9d82d7</x:v>
      </x:c>
      <x:c r="AN78" s="12" t="str">
        <x:v>activatedBalancingEnergyOverview_2025-01@4135ac664b2a</x:v>
      </x:c>
      <x:c r="AO78" s="12" t="str">
        <x:v>PUBLISHED_NATIVE</x:v>
      </x:c>
      <x:c r="AP78" s="12" t="n">
        <x:v>0.12386</x:v>
      </x:c>
      <x:c r="AQ78" s="12" t="n">
        <x:v>0.00008</x:v>
      </x:c>
      <x:c r="AR78" s="12" t="n">
        <x:v>0.12394</x:v>
      </x:c>
      <x:c r="AS78" s="13" t="b">
        <x:v>1</x:v>
      </x:c>
      <x:c r="AT78" s="13" t="b">
        <x:v>1</x:v>
      </x:c>
      <x:c r="AU78" s="13" t="b">
        <x:v>1</x:v>
      </x:c>
      <x:c r="AV78" s="13" t="b">
        <x:v>1</x:v>
      </x:c>
      <x:c r="AW78" s="13" t="b">
        <x:v>1</x:v>
      </x:c>
      <x:c r="AX78" s="13" t="b">
        <x:v>0</x:v>
      </x:c>
      <x:c r="AY78" s="13" t="b">
        <x:v>0</x:v>
      </x:c>
      <x:c r="AZ78" s="13" t="b">
        <x:v>1</x:v>
      </x:c>
      <x:c r="BA78" s="12" t="str">
        <x:v>OK</x:v>
      </x:c>
      <x:c r="BB78" s="12" t="str">
        <x:v>OK</x:v>
      </x:c>
      <x:c r="BC78" s="12" t="str">
        <x:v>EUR</x:v>
      </x:c>
      <x:c r="BD78" s="12" t="n">
        <x:v>10</x:v>
      </x:c>
      <x:c r="BE78" s="12" t="n">
        <x:v>10</x:v>
      </x:c>
      <x:c r="BF78" s="12" t="n">
        <x:v>0</x:v>
      </x:c>
      <x:c r="BG78" s="12" t="n">
        <x:v>0</x:v>
      </x:c>
      <x:c r="BH78" s="12" t="n">
        <x:v>0</x:v>
      </x:c>
      <x:c r="BI78" s="12" t="n">
        <x:v>0</x:v>
      </x:c>
      <x:c r="BJ78" s="12" t="n">
        <x:v>0</x:v>
      </x:c>
      <x:c r="BK78" s="12" t="n">
        <x:v>0</x:v>
      </x:c>
      <x:c r="BL78" s="12" t="n">
        <x:v>0</x:v>
      </x:c>
      <x:c r="BM78" s="12" t="n">
        <x:v>0</x:v>
      </x:c>
      <x:c r="BN78" s="12" t="n">
        <x:v>0</x:v>
      </x:c>
      <x:c r="BO78" s="12" t="n">
        <x:v>0</x:v>
      </x:c>
      <x:c r="BP78" s="12" t="n">
        <x:v>0</x:v>
      </x:c>
      <x:c r="BQ78" s="12" t="n">
        <x:v>0</x:v>
      </x:c>
      <x:c r="BR78" s="12" t="n">
        <x:v>0</x:v>
      </x:c>
      <x:c r="BS78" s="12" t="n">
        <x:v>0</x:v>
      </x:c>
    </x:row>
    <x:row r="79" ht="21" customHeight="1">
      <x:c r="A79" s="14" t="n">
        <x:v>45658.645833333336</x:v>
      </x:c>
      <x:c r="B79" s="14" t="n">
        <x:v>45658.65625</x:v>
      </x:c>
      <x:c r="C79" s="14" t="n">
        <x:v>45658.729166666664</x:v>
      </x:c>
      <x:c r="D79" s="15" t="n">
        <x:v>45658</x:v>
      </x:c>
      <x:c r="E79" s="12" t="n">
        <x:v>0.25</x:v>
      </x:c>
      <x:c r="F79" s="12" t="str">
        <x:v>FORMAL</x:v>
      </x:c>
      <x:c r="G79" s="14" t="n">
        <x:v>45658.625</x:v>
      </x:c>
      <x:c r="H79" s="12" t="n">
        <x:v>120.79</x:v>
      </x:c>
      <x:c r="I79" s="12" t="str">
        <x:v>2025-01-01_17</x:v>
      </x:c>
      <x:c r="J79" s="12" t="n">
        <x:v>60</x:v>
      </x:c>
      <x:c r="K79" s="12" t="str">
        <x:v>DA_2025-01-01@80c3f1a8e3ee</x:v>
      </x:c>
      <x:c r="L79" s="15" t="n">
        <x:v>45657</x:v>
      </x:c>
      <x:c r="M79" s="12" t="n">
        <x:v>4.9741</x:v>
      </x:c>
      <x:c r="N79" s="12" t="str">
        <x:v>BNR2024_BOUNDARY@c4397e7f9c31</x:v>
      </x:c>
      <x:c r="O79" s="12"/>
      <x:c r="P79" s="12"/>
      <x:c r="Q79" s="12"/>
      <x:c r="R79" s="12"/>
      <x:c r="S79" s="12" t="str">
        <x:v>OUT_OF_RESEARCH_COVERAGE_PRE_2025_06</x:v>
      </x:c>
      <x:c r="T79" s="12" t="n">
        <x:v>200</x:v>
      </x:c>
      <x:c r="U79" s="12" t="str">
        <x:v>aFRRUp_2025-01-01T15:00:00Z</x:v>
      </x:c>
      <x:c r="V79" s="12" t="str">
        <x:v>tenderStatistics_2025-01@c14c9dea784d</x:v>
      </x:c>
      <x:c r="W79" s="12" t="n">
        <x:v>13.831647936310086</x:v>
      </x:c>
      <x:c r="X79" s="12" t="str">
        <x:v>PUBLISHED_PROXY</x:v>
      </x:c>
      <x:c r="Y79" s="12" t="n">
        <x:v>200</x:v>
      </x:c>
      <x:c r="Z79" s="12" t="str">
        <x:v>aFRRDown_2025-01-01T15:00:00Z</x:v>
      </x:c>
      <x:c r="AA79" s="12" t="str">
        <x:v>tenderStatistics_2025-01@c14c9dea784d</x:v>
      </x:c>
      <x:c r="AB79" s="12" t="n">
        <x:v>14.676021792887155</x:v>
      </x:c>
      <x:c r="AC79" s="12" t="str">
        <x:v>PUBLISHED_PROXY</x:v>
      </x:c>
      <x:c r="AD79" s="12"/>
      <x:c r="AE79" s="12" t="str">
        <x:v>SOURCE_NULL_NOT_MODELED</x:v>
      </x:c>
      <x:c r="AF79" s="12"/>
      <x:c r="AG79" s="12" t="n">
        <x:v>154.45226272089423</x:v>
      </x:c>
      <x:c r="AH79" s="12" t="str">
        <x:v>PUBLISHED_PROXY</x:v>
      </x:c>
      <x:c r="AI79" s="12" t="n">
        <x:v>2.477</x:v>
      </x:c>
      <x:c r="AJ79" s="12" t="n">
        <x:v>0</x:v>
      </x:c>
      <x:c r="AK79" s="12" t="str">
        <x:v>PUBLISHED_PROXY</x:v>
      </x:c>
      <x:c r="AL79" s="12" t="n">
        <x:v>0</x:v>
      </x:c>
      <x:c r="AM79" s="12" t="str">
        <x:v>marginalPricesOverview_2025-01@5b9daf9d82d7</x:v>
      </x:c>
      <x:c r="AN79" s="12" t="str">
        <x:v>activatedBalancingEnergyOverview_2025-01@4135ac664b2a</x:v>
      </x:c>
      <x:c r="AO79" s="12" t="str">
        <x:v>PUBLISHED_NATIVE</x:v>
      </x:c>
      <x:c r="AP79" s="12" t="n">
        <x:v>0.04954</x:v>
      </x:c>
      <x:c r="AQ79" s="12" t="n">
        <x:v>0</x:v>
      </x:c>
      <x:c r="AR79" s="12" t="n">
        <x:v>0.04954</x:v>
      </x:c>
      <x:c r="AS79" s="13" t="b">
        <x:v>1</x:v>
      </x:c>
      <x:c r="AT79" s="13" t="b">
        <x:v>1</x:v>
      </x:c>
      <x:c r="AU79" s="13" t="b">
        <x:v>1</x:v>
      </x:c>
      <x:c r="AV79" s="13" t="b">
        <x:v>1</x:v>
      </x:c>
      <x:c r="AW79" s="13" t="b">
        <x:v>1</x:v>
      </x:c>
      <x:c r="AX79" s="13" t="b">
        <x:v>0</x:v>
      </x:c>
      <x:c r="AY79" s="13" t="b">
        <x:v>0</x:v>
      </x:c>
      <x:c r="AZ79" s="13" t="b">
        <x:v>1</x:v>
      </x:c>
      <x:c r="BA79" s="12" t="str">
        <x:v>OK</x:v>
      </x:c>
      <x:c r="BB79" s="12" t="str">
        <x:v>OK</x:v>
      </x:c>
      <x:c r="BC79" s="12" t="str">
        <x:v>EUR</x:v>
      </x:c>
      <x:c r="BD79" s="12" t="n">
        <x:v>10</x:v>
      </x:c>
      <x:c r="BE79" s="12" t="n">
        <x:v>10</x:v>
      </x:c>
      <x:c r="BF79" s="12" t="n">
        <x:v>0</x:v>
      </x:c>
      <x:c r="BG79" s="12" t="n">
        <x:v>0</x:v>
      </x:c>
      <x:c r="BH79" s="12" t="n">
        <x:v>0</x:v>
      </x:c>
      <x:c r="BI79" s="12" t="n">
        <x:v>0</x:v>
      </x:c>
      <x:c r="BJ79" s="12" t="n">
        <x:v>0</x:v>
      </x:c>
      <x:c r="BK79" s="12" t="n">
        <x:v>0</x:v>
      </x:c>
      <x:c r="BL79" s="12" t="n">
        <x:v>0</x:v>
      </x:c>
      <x:c r="BM79" s="12" t="n">
        <x:v>0</x:v>
      </x:c>
      <x:c r="BN79" s="12" t="n">
        <x:v>0</x:v>
      </x:c>
      <x:c r="BO79" s="12" t="n">
        <x:v>0</x:v>
      </x:c>
      <x:c r="BP79" s="12" t="n">
        <x:v>0</x:v>
      </x:c>
      <x:c r="BQ79" s="12" t="n">
        <x:v>0</x:v>
      </x:c>
      <x:c r="BR79" s="12" t="n">
        <x:v>0</x:v>
      </x:c>
      <x:c r="BS79" s="12" t="n">
        <x:v>0</x:v>
      </x:c>
    </x:row>
    <x:row r="80" ht="21" customHeight="1">
      <x:c r="A80" s="14" t="n">
        <x:v>45658.65625</x:v>
      </x:c>
      <x:c r="B80" s="14" t="n">
        <x:v>45658.666666666664</x:v>
      </x:c>
      <x:c r="C80" s="14" t="n">
        <x:v>45658.739583333336</x:v>
      </x:c>
      <x:c r="D80" s="15" t="n">
        <x:v>45658</x:v>
      </x:c>
      <x:c r="E80" s="12" t="n">
        <x:v>0.25</x:v>
      </x:c>
      <x:c r="F80" s="12" t="str">
        <x:v>FORMAL</x:v>
      </x:c>
      <x:c r="G80" s="14" t="n">
        <x:v>45658.625</x:v>
      </x:c>
      <x:c r="H80" s="12" t="n">
        <x:v>120.79</x:v>
      </x:c>
      <x:c r="I80" s="12" t="str">
        <x:v>2025-01-01_17</x:v>
      </x:c>
      <x:c r="J80" s="12" t="n">
        <x:v>60</x:v>
      </x:c>
      <x:c r="K80" s="12" t="str">
        <x:v>DA_2025-01-01@80c3f1a8e3ee</x:v>
      </x:c>
      <x:c r="L80" s="15" t="n">
        <x:v>45657</x:v>
      </x:c>
      <x:c r="M80" s="12" t="n">
        <x:v>4.9741</x:v>
      </x:c>
      <x:c r="N80" s="12" t="str">
        <x:v>BNR2024_BOUNDARY@c4397e7f9c31</x:v>
      </x:c>
      <x:c r="O80" s="12"/>
      <x:c r="P80" s="12"/>
      <x:c r="Q80" s="12"/>
      <x:c r="R80" s="12"/>
      <x:c r="S80" s="12" t="str">
        <x:v>OUT_OF_RESEARCH_COVERAGE_PRE_2025_06</x:v>
      </x:c>
      <x:c r="T80" s="12" t="n">
        <x:v>200</x:v>
      </x:c>
      <x:c r="U80" s="12" t="str">
        <x:v>aFRRUp_2025-01-01T15:00:00Z</x:v>
      </x:c>
      <x:c r="V80" s="12" t="str">
        <x:v>tenderStatistics_2025-01@c14c9dea784d</x:v>
      </x:c>
      <x:c r="W80" s="12" t="n">
        <x:v>13.831647936310086</x:v>
      </x:c>
      <x:c r="X80" s="12" t="str">
        <x:v>PUBLISHED_PROXY</x:v>
      </x:c>
      <x:c r="Y80" s="12" t="n">
        <x:v>200</x:v>
      </x:c>
      <x:c r="Z80" s="12" t="str">
        <x:v>aFRRDown_2025-01-01T15:00:00Z</x:v>
      </x:c>
      <x:c r="AA80" s="12" t="str">
        <x:v>tenderStatistics_2025-01@c14c9dea784d</x:v>
      </x:c>
      <x:c r="AB80" s="12" t="n">
        <x:v>14.676021792887155</x:v>
      </x:c>
      <x:c r="AC80" s="12" t="str">
        <x:v>PUBLISHED_PROXY</x:v>
      </x:c>
      <x:c r="AD80" s="12"/>
      <x:c r="AE80" s="12" t="str">
        <x:v>SOURCE_NULL_NOT_MODELED</x:v>
      </x:c>
      <x:c r="AF80" s="12"/>
      <x:c r="AG80" s="12" t="n">
        <x:v>136.70814820771596</x:v>
      </x:c>
      <x:c r="AH80" s="12" t="str">
        <x:v>PUBLISHED_PROXY</x:v>
      </x:c>
      <x:c r="AI80" s="12" t="n">
        <x:v>0.164</x:v>
      </x:c>
      <x:c r="AJ80" s="12" t="n">
        <x:v>58.46585311915724</x:v>
      </x:c>
      <x:c r="AK80" s="12" t="str">
        <x:v>PUBLISHED_PROXY</x:v>
      </x:c>
      <x:c r="AL80" s="12" t="n">
        <x:v>0.108</x:v>
      </x:c>
      <x:c r="AM80" s="12" t="str">
        <x:v>marginalPricesOverview_2025-01@5b9daf9d82d7</x:v>
      </x:c>
      <x:c r="AN80" s="12" t="str">
        <x:v>activatedBalancingEnergyOverview_2025-01@4135ac664b2a</x:v>
      </x:c>
      <x:c r="AO80" s="12" t="str">
        <x:v>PUBLISHED_NATIVE</x:v>
      </x:c>
      <x:c r="AP80" s="12" t="n">
        <x:v>0.00328</x:v>
      </x:c>
      <x:c r="AQ80" s="12" t="n">
        <x:v>0.00216</x:v>
      </x:c>
      <x:c r="AR80" s="12" t="n">
        <x:v>0.00544</x:v>
      </x:c>
      <x:c r="AS80" s="13" t="b">
        <x:v>1</x:v>
      </x:c>
      <x:c r="AT80" s="13" t="b">
        <x:v>1</x:v>
      </x:c>
      <x:c r="AU80" s="13" t="b">
        <x:v>1</x:v>
      </x:c>
      <x:c r="AV80" s="13" t="b">
        <x:v>1</x:v>
      </x:c>
      <x:c r="AW80" s="13" t="b">
        <x:v>1</x:v>
      </x:c>
      <x:c r="AX80" s="13" t="b">
        <x:v>0</x:v>
      </x:c>
      <x:c r="AY80" s="13" t="b">
        <x:v>0</x:v>
      </x:c>
      <x:c r="AZ80" s="13" t="b">
        <x:v>1</x:v>
      </x:c>
      <x:c r="BA80" s="12" t="str">
        <x:v>OK</x:v>
      </x:c>
      <x:c r="BB80" s="12" t="str">
        <x:v>OK</x:v>
      </x:c>
      <x:c r="BC80" s="12" t="str">
        <x:v>EUR</x:v>
      </x:c>
      <x:c r="BD80" s="12" t="n">
        <x:v>10</x:v>
      </x:c>
      <x:c r="BE80" s="12" t="n">
        <x:v>10</x:v>
      </x:c>
      <x:c r="BF80" s="12" t="n">
        <x:v>0</x:v>
      </x:c>
      <x:c r="BG80" s="12" t="n">
        <x:v>0</x:v>
      </x:c>
      <x:c r="BH80" s="12" t="n">
        <x:v>0</x:v>
      </x:c>
      <x:c r="BI80" s="12" t="n">
        <x:v>0</x:v>
      </x:c>
      <x:c r="BJ80" s="12" t="n">
        <x:v>0</x:v>
      </x:c>
      <x:c r="BK80" s="12" t="n">
        <x:v>0</x:v>
      </x:c>
      <x:c r="BL80" s="12" t="n">
        <x:v>0</x:v>
      </x:c>
      <x:c r="BM80" s="12" t="n">
        <x:v>0</x:v>
      </x:c>
      <x:c r="BN80" s="12" t="n">
        <x:v>0</x:v>
      </x:c>
      <x:c r="BO80" s="12" t="n">
        <x:v>0</x:v>
      </x:c>
      <x:c r="BP80" s="12" t="n">
        <x:v>0</x:v>
      </x:c>
      <x:c r="BQ80" s="12" t="n">
        <x:v>0</x:v>
      </x:c>
      <x:c r="BR80" s="12" t="n">
        <x:v>0</x:v>
      </x:c>
      <x:c r="BS80" s="12" t="n">
        <x:v>0</x:v>
      </x:c>
    </x:row>
    <x:row r="81" ht="21" customHeight="1">
      <x:c r="A81" s="14" t="n">
        <x:v>45658.666666666664</x:v>
      </x:c>
      <x:c r="B81" s="14" t="n">
        <x:v>45658.677083333336</x:v>
      </x:c>
      <x:c r="C81" s="14" t="n">
        <x:v>45658.75</x:v>
      </x:c>
      <x:c r="D81" s="15" t="n">
        <x:v>45658</x:v>
      </x:c>
      <x:c r="E81" s="12" t="n">
        <x:v>0.25</x:v>
      </x:c>
      <x:c r="F81" s="12" t="str">
        <x:v>FORMAL</x:v>
      </x:c>
      <x:c r="G81" s="14" t="n">
        <x:v>45658.666666666664</x:v>
      </x:c>
      <x:c r="H81" s="12" t="n">
        <x:v>145.37</x:v>
      </x:c>
      <x:c r="I81" s="12" t="str">
        <x:v>2025-01-01_18</x:v>
      </x:c>
      <x:c r="J81" s="12" t="n">
        <x:v>60</x:v>
      </x:c>
      <x:c r="K81" s="12" t="str">
        <x:v>DA_2025-01-01@80c3f1a8e3ee</x:v>
      </x:c>
      <x:c r="L81" s="15" t="n">
        <x:v>45657</x:v>
      </x:c>
      <x:c r="M81" s="12" t="n">
        <x:v>4.9741</x:v>
      </x:c>
      <x:c r="N81" s="12" t="str">
        <x:v>BNR2024_BOUNDARY@c4397e7f9c31</x:v>
      </x:c>
      <x:c r="O81" s="12"/>
      <x:c r="P81" s="12"/>
      <x:c r="Q81" s="12"/>
      <x:c r="R81" s="12"/>
      <x:c r="S81" s="12" t="str">
        <x:v>OUT_OF_RESEARCH_COVERAGE_PRE_2025_06</x:v>
      </x:c>
      <x:c r="T81" s="12" t="n">
        <x:v>200</x:v>
      </x:c>
      <x:c r="U81" s="12" t="str">
        <x:v>aFRRUp_2025-01-01T16:00:00Z</x:v>
      </x:c>
      <x:c r="V81" s="12" t="str">
        <x:v>tenderStatistics_2025-01@c14c9dea784d</x:v>
      </x:c>
      <x:c r="W81" s="12" t="n">
        <x:v>13.831647936310086</x:v>
      </x:c>
      <x:c r="X81" s="12" t="str">
        <x:v>PUBLISHED_PROXY</x:v>
      </x:c>
      <x:c r="Y81" s="12" t="n">
        <x:v>200</x:v>
      </x:c>
      <x:c r="Z81" s="12" t="str">
        <x:v>aFRRDown_2025-01-01T16:00:00Z</x:v>
      </x:c>
      <x:c r="AA81" s="12" t="str">
        <x:v>tenderStatistics_2025-01@c14c9dea784d</x:v>
      </x:c>
      <x:c r="AB81" s="12" t="n">
        <x:v>14.676021792887155</x:v>
      </x:c>
      <x:c r="AC81" s="12" t="str">
        <x:v>PUBLISHED_PROXY</x:v>
      </x:c>
      <x:c r="AD81" s="12"/>
      <x:c r="AE81" s="12" t="str">
        <x:v>SOURCE_NULL_NOT_MODELED</x:v>
      </x:c>
      <x:c r="AF81" s="12"/>
      <x:c r="AG81" s="12" t="n">
        <x:v>136.70814820771596</x:v>
      </x:c>
      <x:c r="AH81" s="12" t="str">
        <x:v>PUBLISHED_PROXY</x:v>
      </x:c>
      <x:c r="AI81" s="12" t="n">
        <x:v>0.078</x:v>
      </x:c>
      <x:c r="AJ81" s="12" t="n">
        <x:v>16.131360447116062</x:v>
      </x:c>
      <x:c r="AK81" s="12" t="str">
        <x:v>PUBLISHED_PROXY</x:v>
      </x:c>
      <x:c r="AL81" s="12" t="n">
        <x:v>7.799</x:v>
      </x:c>
      <x:c r="AM81" s="12" t="str">
        <x:v>marginalPricesOverview_2025-01@5b9daf9d82d7</x:v>
      </x:c>
      <x:c r="AN81" s="12" t="str">
        <x:v>activatedBalancingEnergyOverview_2025-01@4135ac664b2a</x:v>
      </x:c>
      <x:c r="AO81" s="12" t="str">
        <x:v>PUBLISHED_NATIVE</x:v>
      </x:c>
      <x:c r="AP81" s="12" t="n">
        <x:v>0.00156</x:v>
      </x:c>
      <x:c r="AQ81" s="12" t="n">
        <x:v>0.15598</x:v>
      </x:c>
      <x:c r="AR81" s="12" t="n">
        <x:v>0.15754</x:v>
      </x:c>
      <x:c r="AS81" s="13" t="b">
        <x:v>1</x:v>
      </x:c>
      <x:c r="AT81" s="13" t="b">
        <x:v>1</x:v>
      </x:c>
      <x:c r="AU81" s="13" t="b">
        <x:v>1</x:v>
      </x:c>
      <x:c r="AV81" s="13" t="b">
        <x:v>1</x:v>
      </x:c>
      <x:c r="AW81" s="13" t="b">
        <x:v>1</x:v>
      </x:c>
      <x:c r="AX81" s="13" t="b">
        <x:v>0</x:v>
      </x:c>
      <x:c r="AY81" s="13" t="b">
        <x:v>0</x:v>
      </x:c>
      <x:c r="AZ81" s="13" t="b">
        <x:v>1</x:v>
      </x:c>
      <x:c r="BA81" s="12" t="str">
        <x:v>OK</x:v>
      </x:c>
      <x:c r="BB81" s="12" t="str">
        <x:v>OK</x:v>
      </x:c>
      <x:c r="BC81" s="12" t="str">
        <x:v>EUR</x:v>
      </x:c>
      <x:c r="BD81" s="12" t="n">
        <x:v>10</x:v>
      </x:c>
      <x:c r="BE81" s="12" t="n">
        <x:v>10</x:v>
      </x:c>
      <x:c r="BF81" s="12" t="n">
        <x:v>0</x:v>
      </x:c>
      <x:c r="BG81" s="12" t="n">
        <x:v>0</x:v>
      </x:c>
      <x:c r="BH81" s="12" t="n">
        <x:v>0</x:v>
      </x:c>
      <x:c r="BI81" s="12" t="n">
        <x:v>0</x:v>
      </x:c>
      <x:c r="BJ81" s="12" t="n">
        <x:v>0</x:v>
      </x:c>
      <x:c r="BK81" s="12" t="n">
        <x:v>0</x:v>
      </x:c>
      <x:c r="BL81" s="12" t="n">
        <x:v>0</x:v>
      </x:c>
      <x:c r="BM81" s="12" t="n">
        <x:v>0</x:v>
      </x:c>
      <x:c r="BN81" s="12" t="n">
        <x:v>0</x:v>
      </x:c>
      <x:c r="BO81" s="12" t="n">
        <x:v>0</x:v>
      </x:c>
      <x:c r="BP81" s="12" t="n">
        <x:v>0</x:v>
      </x:c>
      <x:c r="BQ81" s="12" t="n">
        <x:v>0</x:v>
      </x:c>
      <x:c r="BR81" s="12" t="n">
        <x:v>0</x:v>
      </x:c>
      <x:c r="BS81" s="12" t="n">
        <x:v>0</x:v>
      </x:c>
    </x:row>
    <x:row r="82" ht="21" customHeight="1">
      <x:c r="A82" s="14" t="n">
        <x:v>45658.677083333336</x:v>
      </x:c>
      <x:c r="B82" s="14" t="n">
        <x:v>45658.6875</x:v>
      </x:c>
      <x:c r="C82" s="14" t="n">
        <x:v>45658.760416666664</x:v>
      </x:c>
      <x:c r="D82" s="15" t="n">
        <x:v>45658</x:v>
      </x:c>
      <x:c r="E82" s="12" t="n">
        <x:v>0.25</x:v>
      </x:c>
      <x:c r="F82" s="12" t="str">
        <x:v>FORMAL</x:v>
      </x:c>
      <x:c r="G82" s="14" t="n">
        <x:v>45658.666666666664</x:v>
      </x:c>
      <x:c r="H82" s="12" t="n">
        <x:v>145.37</x:v>
      </x:c>
      <x:c r="I82" s="12" t="str">
        <x:v>2025-01-01_18</x:v>
      </x:c>
      <x:c r="J82" s="12" t="n">
        <x:v>60</x:v>
      </x:c>
      <x:c r="K82" s="12" t="str">
        <x:v>DA_2025-01-01@80c3f1a8e3ee</x:v>
      </x:c>
      <x:c r="L82" s="15" t="n">
        <x:v>45657</x:v>
      </x:c>
      <x:c r="M82" s="12" t="n">
        <x:v>4.9741</x:v>
      </x:c>
      <x:c r="N82" s="12" t="str">
        <x:v>BNR2024_BOUNDARY@c4397e7f9c31</x:v>
      </x:c>
      <x:c r="O82" s="12"/>
      <x:c r="P82" s="12"/>
      <x:c r="Q82" s="12"/>
      <x:c r="R82" s="12"/>
      <x:c r="S82" s="12" t="str">
        <x:v>OUT_OF_RESEARCH_COVERAGE_PRE_2025_06</x:v>
      </x:c>
      <x:c r="T82" s="12" t="n">
        <x:v>200</x:v>
      </x:c>
      <x:c r="U82" s="12" t="str">
        <x:v>aFRRUp_2025-01-01T16:00:00Z</x:v>
      </x:c>
      <x:c r="V82" s="12" t="str">
        <x:v>tenderStatistics_2025-01@c14c9dea784d</x:v>
      </x:c>
      <x:c r="W82" s="12" t="n">
        <x:v>13.831647936310086</x:v>
      </x:c>
      <x:c r="X82" s="12" t="str">
        <x:v>PUBLISHED_PROXY</x:v>
      </x:c>
      <x:c r="Y82" s="12" t="n">
        <x:v>200</x:v>
      </x:c>
      <x:c r="Z82" s="12" t="str">
        <x:v>aFRRDown_2025-01-01T16:00:00Z</x:v>
      </x:c>
      <x:c r="AA82" s="12" t="str">
        <x:v>tenderStatistics_2025-01@c14c9dea784d</x:v>
      </x:c>
      <x:c r="AB82" s="12" t="n">
        <x:v>14.676021792887155</x:v>
      </x:c>
      <x:c r="AC82" s="12" t="str">
        <x:v>PUBLISHED_PROXY</x:v>
      </x:c>
      <x:c r="AD82" s="12"/>
      <x:c r="AE82" s="12" t="str">
        <x:v>SOURCE_NULL_NOT_MODELED</x:v>
      </x:c>
      <x:c r="AF82" s="12"/>
      <x:c r="AG82" s="12" t="n">
        <x:v>136.70814820771596</x:v>
      </x:c>
      <x:c r="AH82" s="12" t="str">
        <x:v>PUBLISHED_PROXY</x:v>
      </x:c>
      <x:c r="AI82" s="12" t="n">
        <x:v>1.112</x:v>
      </x:c>
      <x:c r="AJ82" s="12" t="n">
        <x:v>37.89127681389598</x:v>
      </x:c>
      <x:c r="AK82" s="12" t="str">
        <x:v>PUBLISHED_PROXY</x:v>
      </x:c>
      <x:c r="AL82" s="12" t="n">
        <x:v>1.008</x:v>
      </x:c>
      <x:c r="AM82" s="12" t="str">
        <x:v>marginalPricesOverview_2025-01@5b9daf9d82d7</x:v>
      </x:c>
      <x:c r="AN82" s="12" t="str">
        <x:v>activatedBalancingEnergyOverview_2025-01@4135ac664b2a</x:v>
      </x:c>
      <x:c r="AO82" s="12" t="str">
        <x:v>PUBLISHED_NATIVE</x:v>
      </x:c>
      <x:c r="AP82" s="12" t="n">
        <x:v>0.02224</x:v>
      </x:c>
      <x:c r="AQ82" s="12" t="n">
        <x:v>0.02016</x:v>
      </x:c>
      <x:c r="AR82" s="12" t="n">
        <x:v>0.0424</x:v>
      </x:c>
      <x:c r="AS82" s="13" t="b">
        <x:v>1</x:v>
      </x:c>
      <x:c r="AT82" s="13" t="b">
        <x:v>1</x:v>
      </x:c>
      <x:c r="AU82" s="13" t="b">
        <x:v>1</x:v>
      </x:c>
      <x:c r="AV82" s="13" t="b">
        <x:v>1</x:v>
      </x:c>
      <x:c r="AW82" s="13" t="b">
        <x:v>1</x:v>
      </x:c>
      <x:c r="AX82" s="13" t="b">
        <x:v>0</x:v>
      </x:c>
      <x:c r="AY82" s="13" t="b">
        <x:v>0</x:v>
      </x:c>
      <x:c r="AZ82" s="13" t="b">
        <x:v>1</x:v>
      </x:c>
      <x:c r="BA82" s="12" t="str">
        <x:v>OK</x:v>
      </x:c>
      <x:c r="BB82" s="12" t="str">
        <x:v>OK</x:v>
      </x:c>
      <x:c r="BC82" s="12" t="str">
        <x:v>EUR</x:v>
      </x:c>
      <x:c r="BD82" s="12" t="n">
        <x:v>10</x:v>
      </x:c>
      <x:c r="BE82" s="12" t="n">
        <x:v>10</x:v>
      </x:c>
      <x:c r="BF82" s="12" t="n">
        <x:v>0</x:v>
      </x:c>
      <x:c r="BG82" s="12" t="n">
        <x:v>0</x:v>
      </x:c>
      <x:c r="BH82" s="12" t="n">
        <x:v>0</x:v>
      </x:c>
      <x:c r="BI82" s="12" t="n">
        <x:v>0</x:v>
      </x:c>
      <x:c r="BJ82" s="12" t="n">
        <x:v>0</x:v>
      </x:c>
      <x:c r="BK82" s="12" t="n">
        <x:v>0</x:v>
      </x:c>
      <x:c r="BL82" s="12" t="n">
        <x:v>0</x:v>
      </x:c>
      <x:c r="BM82" s="12" t="n">
        <x:v>0</x:v>
      </x:c>
      <x:c r="BN82" s="12" t="n">
        <x:v>0</x:v>
      </x:c>
      <x:c r="BO82" s="12" t="n">
        <x:v>0</x:v>
      </x:c>
      <x:c r="BP82" s="12" t="n">
        <x:v>0</x:v>
      </x:c>
      <x:c r="BQ82" s="12" t="n">
        <x:v>0</x:v>
      </x:c>
      <x:c r="BR82" s="12" t="n">
        <x:v>0</x:v>
      </x:c>
      <x:c r="BS82" s="12" t="n">
        <x:v>0</x:v>
      </x:c>
    </x:row>
    <x:row r="83" ht="21" customHeight="1">
      <x:c r="A83" s="14" t="n">
        <x:v>45658.6875</x:v>
      </x:c>
      <x:c r="B83" s="14" t="n">
        <x:v>45658.697916666664</x:v>
      </x:c>
      <x:c r="C83" s="14" t="n">
        <x:v>45658.770833333336</x:v>
      </x:c>
      <x:c r="D83" s="15" t="n">
        <x:v>45658</x:v>
      </x:c>
      <x:c r="E83" s="12" t="n">
        <x:v>0.25</x:v>
      </x:c>
      <x:c r="F83" s="12" t="str">
        <x:v>FORMAL</x:v>
      </x:c>
      <x:c r="G83" s="14" t="n">
        <x:v>45658.666666666664</x:v>
      </x:c>
      <x:c r="H83" s="12" t="n">
        <x:v>145.37</x:v>
      </x:c>
      <x:c r="I83" s="12" t="str">
        <x:v>2025-01-01_18</x:v>
      </x:c>
      <x:c r="J83" s="12" t="n">
        <x:v>60</x:v>
      </x:c>
      <x:c r="K83" s="12" t="str">
        <x:v>DA_2025-01-01@80c3f1a8e3ee</x:v>
      </x:c>
      <x:c r="L83" s="15" t="n">
        <x:v>45657</x:v>
      </x:c>
      <x:c r="M83" s="12" t="n">
        <x:v>4.9741</x:v>
      </x:c>
      <x:c r="N83" s="12" t="str">
        <x:v>BNR2024_BOUNDARY@c4397e7f9c31</x:v>
      </x:c>
      <x:c r="O83" s="12"/>
      <x:c r="P83" s="12"/>
      <x:c r="Q83" s="12"/>
      <x:c r="R83" s="12"/>
      <x:c r="S83" s="12" t="str">
        <x:v>OUT_OF_RESEARCH_COVERAGE_PRE_2025_06</x:v>
      </x:c>
      <x:c r="T83" s="12" t="n">
        <x:v>200</x:v>
      </x:c>
      <x:c r="U83" s="12" t="str">
        <x:v>aFRRUp_2025-01-01T16:00:00Z</x:v>
      </x:c>
      <x:c r="V83" s="12" t="str">
        <x:v>tenderStatistics_2025-01@c14c9dea784d</x:v>
      </x:c>
      <x:c r="W83" s="12" t="n">
        <x:v>13.831647936310086</x:v>
      </x:c>
      <x:c r="X83" s="12" t="str">
        <x:v>PUBLISHED_PROXY</x:v>
      </x:c>
      <x:c r="Y83" s="12" t="n">
        <x:v>200</x:v>
      </x:c>
      <x:c r="Z83" s="12" t="str">
        <x:v>aFRRDown_2025-01-01T16:00:00Z</x:v>
      </x:c>
      <x:c r="AA83" s="12" t="str">
        <x:v>tenderStatistics_2025-01@c14c9dea784d</x:v>
      </x:c>
      <x:c r="AB83" s="12" t="n">
        <x:v>14.676021792887155</x:v>
      </x:c>
      <x:c r="AC83" s="12" t="str">
        <x:v>PUBLISHED_PROXY</x:v>
      </x:c>
      <x:c r="AD83" s="12"/>
      <x:c r="AE83" s="12" t="str">
        <x:v>SOURCE_NULL_NOT_MODELED</x:v>
      </x:c>
      <x:c r="AF83" s="12"/>
      <x:c r="AG83" s="12" t="n">
        <x:v>196.9789509660039</x:v>
      </x:c>
      <x:c r="AH83" s="12" t="str">
        <x:v>PUBLISHED_PROXY</x:v>
      </x:c>
      <x:c r="AI83" s="12" t="n">
        <x:v>9.148</x:v>
      </x:c>
      <x:c r="AJ83" s="12" t="n">
        <x:v>0</x:v>
      </x:c>
      <x:c r="AK83" s="12" t="str">
        <x:v>PUBLISHED_PROXY</x:v>
      </x:c>
      <x:c r="AL83" s="12" t="n">
        <x:v>0</x:v>
      </x:c>
      <x:c r="AM83" s="12" t="str">
        <x:v>marginalPricesOverview_2025-01@5b9daf9d82d7</x:v>
      </x:c>
      <x:c r="AN83" s="12" t="str">
        <x:v>activatedBalancingEnergyOverview_2025-01@4135ac664b2a</x:v>
      </x:c>
      <x:c r="AO83" s="12" t="str">
        <x:v>PUBLISHED_NATIVE</x:v>
      </x:c>
      <x:c r="AP83" s="12" t="n">
        <x:v>0.1829599999999999</x:v>
      </x:c>
      <x:c r="AQ83" s="12" t="n">
        <x:v>0</x:v>
      </x:c>
      <x:c r="AR83" s="12" t="n">
        <x:v>0.1829599999999999</x:v>
      </x:c>
      <x:c r="AS83" s="13" t="b">
        <x:v>1</x:v>
      </x:c>
      <x:c r="AT83" s="13" t="b">
        <x:v>1</x:v>
      </x:c>
      <x:c r="AU83" s="13" t="b">
        <x:v>1</x:v>
      </x:c>
      <x:c r="AV83" s="13" t="b">
        <x:v>1</x:v>
      </x:c>
      <x:c r="AW83" s="13" t="b">
        <x:v>1</x:v>
      </x:c>
      <x:c r="AX83" s="13" t="b">
        <x:v>0</x:v>
      </x:c>
      <x:c r="AY83" s="13" t="b">
        <x:v>0</x:v>
      </x:c>
      <x:c r="AZ83" s="13" t="b">
        <x:v>1</x:v>
      </x:c>
      <x:c r="BA83" s="12" t="str">
        <x:v>OK</x:v>
      </x:c>
      <x:c r="BB83" s="12" t="str">
        <x:v>OK</x:v>
      </x:c>
      <x:c r="BC83" s="12" t="str">
        <x:v>EUR</x:v>
      </x:c>
      <x:c r="BD83" s="12" t="n">
        <x:v>10</x:v>
      </x:c>
      <x:c r="BE83" s="12" t="n">
        <x:v>10</x:v>
      </x:c>
      <x:c r="BF83" s="12" t="n">
        <x:v>0</x:v>
      </x:c>
      <x:c r="BG83" s="12" t="n">
        <x:v>0</x:v>
      </x:c>
      <x:c r="BH83" s="12" t="n">
        <x:v>0</x:v>
      </x:c>
      <x:c r="BI83" s="12" t="n">
        <x:v>0</x:v>
      </x:c>
      <x:c r="BJ83" s="12" t="n">
        <x:v>0</x:v>
      </x:c>
      <x:c r="BK83" s="12" t="n">
        <x:v>0</x:v>
      </x:c>
      <x:c r="BL83" s="12" t="n">
        <x:v>0</x:v>
      </x:c>
      <x:c r="BM83" s="12" t="n">
        <x:v>0</x:v>
      </x:c>
      <x:c r="BN83" s="12" t="n">
        <x:v>0</x:v>
      </x:c>
      <x:c r="BO83" s="12" t="n">
        <x:v>0</x:v>
      </x:c>
      <x:c r="BP83" s="12" t="n">
        <x:v>0</x:v>
      </x:c>
      <x:c r="BQ83" s="12" t="n">
        <x:v>0</x:v>
      </x:c>
      <x:c r="BR83" s="12" t="n">
        <x:v>0</x:v>
      </x:c>
      <x:c r="BS83" s="12" t="n">
        <x:v>0</x:v>
      </x:c>
    </x:row>
    <x:row r="84" ht="21" customHeight="1">
      <x:c r="A84" s="14" t="n">
        <x:v>45658.697916666664</x:v>
      </x:c>
      <x:c r="B84" s="14" t="n">
        <x:v>45658.708333333336</x:v>
      </x:c>
      <x:c r="C84" s="14" t="n">
        <x:v>45658.78125</x:v>
      </x:c>
      <x:c r="D84" s="15" t="n">
        <x:v>45658</x:v>
      </x:c>
      <x:c r="E84" s="12" t="n">
        <x:v>0.25</x:v>
      </x:c>
      <x:c r="F84" s="12" t="str">
        <x:v>FORMAL</x:v>
      </x:c>
      <x:c r="G84" s="14" t="n">
        <x:v>45658.666666666664</x:v>
      </x:c>
      <x:c r="H84" s="12" t="n">
        <x:v>145.37</x:v>
      </x:c>
      <x:c r="I84" s="12" t="str">
        <x:v>2025-01-01_18</x:v>
      </x:c>
      <x:c r="J84" s="12" t="n">
        <x:v>60</x:v>
      </x:c>
      <x:c r="K84" s="12" t="str">
        <x:v>DA_2025-01-01@80c3f1a8e3ee</x:v>
      </x:c>
      <x:c r="L84" s="15" t="n">
        <x:v>45657</x:v>
      </x:c>
      <x:c r="M84" s="12" t="n">
        <x:v>4.9741</x:v>
      </x:c>
      <x:c r="N84" s="12" t="str">
        <x:v>BNR2024_BOUNDARY@c4397e7f9c31</x:v>
      </x:c>
      <x:c r="O84" s="12"/>
      <x:c r="P84" s="12"/>
      <x:c r="Q84" s="12"/>
      <x:c r="R84" s="12"/>
      <x:c r="S84" s="12" t="str">
        <x:v>OUT_OF_RESEARCH_COVERAGE_PRE_2025_06</x:v>
      </x:c>
      <x:c r="T84" s="12" t="n">
        <x:v>200</x:v>
      </x:c>
      <x:c r="U84" s="12" t="str">
        <x:v>aFRRUp_2025-01-01T16:00:00Z</x:v>
      </x:c>
      <x:c r="V84" s="12" t="str">
        <x:v>tenderStatistics_2025-01@c14c9dea784d</x:v>
      </x:c>
      <x:c r="W84" s="12" t="n">
        <x:v>13.831647936310086</x:v>
      </x:c>
      <x:c r="X84" s="12" t="str">
        <x:v>PUBLISHED_PROXY</x:v>
      </x:c>
      <x:c r="Y84" s="12" t="n">
        <x:v>200</x:v>
      </x:c>
      <x:c r="Z84" s="12" t="str">
        <x:v>aFRRDown_2025-01-01T16:00:00Z</x:v>
      </x:c>
      <x:c r="AA84" s="12" t="str">
        <x:v>tenderStatistics_2025-01@c14c9dea784d</x:v>
      </x:c>
      <x:c r="AB84" s="12" t="n">
        <x:v>14.676021792887155</x:v>
      </x:c>
      <x:c r="AC84" s="12" t="str">
        <x:v>PUBLISHED_PROXY</x:v>
      </x:c>
      <x:c r="AD84" s="12"/>
      <x:c r="AE84" s="12" t="str">
        <x:v>SOURCE_NULL_NOT_MODELED</x:v>
      </x:c>
      <x:c r="AF84" s="12"/>
      <x:c r="AG84" s="12" t="n">
        <x:v>139.7919221567721</x:v>
      </x:c>
      <x:c r="AH84" s="12" t="str">
        <x:v>PUBLISHED_PROXY</x:v>
      </x:c>
      <x:c r="AI84" s="12" t="n">
        <x:v>2.63</x:v>
      </x:c>
      <x:c r="AJ84" s="12" t="n">
        <x:v>200.8403530286886</x:v>
      </x:c>
      <x:c r="AK84" s="12" t="str">
        <x:v>PUBLISHED_PROXY</x:v>
      </x:c>
      <x:c r="AL84" s="12" t="n">
        <x:v>0.018</x:v>
      </x:c>
      <x:c r="AM84" s="12" t="str">
        <x:v>marginalPricesOverview_2025-01@5b9daf9d82d7</x:v>
      </x:c>
      <x:c r="AN84" s="12" t="str">
        <x:v>activatedBalancingEnergyOverview_2025-01@4135ac664b2a</x:v>
      </x:c>
      <x:c r="AO84" s="12" t="str">
        <x:v>PUBLISHED_NATIVE</x:v>
      </x:c>
      <x:c r="AP84" s="12" t="n">
        <x:v>0.0526</x:v>
      </x:c>
      <x:c r="AQ84" s="12" t="n">
        <x:v>0.0003599999999999</x:v>
      </x:c>
      <x:c r="AR84" s="12" t="n">
        <x:v>0.05296</x:v>
      </x:c>
      <x:c r="AS84" s="13" t="b">
        <x:v>1</x:v>
      </x:c>
      <x:c r="AT84" s="13" t="b">
        <x:v>1</x:v>
      </x:c>
      <x:c r="AU84" s="13" t="b">
        <x:v>1</x:v>
      </x:c>
      <x:c r="AV84" s="13" t="b">
        <x:v>1</x:v>
      </x:c>
      <x:c r="AW84" s="13" t="b">
        <x:v>1</x:v>
      </x:c>
      <x:c r="AX84" s="13" t="b">
        <x:v>0</x:v>
      </x:c>
      <x:c r="AY84" s="13" t="b">
        <x:v>0</x:v>
      </x:c>
      <x:c r="AZ84" s="13" t="b">
        <x:v>1</x:v>
      </x:c>
      <x:c r="BA84" s="12" t="str">
        <x:v>OK</x:v>
      </x:c>
      <x:c r="BB84" s="12" t="str">
        <x:v>OK</x:v>
      </x:c>
      <x:c r="BC84" s="12" t="str">
        <x:v>EUR</x:v>
      </x:c>
      <x:c r="BD84" s="12" t="n">
        <x:v>10</x:v>
      </x:c>
      <x:c r="BE84" s="12" t="n">
        <x:v>10</x:v>
      </x:c>
      <x:c r="BF84" s="12" t="n">
        <x:v>0</x:v>
      </x:c>
      <x:c r="BG84" s="12" t="n">
        <x:v>0</x:v>
      </x:c>
      <x:c r="BH84" s="12" t="n">
        <x:v>0</x:v>
      </x:c>
      <x:c r="BI84" s="12" t="n">
        <x:v>0</x:v>
      </x:c>
      <x:c r="BJ84" s="12" t="n">
        <x:v>0</x:v>
      </x:c>
      <x:c r="BK84" s="12" t="n">
        <x:v>0</x:v>
      </x:c>
      <x:c r="BL84" s="12" t="n">
        <x:v>0</x:v>
      </x:c>
      <x:c r="BM84" s="12" t="n">
        <x:v>0</x:v>
      </x:c>
      <x:c r="BN84" s="12" t="n">
        <x:v>0</x:v>
      </x:c>
      <x:c r="BO84" s="12" t="n">
        <x:v>0</x:v>
      </x:c>
      <x:c r="BP84" s="12" t="n">
        <x:v>0</x:v>
      </x:c>
      <x:c r="BQ84" s="12" t="n">
        <x:v>0</x:v>
      </x:c>
      <x:c r="BR84" s="12" t="n">
        <x:v>0</x:v>
      </x:c>
      <x:c r="BS84" s="12" t="n">
        <x:v>0</x:v>
      </x:c>
    </x:row>
    <x:row r="85" ht="21" customHeight="1">
      <x:c r="A85" s="14" t="n">
        <x:v>45658.708333333336</x:v>
      </x:c>
      <x:c r="B85" s="14" t="n">
        <x:v>45658.71875</x:v>
      </x:c>
      <x:c r="C85" s="14" t="n">
        <x:v>45658.791666666664</x:v>
      </x:c>
      <x:c r="D85" s="15" t="n">
        <x:v>45658</x:v>
      </x:c>
      <x:c r="E85" s="12" t="n">
        <x:v>0.25</x:v>
      </x:c>
      <x:c r="F85" s="12" t="str">
        <x:v>FORMAL</x:v>
      </x:c>
      <x:c r="G85" s="14" t="n">
        <x:v>45658.708333333336</x:v>
      </x:c>
      <x:c r="H85" s="12" t="n">
        <x:v>142.1</x:v>
      </x:c>
      <x:c r="I85" s="12" t="str">
        <x:v>2025-01-01_19</x:v>
      </x:c>
      <x:c r="J85" s="12" t="n">
        <x:v>60</x:v>
      </x:c>
      <x:c r="K85" s="12" t="str">
        <x:v>DA_2025-01-01@80c3f1a8e3ee</x:v>
      </x:c>
      <x:c r="L85" s="15" t="n">
        <x:v>45657</x:v>
      </x:c>
      <x:c r="M85" s="12" t="n">
        <x:v>4.9741</x:v>
      </x:c>
      <x:c r="N85" s="12" t="str">
        <x:v>BNR2024_BOUNDARY@c4397e7f9c31</x:v>
      </x:c>
      <x:c r="O85" s="12"/>
      <x:c r="P85" s="12"/>
      <x:c r="Q85" s="12"/>
      <x:c r="R85" s="12"/>
      <x:c r="S85" s="12" t="str">
        <x:v>OUT_OF_RESEARCH_COVERAGE_PRE_2025_06</x:v>
      </x:c>
      <x:c r="T85" s="12" t="n">
        <x:v>200</x:v>
      </x:c>
      <x:c r="U85" s="12" t="str">
        <x:v>aFRRUp_2025-01-01T17:00:00Z</x:v>
      </x:c>
      <x:c r="V85" s="12" t="str">
        <x:v>tenderStatistics_2025-01@c14c9dea784d</x:v>
      </x:c>
      <x:c r="W85" s="12" t="n">
        <x:v>13.831647936310086</x:v>
      </x:c>
      <x:c r="X85" s="12" t="str">
        <x:v>PUBLISHED_PROXY</x:v>
      </x:c>
      <x:c r="Y85" s="12" t="n">
        <x:v>200</x:v>
      </x:c>
      <x:c r="Z85" s="12" t="str">
        <x:v>aFRRDown_2025-01-01T17:00:00Z</x:v>
      </x:c>
      <x:c r="AA85" s="12" t="str">
        <x:v>tenderStatistics_2025-01@c14c9dea784d</x:v>
      </x:c>
      <x:c r="AB85" s="12" t="n">
        <x:v>14.676021792887155</x:v>
      </x:c>
      <x:c r="AC85" s="12" t="str">
        <x:v>PUBLISHED_PROXY</x:v>
      </x:c>
      <x:c r="AD85" s="12"/>
      <x:c r="AE85" s="12" t="str">
        <x:v>SOURCE_NULL_NOT_MODELED</x:v>
      </x:c>
      <x:c r="AF85" s="12"/>
      <x:c r="AG85" s="12" t="n">
        <x:v>60.31241832693352</x:v>
      </x:c>
      <x:c r="AH85" s="12" t="str">
        <x:v>PUBLISHED_PROXY</x:v>
      </x:c>
      <x:c r="AI85" s="12" t="n">
        <x:v>0.006</x:v>
      </x:c>
      <x:c r="AJ85" s="12" t="n">
        <x:v>20.03236766450212</x:v>
      </x:c>
      <x:c r="AK85" s="12" t="str">
        <x:v>PUBLISHED_PROXY</x:v>
      </x:c>
      <x:c r="AL85" s="12" t="n">
        <x:v>5.925</x:v>
      </x:c>
      <x:c r="AM85" s="12" t="str">
        <x:v>marginalPricesOverview_2025-01@5b9daf9d82d7</x:v>
      </x:c>
      <x:c r="AN85" s="12" t="str">
        <x:v>activatedBalancingEnergyOverview_2025-01@4135ac664b2a</x:v>
      </x:c>
      <x:c r="AO85" s="12" t="str">
        <x:v>PUBLISHED_NATIVE</x:v>
      </x:c>
      <x:c r="AP85" s="12" t="n">
        <x:v>0.00012</x:v>
      </x:c>
      <x:c r="AQ85" s="12" t="n">
        <x:v>0.1185</x:v>
      </x:c>
      <x:c r="AR85" s="12" t="n">
        <x:v>0.1186199999999999</x:v>
      </x:c>
      <x:c r="AS85" s="13" t="b">
        <x:v>1</x:v>
      </x:c>
      <x:c r="AT85" s="13" t="b">
        <x:v>1</x:v>
      </x:c>
      <x:c r="AU85" s="13" t="b">
        <x:v>1</x:v>
      </x:c>
      <x:c r="AV85" s="13" t="b">
        <x:v>1</x:v>
      </x:c>
      <x:c r="AW85" s="13" t="b">
        <x:v>1</x:v>
      </x:c>
      <x:c r="AX85" s="13" t="b">
        <x:v>0</x:v>
      </x:c>
      <x:c r="AY85" s="13" t="b">
        <x:v>0</x:v>
      </x:c>
      <x:c r="AZ85" s="13" t="b">
        <x:v>1</x:v>
      </x:c>
      <x:c r="BA85" s="12" t="str">
        <x:v>OK</x:v>
      </x:c>
      <x:c r="BB85" s="12" t="str">
        <x:v>OK</x:v>
      </x:c>
      <x:c r="BC85" s="12" t="str">
        <x:v>EUR</x:v>
      </x:c>
      <x:c r="BD85" s="12" t="n">
        <x:v>10</x:v>
      </x:c>
      <x:c r="BE85" s="12" t="n">
        <x:v>10</x:v>
      </x:c>
      <x:c r="BF85" s="12" t="n">
        <x:v>0</x:v>
      </x:c>
      <x:c r="BG85" s="12" t="n">
        <x:v>0</x:v>
      </x:c>
      <x:c r="BH85" s="12" t="n">
        <x:v>0</x:v>
      </x:c>
      <x:c r="BI85" s="12" t="n">
        <x:v>0</x:v>
      </x:c>
      <x:c r="BJ85" s="12" t="n">
        <x:v>0</x:v>
      </x:c>
      <x:c r="BK85" s="12" t="n">
        <x:v>0</x:v>
      </x:c>
      <x:c r="BL85" s="12" t="n">
        <x:v>0</x:v>
      </x:c>
      <x:c r="BM85" s="12" t="n">
        <x:v>0</x:v>
      </x:c>
      <x:c r="BN85" s="12" t="n">
        <x:v>0</x:v>
      </x:c>
      <x:c r="BO85" s="12" t="n">
        <x:v>0</x:v>
      </x:c>
      <x:c r="BP85" s="12" t="n">
        <x:v>0</x:v>
      </x:c>
      <x:c r="BQ85" s="12" t="n">
        <x:v>0</x:v>
      </x:c>
      <x:c r="BR85" s="12" t="n">
        <x:v>0</x:v>
      </x:c>
      <x:c r="BS85" s="12" t="n">
        <x:v>0</x:v>
      </x:c>
    </x:row>
    <x:row r="86" ht="21" customHeight="1">
      <x:c r="A86" s="14" t="n">
        <x:v>45658.71875</x:v>
      </x:c>
      <x:c r="B86" s="14" t="n">
        <x:v>45658.729166666664</x:v>
      </x:c>
      <x:c r="C86" s="14" t="n">
        <x:v>45658.802083333336</x:v>
      </x:c>
      <x:c r="D86" s="15" t="n">
        <x:v>45658</x:v>
      </x:c>
      <x:c r="E86" s="12" t="n">
        <x:v>0.25</x:v>
      </x:c>
      <x:c r="F86" s="12" t="str">
        <x:v>FORMAL</x:v>
      </x:c>
      <x:c r="G86" s="14" t="n">
        <x:v>45658.708333333336</x:v>
      </x:c>
      <x:c r="H86" s="12" t="n">
        <x:v>142.1</x:v>
      </x:c>
      <x:c r="I86" s="12" t="str">
        <x:v>2025-01-01_19</x:v>
      </x:c>
      <x:c r="J86" s="12" t="n">
        <x:v>60</x:v>
      </x:c>
      <x:c r="K86" s="12" t="str">
        <x:v>DA_2025-01-01@80c3f1a8e3ee</x:v>
      </x:c>
      <x:c r="L86" s="15" t="n">
        <x:v>45657</x:v>
      </x:c>
      <x:c r="M86" s="12" t="n">
        <x:v>4.9741</x:v>
      </x:c>
      <x:c r="N86" s="12" t="str">
        <x:v>BNR2024_BOUNDARY@c4397e7f9c31</x:v>
      </x:c>
      <x:c r="O86" s="12"/>
      <x:c r="P86" s="12"/>
      <x:c r="Q86" s="12"/>
      <x:c r="R86" s="12"/>
      <x:c r="S86" s="12" t="str">
        <x:v>OUT_OF_RESEARCH_COVERAGE_PRE_2025_06</x:v>
      </x:c>
      <x:c r="T86" s="12" t="n">
        <x:v>200</x:v>
      </x:c>
      <x:c r="U86" s="12" t="str">
        <x:v>aFRRUp_2025-01-01T17:00:00Z</x:v>
      </x:c>
      <x:c r="V86" s="12" t="str">
        <x:v>tenderStatistics_2025-01@c14c9dea784d</x:v>
      </x:c>
      <x:c r="W86" s="12" t="n">
        <x:v>13.831647936310086</x:v>
      </x:c>
      <x:c r="X86" s="12" t="str">
        <x:v>PUBLISHED_PROXY</x:v>
      </x:c>
      <x:c r="Y86" s="12" t="n">
        <x:v>200</x:v>
      </x:c>
      <x:c r="Z86" s="12" t="str">
        <x:v>aFRRDown_2025-01-01T17:00:00Z</x:v>
      </x:c>
      <x:c r="AA86" s="12" t="str">
        <x:v>tenderStatistics_2025-01@c14c9dea784d</x:v>
      </x:c>
      <x:c r="AB86" s="12" t="n">
        <x:v>14.676021792887155</x:v>
      </x:c>
      <x:c r="AC86" s="12" t="str">
        <x:v>PUBLISHED_PROXY</x:v>
      </x:c>
      <x:c r="AD86" s="12"/>
      <x:c r="AE86" s="12" t="str">
        <x:v>SOURCE_NULL_NOT_MODELED</x:v>
      </x:c>
      <x:c r="AF86" s="12"/>
      <x:c r="AG86" s="12" t="n">
        <x:v>108.85547134154922</x:v>
      </x:c>
      <x:c r="AH86" s="12" t="str">
        <x:v>PUBLISHED_PROXY</x:v>
      </x:c>
      <x:c r="AI86" s="12" t="n">
        <x:v>0.096</x:v>
      </x:c>
      <x:c r="AJ86" s="12" t="n">
        <x:v>24.689692607707926</x:v>
      </x:c>
      <x:c r="AK86" s="12" t="str">
        <x:v>PUBLISHED_PROXY</x:v>
      </x:c>
      <x:c r="AL86" s="12" t="n">
        <x:v>1.709</x:v>
      </x:c>
      <x:c r="AM86" s="12" t="str">
        <x:v>marginalPricesOverview_2025-01@5b9daf9d82d7</x:v>
      </x:c>
      <x:c r="AN86" s="12" t="str">
        <x:v>activatedBalancingEnergyOverview_2025-01@4135ac664b2a</x:v>
      </x:c>
      <x:c r="AO86" s="12" t="str">
        <x:v>PUBLISHED_NATIVE</x:v>
      </x:c>
      <x:c r="AP86" s="12" t="n">
        <x:v>0.00192</x:v>
      </x:c>
      <x:c r="AQ86" s="12" t="n">
        <x:v>0.03418</x:v>
      </x:c>
      <x:c r="AR86" s="12" t="n">
        <x:v>0.0361</x:v>
      </x:c>
      <x:c r="AS86" s="13" t="b">
        <x:v>1</x:v>
      </x:c>
      <x:c r="AT86" s="13" t="b">
        <x:v>1</x:v>
      </x:c>
      <x:c r="AU86" s="13" t="b">
        <x:v>1</x:v>
      </x:c>
      <x:c r="AV86" s="13" t="b">
        <x:v>1</x:v>
      </x:c>
      <x:c r="AW86" s="13" t="b">
        <x:v>1</x:v>
      </x:c>
      <x:c r="AX86" s="13" t="b">
        <x:v>0</x:v>
      </x:c>
      <x:c r="AY86" s="13" t="b">
        <x:v>0</x:v>
      </x:c>
      <x:c r="AZ86" s="13" t="b">
        <x:v>1</x:v>
      </x:c>
      <x:c r="BA86" s="12" t="str">
        <x:v>OK</x:v>
      </x:c>
      <x:c r="BB86" s="12" t="str">
        <x:v>OK</x:v>
      </x:c>
      <x:c r="BC86" s="12" t="str">
        <x:v>EUR</x:v>
      </x:c>
      <x:c r="BD86" s="12" t="n">
        <x:v>10</x:v>
      </x:c>
      <x:c r="BE86" s="12" t="n">
        <x:v>10</x:v>
      </x:c>
      <x:c r="BF86" s="12" t="n">
        <x:v>0</x:v>
      </x:c>
      <x:c r="BG86" s="12" t="n">
        <x:v>0</x:v>
      </x:c>
      <x:c r="BH86" s="12" t="n">
        <x:v>0</x:v>
      </x:c>
      <x:c r="BI86" s="12" t="n">
        <x:v>0</x:v>
      </x:c>
      <x:c r="BJ86" s="12" t="n">
        <x:v>0</x:v>
      </x:c>
      <x:c r="BK86" s="12" t="n">
        <x:v>0</x:v>
      </x:c>
      <x:c r="BL86" s="12" t="n">
        <x:v>0</x:v>
      </x:c>
      <x:c r="BM86" s="12" t="n">
        <x:v>0</x:v>
      </x:c>
      <x:c r="BN86" s="12" t="n">
        <x:v>0</x:v>
      </x:c>
      <x:c r="BO86" s="12" t="n">
        <x:v>0</x:v>
      </x:c>
      <x:c r="BP86" s="12" t="n">
        <x:v>0</x:v>
      </x:c>
      <x:c r="BQ86" s="12" t="n">
        <x:v>0</x:v>
      </x:c>
      <x:c r="BR86" s="12" t="n">
        <x:v>0</x:v>
      </x:c>
      <x:c r="BS86" s="12" t="n">
        <x:v>0</x:v>
      </x:c>
    </x:row>
    <x:row r="87" ht="21" customHeight="1">
      <x:c r="A87" s="14" t="n">
        <x:v>45658.729166666664</x:v>
      </x:c>
      <x:c r="B87" s="14" t="n">
        <x:v>45658.739583333336</x:v>
      </x:c>
      <x:c r="C87" s="14" t="n">
        <x:v>45658.8125</x:v>
      </x:c>
      <x:c r="D87" s="15" t="n">
        <x:v>45658</x:v>
      </x:c>
      <x:c r="E87" s="12" t="n">
        <x:v>0.25</x:v>
      </x:c>
      <x:c r="F87" s="12" t="str">
        <x:v>FORMAL</x:v>
      </x:c>
      <x:c r="G87" s="14" t="n">
        <x:v>45658.708333333336</x:v>
      </x:c>
      <x:c r="H87" s="12" t="n">
        <x:v>142.1</x:v>
      </x:c>
      <x:c r="I87" s="12" t="str">
        <x:v>2025-01-01_19</x:v>
      </x:c>
      <x:c r="J87" s="12" t="n">
        <x:v>60</x:v>
      </x:c>
      <x:c r="K87" s="12" t="str">
        <x:v>DA_2025-01-01@80c3f1a8e3ee</x:v>
      </x:c>
      <x:c r="L87" s="15" t="n">
        <x:v>45657</x:v>
      </x:c>
      <x:c r="M87" s="12" t="n">
        <x:v>4.9741</x:v>
      </x:c>
      <x:c r="N87" s="12" t="str">
        <x:v>BNR2024_BOUNDARY@c4397e7f9c31</x:v>
      </x:c>
      <x:c r="O87" s="12"/>
      <x:c r="P87" s="12"/>
      <x:c r="Q87" s="12"/>
      <x:c r="R87" s="12"/>
      <x:c r="S87" s="12" t="str">
        <x:v>OUT_OF_RESEARCH_COVERAGE_PRE_2025_06</x:v>
      </x:c>
      <x:c r="T87" s="12" t="n">
        <x:v>200</x:v>
      </x:c>
      <x:c r="U87" s="12" t="str">
        <x:v>aFRRUp_2025-01-01T17:00:00Z</x:v>
      </x:c>
      <x:c r="V87" s="12" t="str">
        <x:v>tenderStatistics_2025-01@c14c9dea784d</x:v>
      </x:c>
      <x:c r="W87" s="12" t="n">
        <x:v>13.831647936310086</x:v>
      </x:c>
      <x:c r="X87" s="12" t="str">
        <x:v>PUBLISHED_PROXY</x:v>
      </x:c>
      <x:c r="Y87" s="12" t="n">
        <x:v>200</x:v>
      </x:c>
      <x:c r="Z87" s="12" t="str">
        <x:v>aFRRDown_2025-01-01T17:00:00Z</x:v>
      </x:c>
      <x:c r="AA87" s="12" t="str">
        <x:v>tenderStatistics_2025-01@c14c9dea784d</x:v>
      </x:c>
      <x:c r="AB87" s="12" t="n">
        <x:v>14.676021792887155</x:v>
      </x:c>
      <x:c r="AC87" s="12" t="str">
        <x:v>PUBLISHED_PROXY</x:v>
      </x:c>
      <x:c r="AD87" s="12"/>
      <x:c r="AE87" s="12" t="str">
        <x:v>SOURCE_NULL_NOT_MODELED</x:v>
      </x:c>
      <x:c r="AF87" s="12"/>
      <x:c r="AG87" s="12" t="n">
        <x:v>101.82223919905108</x:v>
      </x:c>
      <x:c r="AH87" s="12" t="str">
        <x:v>PUBLISHED_PROXY</x:v>
      </x:c>
      <x:c r="AI87" s="12" t="n">
        <x:v>0.173</x:v>
      </x:c>
      <x:c r="AJ87" s="12" t="n">
        <x:v>58.49158641764339</x:v>
      </x:c>
      <x:c r="AK87" s="12" t="str">
        <x:v>PUBLISHED_PROXY</x:v>
      </x:c>
      <x:c r="AL87" s="12" t="n">
        <x:v>0.106</x:v>
      </x:c>
      <x:c r="AM87" s="12" t="str">
        <x:v>marginalPricesOverview_2025-01@5b9daf9d82d7</x:v>
      </x:c>
      <x:c r="AN87" s="12" t="str">
        <x:v>activatedBalancingEnergyOverview_2025-01@4135ac664b2a</x:v>
      </x:c>
      <x:c r="AO87" s="12" t="str">
        <x:v>PUBLISHED_NATIVE</x:v>
      </x:c>
      <x:c r="AP87" s="12" t="n">
        <x:v>0.0034599999999999</x:v>
      </x:c>
      <x:c r="AQ87" s="12" t="n">
        <x:v>0.00212</x:v>
      </x:c>
      <x:c r="AR87" s="12" t="n">
        <x:v>0.00558</x:v>
      </x:c>
      <x:c r="AS87" s="13" t="b">
        <x:v>1</x:v>
      </x:c>
      <x:c r="AT87" s="13" t="b">
        <x:v>1</x:v>
      </x:c>
      <x:c r="AU87" s="13" t="b">
        <x:v>1</x:v>
      </x:c>
      <x:c r="AV87" s="13" t="b">
        <x:v>1</x:v>
      </x:c>
      <x:c r="AW87" s="13" t="b">
        <x:v>1</x:v>
      </x:c>
      <x:c r="AX87" s="13" t="b">
        <x:v>0</x:v>
      </x:c>
      <x:c r="AY87" s="13" t="b">
        <x:v>0</x:v>
      </x:c>
      <x:c r="AZ87" s="13" t="b">
        <x:v>1</x:v>
      </x:c>
      <x:c r="BA87" s="12" t="str">
        <x:v>OK</x:v>
      </x:c>
      <x:c r="BB87" s="12" t="str">
        <x:v>OK</x:v>
      </x:c>
      <x:c r="BC87" s="12" t="str">
        <x:v>EUR</x:v>
      </x:c>
      <x:c r="BD87" s="12" t="n">
        <x:v>10</x:v>
      </x:c>
      <x:c r="BE87" s="12" t="n">
        <x:v>10</x:v>
      </x:c>
      <x:c r="BF87" s="12" t="n">
        <x:v>0</x:v>
      </x:c>
      <x:c r="BG87" s="12" t="n">
        <x:v>0</x:v>
      </x:c>
      <x:c r="BH87" s="12" t="n">
        <x:v>0</x:v>
      </x:c>
      <x:c r="BI87" s="12" t="n">
        <x:v>0</x:v>
      </x:c>
      <x:c r="BJ87" s="12" t="n">
        <x:v>0</x:v>
      </x:c>
      <x:c r="BK87" s="12" t="n">
        <x:v>0</x:v>
      </x:c>
      <x:c r="BL87" s="12" t="n">
        <x:v>0</x:v>
      </x:c>
      <x:c r="BM87" s="12" t="n">
        <x:v>0</x:v>
      </x:c>
      <x:c r="BN87" s="12" t="n">
        <x:v>0</x:v>
      </x:c>
      <x:c r="BO87" s="12" t="n">
        <x:v>0</x:v>
      </x:c>
      <x:c r="BP87" s="12" t="n">
        <x:v>0</x:v>
      </x:c>
      <x:c r="BQ87" s="12" t="n">
        <x:v>0</x:v>
      </x:c>
      <x:c r="BR87" s="12" t="n">
        <x:v>0</x:v>
      </x:c>
      <x:c r="BS87" s="12" t="n">
        <x:v>0</x:v>
      </x:c>
    </x:row>
    <x:row r="88" ht="21" customHeight="1">
      <x:c r="A88" s="14" t="n">
        <x:v>45658.739583333336</x:v>
      </x:c>
      <x:c r="B88" s="14" t="n">
        <x:v>45658.75</x:v>
      </x:c>
      <x:c r="C88" s="14" t="n">
        <x:v>45658.822916666664</x:v>
      </x:c>
      <x:c r="D88" s="15" t="n">
        <x:v>45658</x:v>
      </x:c>
      <x:c r="E88" s="12" t="n">
        <x:v>0.25</x:v>
      </x:c>
      <x:c r="F88" s="12" t="str">
        <x:v>FORMAL</x:v>
      </x:c>
      <x:c r="G88" s="14" t="n">
        <x:v>45658.708333333336</x:v>
      </x:c>
      <x:c r="H88" s="12" t="n">
        <x:v>142.1</x:v>
      </x:c>
      <x:c r="I88" s="12" t="str">
        <x:v>2025-01-01_19</x:v>
      </x:c>
      <x:c r="J88" s="12" t="n">
        <x:v>60</x:v>
      </x:c>
      <x:c r="K88" s="12" t="str">
        <x:v>DA_2025-01-01@80c3f1a8e3ee</x:v>
      </x:c>
      <x:c r="L88" s="15" t="n">
        <x:v>45657</x:v>
      </x:c>
      <x:c r="M88" s="12" t="n">
        <x:v>4.9741</x:v>
      </x:c>
      <x:c r="N88" s="12" t="str">
        <x:v>BNR2024_BOUNDARY@c4397e7f9c31</x:v>
      </x:c>
      <x:c r="O88" s="12"/>
      <x:c r="P88" s="12"/>
      <x:c r="Q88" s="12"/>
      <x:c r="R88" s="12"/>
      <x:c r="S88" s="12" t="str">
        <x:v>OUT_OF_RESEARCH_COVERAGE_PRE_2025_06</x:v>
      </x:c>
      <x:c r="T88" s="12" t="n">
        <x:v>200</x:v>
      </x:c>
      <x:c r="U88" s="12" t="str">
        <x:v>aFRRUp_2025-01-01T17:00:00Z</x:v>
      </x:c>
      <x:c r="V88" s="12" t="str">
        <x:v>tenderStatistics_2025-01@c14c9dea784d</x:v>
      </x:c>
      <x:c r="W88" s="12" t="n">
        <x:v>13.831647936310086</x:v>
      </x:c>
      <x:c r="X88" s="12" t="str">
        <x:v>PUBLISHED_PROXY</x:v>
      </x:c>
      <x:c r="Y88" s="12" t="n">
        <x:v>200</x:v>
      </x:c>
      <x:c r="Z88" s="12" t="str">
        <x:v>aFRRDown_2025-01-01T17:00:00Z</x:v>
      </x:c>
      <x:c r="AA88" s="12" t="str">
        <x:v>tenderStatistics_2025-01@c14c9dea784d</x:v>
      </x:c>
      <x:c r="AB88" s="12" t="n">
        <x:v>14.676021792887155</x:v>
      </x:c>
      <x:c r="AC88" s="12" t="str">
        <x:v>PUBLISHED_PROXY</x:v>
      </x:c>
      <x:c r="AD88" s="12"/>
      <x:c r="AE88" s="12" t="str">
        <x:v>SOURCE_NULL_NOT_MODELED</x:v>
      </x:c>
      <x:c r="AF88" s="12"/>
      <x:c r="AG88" s="12" t="n">
        <x:v>170.24929132908466</x:v>
      </x:c>
      <x:c r="AH88" s="12" t="str">
        <x:v>PUBLISHED_PROXY</x:v>
      </x:c>
      <x:c r="AI88" s="12" t="n">
        <x:v>8.706</x:v>
      </x:c>
      <x:c r="AJ88" s="12" t="n">
        <x:v>0</x:v>
      </x:c>
      <x:c r="AK88" s="12" t="str">
        <x:v>PUBLISHED_PROXY</x:v>
      </x:c>
      <x:c r="AL88" s="12" t="n">
        <x:v>0</x:v>
      </x:c>
      <x:c r="AM88" s="12" t="str">
        <x:v>marginalPricesOverview_2025-01@5b9daf9d82d7</x:v>
      </x:c>
      <x:c r="AN88" s="12" t="str">
        <x:v>activatedBalancingEnergyOverview_2025-01@4135ac664b2a</x:v>
      </x:c>
      <x:c r="AO88" s="12" t="str">
        <x:v>PUBLISHED_NATIVE</x:v>
      </x:c>
      <x:c r="AP88" s="12" t="n">
        <x:v>0.17412</x:v>
      </x:c>
      <x:c r="AQ88" s="12" t="n">
        <x:v>0</x:v>
      </x:c>
      <x:c r="AR88" s="12" t="n">
        <x:v>0.17412</x:v>
      </x:c>
      <x:c r="AS88" s="13" t="b">
        <x:v>1</x:v>
      </x:c>
      <x:c r="AT88" s="13" t="b">
        <x:v>1</x:v>
      </x:c>
      <x:c r="AU88" s="13" t="b">
        <x:v>1</x:v>
      </x:c>
      <x:c r="AV88" s="13" t="b">
        <x:v>1</x:v>
      </x:c>
      <x:c r="AW88" s="13" t="b">
        <x:v>1</x:v>
      </x:c>
      <x:c r="AX88" s="13" t="b">
        <x:v>0</x:v>
      </x:c>
      <x:c r="AY88" s="13" t="b">
        <x:v>0</x:v>
      </x:c>
      <x:c r="AZ88" s="13" t="b">
        <x:v>1</x:v>
      </x:c>
      <x:c r="BA88" s="12" t="str">
        <x:v>OK</x:v>
      </x:c>
      <x:c r="BB88" s="12" t="str">
        <x:v>OK</x:v>
      </x:c>
      <x:c r="BC88" s="12" t="str">
        <x:v>EUR</x:v>
      </x:c>
      <x:c r="BD88" s="12" t="n">
        <x:v>10</x:v>
      </x:c>
      <x:c r="BE88" s="12" t="n">
        <x:v>10</x:v>
      </x:c>
      <x:c r="BF88" s="12" t="n">
        <x:v>0</x:v>
      </x:c>
      <x:c r="BG88" s="12" t="n">
        <x:v>0</x:v>
      </x:c>
      <x:c r="BH88" s="12" t="n">
        <x:v>0</x:v>
      </x:c>
      <x:c r="BI88" s="12" t="n">
        <x:v>0</x:v>
      </x:c>
      <x:c r="BJ88" s="12" t="n">
        <x:v>0</x:v>
      </x:c>
      <x:c r="BK88" s="12" t="n">
        <x:v>0</x:v>
      </x:c>
      <x:c r="BL88" s="12" t="n">
        <x:v>0</x:v>
      </x:c>
      <x:c r="BM88" s="12" t="n">
        <x:v>0</x:v>
      </x:c>
      <x:c r="BN88" s="12" t="n">
        <x:v>0</x:v>
      </x:c>
      <x:c r="BO88" s="12" t="n">
        <x:v>0</x:v>
      </x:c>
      <x:c r="BP88" s="12" t="n">
        <x:v>0</x:v>
      </x:c>
      <x:c r="BQ88" s="12" t="n">
        <x:v>0</x:v>
      </x:c>
      <x:c r="BR88" s="12" t="n">
        <x:v>0</x:v>
      </x:c>
      <x:c r="BS88" s="12" t="n">
        <x:v>0</x:v>
      </x:c>
    </x:row>
    <x:row r="89" ht="21" customHeight="1">
      <x:c r="A89" s="14" t="n">
        <x:v>45658.75</x:v>
      </x:c>
      <x:c r="B89" s="14" t="n">
        <x:v>45658.760416666664</x:v>
      </x:c>
      <x:c r="C89" s="14" t="n">
        <x:v>45658.833333333336</x:v>
      </x:c>
      <x:c r="D89" s="15" t="n">
        <x:v>45658</x:v>
      </x:c>
      <x:c r="E89" s="12" t="n">
        <x:v>0.25</x:v>
      </x:c>
      <x:c r="F89" s="12" t="str">
        <x:v>FORMAL</x:v>
      </x:c>
      <x:c r="G89" s="14" t="n">
        <x:v>45658.75</x:v>
      </x:c>
      <x:c r="H89" s="12" t="n">
        <x:v>149.55</x:v>
      </x:c>
      <x:c r="I89" s="12" t="str">
        <x:v>2025-01-01_20</x:v>
      </x:c>
      <x:c r="J89" s="12" t="n">
        <x:v>60</x:v>
      </x:c>
      <x:c r="K89" s="12" t="str">
        <x:v>DA_2025-01-01@80c3f1a8e3ee</x:v>
      </x:c>
      <x:c r="L89" s="15" t="n">
        <x:v>45657</x:v>
      </x:c>
      <x:c r="M89" s="12" t="n">
        <x:v>4.9741</x:v>
      </x:c>
      <x:c r="N89" s="12" t="str">
        <x:v>BNR2024_BOUNDARY@c4397e7f9c31</x:v>
      </x:c>
      <x:c r="O89" s="12"/>
      <x:c r="P89" s="12"/>
      <x:c r="Q89" s="12"/>
      <x:c r="R89" s="12"/>
      <x:c r="S89" s="12" t="str">
        <x:v>OUT_OF_RESEARCH_COVERAGE_PRE_2025_06</x:v>
      </x:c>
      <x:c r="T89" s="12" t="n">
        <x:v>200</x:v>
      </x:c>
      <x:c r="U89" s="12" t="str">
        <x:v>aFRRUp_2025-01-01T18:00:00Z</x:v>
      </x:c>
      <x:c r="V89" s="12" t="str">
        <x:v>tenderStatistics_2025-01@c14c9dea784d</x:v>
      </x:c>
      <x:c r="W89" s="12" t="n">
        <x:v>13.831647936310086</x:v>
      </x:c>
      <x:c r="X89" s="12" t="str">
        <x:v>PUBLISHED_PROXY</x:v>
      </x:c>
      <x:c r="Y89" s="12" t="n">
        <x:v>200</x:v>
      </x:c>
      <x:c r="Z89" s="12" t="str">
        <x:v>aFRRDown_2025-01-01T18:00:00Z</x:v>
      </x:c>
      <x:c r="AA89" s="12" t="str">
        <x:v>tenderStatistics_2025-01@c14c9dea784d</x:v>
      </x:c>
      <x:c r="AB89" s="12" t="n">
        <x:v>14.710198829939085</x:v>
      </x:c>
      <x:c r="AC89" s="12" t="str">
        <x:v>PUBLISHED_PROXY</x:v>
      </x:c>
      <x:c r="AD89" s="12"/>
      <x:c r="AE89" s="12" t="str">
        <x:v>SOURCE_NULL_NOT_MODELED</x:v>
      </x:c>
      <x:c r="AF89" s="12"/>
      <x:c r="AG89" s="12" t="n">
        <x:v>190.7315896343057</x:v>
      </x:c>
      <x:c r="AH89" s="12" t="str">
        <x:v>PUBLISHED_PROXY</x:v>
      </x:c>
      <x:c r="AI89" s="12" t="n">
        <x:v>9.008</x:v>
      </x:c>
      <x:c r="AJ89" s="12" t="n">
        <x:v>0</x:v>
      </x:c>
      <x:c r="AK89" s="12" t="str">
        <x:v>PUBLISHED_PROXY</x:v>
      </x:c>
      <x:c r="AL89" s="12" t="n">
        <x:v>0</x:v>
      </x:c>
      <x:c r="AM89" s="12" t="str">
        <x:v>marginalPricesOverview_2025-01@5b9daf9d82d7</x:v>
      </x:c>
      <x:c r="AN89" s="12" t="str">
        <x:v>activatedBalancingEnergyOverview_2025-01@4135ac664b2a</x:v>
      </x:c>
      <x:c r="AO89" s="12" t="str">
        <x:v>PUBLISHED_NATIVE</x:v>
      </x:c>
      <x:c r="AP89" s="12" t="n">
        <x:v>0.18016</x:v>
      </x:c>
      <x:c r="AQ89" s="12" t="n">
        <x:v>0</x:v>
      </x:c>
      <x:c r="AR89" s="12" t="n">
        <x:v>0.18016</x:v>
      </x:c>
      <x:c r="AS89" s="13" t="b">
        <x:v>1</x:v>
      </x:c>
      <x:c r="AT89" s="13" t="b">
        <x:v>1</x:v>
      </x:c>
      <x:c r="AU89" s="13" t="b">
        <x:v>1</x:v>
      </x:c>
      <x:c r="AV89" s="13" t="b">
        <x:v>1</x:v>
      </x:c>
      <x:c r="AW89" s="13" t="b">
        <x:v>1</x:v>
      </x:c>
      <x:c r="AX89" s="13" t="b">
        <x:v>0</x:v>
      </x:c>
      <x:c r="AY89" s="13" t="b">
        <x:v>0</x:v>
      </x:c>
      <x:c r="AZ89" s="13" t="b">
        <x:v>1</x:v>
      </x:c>
      <x:c r="BA89" s="12" t="str">
        <x:v>OK</x:v>
      </x:c>
      <x:c r="BB89" s="12" t="str">
        <x:v>OK</x:v>
      </x:c>
      <x:c r="BC89" s="12" t="str">
        <x:v>EUR</x:v>
      </x:c>
      <x:c r="BD89" s="12" t="n">
        <x:v>10</x:v>
      </x:c>
      <x:c r="BE89" s="12" t="n">
        <x:v>10</x:v>
      </x:c>
      <x:c r="BF89" s="12" t="n">
        <x:v>0</x:v>
      </x:c>
      <x:c r="BG89" s="12" t="n">
        <x:v>0</x:v>
      </x:c>
      <x:c r="BH89" s="12" t="n">
        <x:v>0</x:v>
      </x:c>
      <x:c r="BI89" s="12" t="n">
        <x:v>0</x:v>
      </x:c>
      <x:c r="BJ89" s="12" t="n">
        <x:v>0</x:v>
      </x:c>
      <x:c r="BK89" s="12" t="n">
        <x:v>0</x:v>
      </x:c>
      <x:c r="BL89" s="12" t="n">
        <x:v>0</x:v>
      </x:c>
      <x:c r="BM89" s="12" t="n">
        <x:v>0</x:v>
      </x:c>
      <x:c r="BN89" s="12" t="n">
        <x:v>0</x:v>
      </x:c>
      <x:c r="BO89" s="12" t="n">
        <x:v>0</x:v>
      </x:c>
      <x:c r="BP89" s="12" t="n">
        <x:v>0</x:v>
      </x:c>
      <x:c r="BQ89" s="12" t="n">
        <x:v>0</x:v>
      </x:c>
      <x:c r="BR89" s="12" t="n">
        <x:v>0</x:v>
      </x:c>
      <x:c r="BS89" s="12" t="n">
        <x:v>0</x:v>
      </x:c>
    </x:row>
    <x:row r="90" ht="21" customHeight="1">
      <x:c r="A90" s="14" t="n">
        <x:v>45658.760416666664</x:v>
      </x:c>
      <x:c r="B90" s="14" t="n">
        <x:v>45658.770833333336</x:v>
      </x:c>
      <x:c r="C90" s="14" t="n">
        <x:v>45658.84375</x:v>
      </x:c>
      <x:c r="D90" s="15" t="n">
        <x:v>45658</x:v>
      </x:c>
      <x:c r="E90" s="12" t="n">
        <x:v>0.25</x:v>
      </x:c>
      <x:c r="F90" s="12" t="str">
        <x:v>FORMAL</x:v>
      </x:c>
      <x:c r="G90" s="14" t="n">
        <x:v>45658.75</x:v>
      </x:c>
      <x:c r="H90" s="12" t="n">
        <x:v>149.55</x:v>
      </x:c>
      <x:c r="I90" s="12" t="str">
        <x:v>2025-01-01_20</x:v>
      </x:c>
      <x:c r="J90" s="12" t="n">
        <x:v>60</x:v>
      </x:c>
      <x:c r="K90" s="12" t="str">
        <x:v>DA_2025-01-01@80c3f1a8e3ee</x:v>
      </x:c>
      <x:c r="L90" s="15" t="n">
        <x:v>45657</x:v>
      </x:c>
      <x:c r="M90" s="12" t="n">
        <x:v>4.9741</x:v>
      </x:c>
      <x:c r="N90" s="12" t="str">
        <x:v>BNR2024_BOUNDARY@c4397e7f9c31</x:v>
      </x:c>
      <x:c r="O90" s="12"/>
      <x:c r="P90" s="12"/>
      <x:c r="Q90" s="12"/>
      <x:c r="R90" s="12"/>
      <x:c r="S90" s="12" t="str">
        <x:v>OUT_OF_RESEARCH_COVERAGE_PRE_2025_06</x:v>
      </x:c>
      <x:c r="T90" s="12" t="n">
        <x:v>200</x:v>
      </x:c>
      <x:c r="U90" s="12" t="str">
        <x:v>aFRRUp_2025-01-01T18:00:00Z</x:v>
      </x:c>
      <x:c r="V90" s="12" t="str">
        <x:v>tenderStatistics_2025-01@c14c9dea784d</x:v>
      </x:c>
      <x:c r="W90" s="12" t="n">
        <x:v>13.831647936310086</x:v>
      </x:c>
      <x:c r="X90" s="12" t="str">
        <x:v>PUBLISHED_PROXY</x:v>
      </x:c>
      <x:c r="Y90" s="12" t="n">
        <x:v>200</x:v>
      </x:c>
      <x:c r="Z90" s="12" t="str">
        <x:v>aFRRDown_2025-01-01T18:00:00Z</x:v>
      </x:c>
      <x:c r="AA90" s="12" t="str">
        <x:v>tenderStatistics_2025-01@c14c9dea784d</x:v>
      </x:c>
      <x:c r="AB90" s="12" t="n">
        <x:v>14.710198829939085</x:v>
      </x:c>
      <x:c r="AC90" s="12" t="str">
        <x:v>PUBLISHED_PROXY</x:v>
      </x:c>
      <x:c r="AD90" s="12"/>
      <x:c r="AE90" s="12" t="str">
        <x:v>SOURCE_NULL_NOT_MODELED</x:v>
      </x:c>
      <x:c r="AF90" s="12"/>
      <x:c r="AG90" s="12" t="n">
        <x:v>201.00761946884865</x:v>
      </x:c>
      <x:c r="AH90" s="12" t="str">
        <x:v>PUBLISHED_PROXY</x:v>
      </x:c>
      <x:c r="AI90" s="12" t="n">
        <x:v>11.98</x:v>
      </x:c>
      <x:c r="AJ90" s="12" t="n">
        <x:v>0</x:v>
      </x:c>
      <x:c r="AK90" s="12" t="str">
        <x:v>PUBLISHED_PROXY</x:v>
      </x:c>
      <x:c r="AL90" s="12" t="n">
        <x:v>0</x:v>
      </x:c>
      <x:c r="AM90" s="12" t="str">
        <x:v>marginalPricesOverview_2025-01@5b9daf9d82d7</x:v>
      </x:c>
      <x:c r="AN90" s="12" t="str">
        <x:v>activatedBalancingEnergyOverview_2025-01@4135ac664b2a</x:v>
      </x:c>
      <x:c r="AO90" s="12" t="str">
        <x:v>PUBLISHED_NATIVE</x:v>
      </x:c>
      <x:c r="AP90" s="12" t="n">
        <x:v>0.2396</x:v>
      </x:c>
      <x:c r="AQ90" s="12" t="n">
        <x:v>0</x:v>
      </x:c>
      <x:c r="AR90" s="12" t="n">
        <x:v>0.2396</x:v>
      </x:c>
      <x:c r="AS90" s="13" t="b">
        <x:v>1</x:v>
      </x:c>
      <x:c r="AT90" s="13" t="b">
        <x:v>1</x:v>
      </x:c>
      <x:c r="AU90" s="13" t="b">
        <x:v>1</x:v>
      </x:c>
      <x:c r="AV90" s="13" t="b">
        <x:v>1</x:v>
      </x:c>
      <x:c r="AW90" s="13" t="b">
        <x:v>1</x:v>
      </x:c>
      <x:c r="AX90" s="13" t="b">
        <x:v>0</x:v>
      </x:c>
      <x:c r="AY90" s="13" t="b">
        <x:v>0</x:v>
      </x:c>
      <x:c r="AZ90" s="13" t="b">
        <x:v>1</x:v>
      </x:c>
      <x:c r="BA90" s="12" t="str">
        <x:v>OK</x:v>
      </x:c>
      <x:c r="BB90" s="12" t="str">
        <x:v>OK</x:v>
      </x:c>
      <x:c r="BC90" s="12" t="str">
        <x:v>EUR</x:v>
      </x:c>
      <x:c r="BD90" s="12" t="n">
        <x:v>10</x:v>
      </x:c>
      <x:c r="BE90" s="12" t="n">
        <x:v>10</x:v>
      </x:c>
      <x:c r="BF90" s="12" t="n">
        <x:v>0</x:v>
      </x:c>
      <x:c r="BG90" s="12" t="n">
        <x:v>0</x:v>
      </x:c>
      <x:c r="BH90" s="12" t="n">
        <x:v>0</x:v>
      </x:c>
      <x:c r="BI90" s="12" t="n">
        <x:v>0</x:v>
      </x:c>
      <x:c r="BJ90" s="12" t="n">
        <x:v>0</x:v>
      </x:c>
      <x:c r="BK90" s="12" t="n">
        <x:v>0</x:v>
      </x:c>
      <x:c r="BL90" s="12" t="n">
        <x:v>0</x:v>
      </x:c>
      <x:c r="BM90" s="12" t="n">
        <x:v>0</x:v>
      </x:c>
      <x:c r="BN90" s="12" t="n">
        <x:v>0</x:v>
      </x:c>
      <x:c r="BO90" s="12" t="n">
        <x:v>0</x:v>
      </x:c>
      <x:c r="BP90" s="12" t="n">
        <x:v>0</x:v>
      </x:c>
      <x:c r="BQ90" s="12" t="n">
        <x:v>0</x:v>
      </x:c>
      <x:c r="BR90" s="12" t="n">
        <x:v>0</x:v>
      </x:c>
      <x:c r="BS90" s="12" t="n">
        <x:v>0</x:v>
      </x:c>
    </x:row>
    <x:row r="91" ht="21" customHeight="1">
      <x:c r="A91" s="14" t="n">
        <x:v>45658.770833333336</x:v>
      </x:c>
      <x:c r="B91" s="14" t="n">
        <x:v>45658.78125</x:v>
      </x:c>
      <x:c r="C91" s="14" t="n">
        <x:v>45658.854166666664</x:v>
      </x:c>
      <x:c r="D91" s="15" t="n">
        <x:v>45658</x:v>
      </x:c>
      <x:c r="E91" s="12" t="n">
        <x:v>0.25</x:v>
      </x:c>
      <x:c r="F91" s="12" t="str">
        <x:v>FORMAL</x:v>
      </x:c>
      <x:c r="G91" s="14" t="n">
        <x:v>45658.75</x:v>
      </x:c>
      <x:c r="H91" s="12" t="n">
        <x:v>149.55</x:v>
      </x:c>
      <x:c r="I91" s="12" t="str">
        <x:v>2025-01-01_20</x:v>
      </x:c>
      <x:c r="J91" s="12" t="n">
        <x:v>60</x:v>
      </x:c>
      <x:c r="K91" s="12" t="str">
        <x:v>DA_2025-01-01@80c3f1a8e3ee</x:v>
      </x:c>
      <x:c r="L91" s="15" t="n">
        <x:v>45657</x:v>
      </x:c>
      <x:c r="M91" s="12" t="n">
        <x:v>4.9741</x:v>
      </x:c>
      <x:c r="N91" s="12" t="str">
        <x:v>BNR2024_BOUNDARY@c4397e7f9c31</x:v>
      </x:c>
      <x:c r="O91" s="12"/>
      <x:c r="P91" s="12"/>
      <x:c r="Q91" s="12"/>
      <x:c r="R91" s="12"/>
      <x:c r="S91" s="12" t="str">
        <x:v>OUT_OF_RESEARCH_COVERAGE_PRE_2025_06</x:v>
      </x:c>
      <x:c r="T91" s="12" t="n">
        <x:v>200</x:v>
      </x:c>
      <x:c r="U91" s="12" t="str">
        <x:v>aFRRUp_2025-01-01T18:00:00Z</x:v>
      </x:c>
      <x:c r="V91" s="12" t="str">
        <x:v>tenderStatistics_2025-01@c14c9dea784d</x:v>
      </x:c>
      <x:c r="W91" s="12" t="n">
        <x:v>13.831647936310086</x:v>
      </x:c>
      <x:c r="X91" s="12" t="str">
        <x:v>PUBLISHED_PROXY</x:v>
      </x:c>
      <x:c r="Y91" s="12" t="n">
        <x:v>200</x:v>
      </x:c>
      <x:c r="Z91" s="12" t="str">
        <x:v>aFRRDown_2025-01-01T18:00:00Z</x:v>
      </x:c>
      <x:c r="AA91" s="12" t="str">
        <x:v>tenderStatistics_2025-01@c14c9dea784d</x:v>
      </x:c>
      <x:c r="AB91" s="12" t="n">
        <x:v>14.710198829939085</x:v>
      </x:c>
      <x:c r="AC91" s="12" t="str">
        <x:v>PUBLISHED_PROXY</x:v>
      </x:c>
      <x:c r="AD91" s="12"/>
      <x:c r="AE91" s="12" t="str">
        <x:v>SOURCE_NULL_NOT_MODELED</x:v>
      </x:c>
      <x:c r="AF91" s="12"/>
      <x:c r="AG91" s="12" t="n">
        <x:v>156.0967813272753</x:v>
      </x:c>
      <x:c r="AH91" s="12" t="str">
        <x:v>PUBLISHED_PROXY</x:v>
      </x:c>
      <x:c r="AI91" s="12" t="n">
        <x:v>2.007</x:v>
      </x:c>
      <x:c r="AJ91" s="12" t="n">
        <x:v>33.268732031925374</x:v>
      </x:c>
      <x:c r="AK91" s="12" t="str">
        <x:v>PUBLISHED_PROXY</x:v>
      </x:c>
      <x:c r="AL91" s="12" t="n">
        <x:v>0.481</x:v>
      </x:c>
      <x:c r="AM91" s="12" t="str">
        <x:v>marginalPricesOverview_2025-01@5b9daf9d82d7</x:v>
      </x:c>
      <x:c r="AN91" s="12" t="str">
        <x:v>activatedBalancingEnergyOverview_2025-01@4135ac664b2a</x:v>
      </x:c>
      <x:c r="AO91" s="12" t="str">
        <x:v>PUBLISHED_NATIVE</x:v>
      </x:c>
      <x:c r="AP91" s="12" t="n">
        <x:v>0.04014</x:v>
      </x:c>
      <x:c r="AQ91" s="12" t="n">
        <x:v>0.00962</x:v>
      </x:c>
      <x:c r="AR91" s="12" t="n">
        <x:v>0.04976</x:v>
      </x:c>
      <x:c r="AS91" s="13" t="b">
        <x:v>1</x:v>
      </x:c>
      <x:c r="AT91" s="13" t="b">
        <x:v>1</x:v>
      </x:c>
      <x:c r="AU91" s="13" t="b">
        <x:v>1</x:v>
      </x:c>
      <x:c r="AV91" s="13" t="b">
        <x:v>1</x:v>
      </x:c>
      <x:c r="AW91" s="13" t="b">
        <x:v>1</x:v>
      </x:c>
      <x:c r="AX91" s="13" t="b">
        <x:v>0</x:v>
      </x:c>
      <x:c r="AY91" s="13" t="b">
        <x:v>0</x:v>
      </x:c>
      <x:c r="AZ91" s="13" t="b">
        <x:v>1</x:v>
      </x:c>
      <x:c r="BA91" s="12" t="str">
        <x:v>OK</x:v>
      </x:c>
      <x:c r="BB91" s="12" t="str">
        <x:v>OK</x:v>
      </x:c>
      <x:c r="BC91" s="12" t="str">
        <x:v>EUR</x:v>
      </x:c>
      <x:c r="BD91" s="12" t="n">
        <x:v>10</x:v>
      </x:c>
      <x:c r="BE91" s="12" t="n">
        <x:v>10</x:v>
      </x:c>
      <x:c r="BF91" s="12" t="n">
        <x:v>0</x:v>
      </x:c>
      <x:c r="BG91" s="12" t="n">
        <x:v>0</x:v>
      </x:c>
      <x:c r="BH91" s="12" t="n">
        <x:v>0</x:v>
      </x:c>
      <x:c r="BI91" s="12" t="n">
        <x:v>0</x:v>
      </x:c>
      <x:c r="BJ91" s="12" t="n">
        <x:v>0</x:v>
      </x:c>
      <x:c r="BK91" s="12" t="n">
        <x:v>0</x:v>
      </x:c>
      <x:c r="BL91" s="12" t="n">
        <x:v>0</x:v>
      </x:c>
      <x:c r="BM91" s="12" t="n">
        <x:v>0</x:v>
      </x:c>
      <x:c r="BN91" s="12" t="n">
        <x:v>0</x:v>
      </x:c>
      <x:c r="BO91" s="12" t="n">
        <x:v>0</x:v>
      </x:c>
      <x:c r="BP91" s="12" t="n">
        <x:v>0</x:v>
      </x:c>
      <x:c r="BQ91" s="12" t="n">
        <x:v>0</x:v>
      </x:c>
      <x:c r="BR91" s="12" t="n">
        <x:v>0</x:v>
      </x:c>
      <x:c r="BS91" s="12" t="n">
        <x:v>0</x:v>
      </x:c>
    </x:row>
    <x:row r="92" ht="21" customHeight="1">
      <x:c r="A92" s="14" t="n">
        <x:v>45658.78125</x:v>
      </x:c>
      <x:c r="B92" s="14" t="n">
        <x:v>45658.791666666664</x:v>
      </x:c>
      <x:c r="C92" s="14" t="n">
        <x:v>45658.864583333336</x:v>
      </x:c>
      <x:c r="D92" s="15" t="n">
        <x:v>45658</x:v>
      </x:c>
      <x:c r="E92" s="12" t="n">
        <x:v>0.25</x:v>
      </x:c>
      <x:c r="F92" s="12" t="str">
        <x:v>FORMAL</x:v>
      </x:c>
      <x:c r="G92" s="14" t="n">
        <x:v>45658.75</x:v>
      </x:c>
      <x:c r="H92" s="12" t="n">
        <x:v>149.55</x:v>
      </x:c>
      <x:c r="I92" s="12" t="str">
        <x:v>2025-01-01_20</x:v>
      </x:c>
      <x:c r="J92" s="12" t="n">
        <x:v>60</x:v>
      </x:c>
      <x:c r="K92" s="12" t="str">
        <x:v>DA_2025-01-01@80c3f1a8e3ee</x:v>
      </x:c>
      <x:c r="L92" s="15" t="n">
        <x:v>45657</x:v>
      </x:c>
      <x:c r="M92" s="12" t="n">
        <x:v>4.9741</x:v>
      </x:c>
      <x:c r="N92" s="12" t="str">
        <x:v>BNR2024_BOUNDARY@c4397e7f9c31</x:v>
      </x:c>
      <x:c r="O92" s="12"/>
      <x:c r="P92" s="12"/>
      <x:c r="Q92" s="12"/>
      <x:c r="R92" s="12"/>
      <x:c r="S92" s="12" t="str">
        <x:v>OUT_OF_RESEARCH_COVERAGE_PRE_2025_06</x:v>
      </x:c>
      <x:c r="T92" s="12" t="n">
        <x:v>200</x:v>
      </x:c>
      <x:c r="U92" s="12" t="str">
        <x:v>aFRRUp_2025-01-01T18:00:00Z</x:v>
      </x:c>
      <x:c r="V92" s="12" t="str">
        <x:v>tenderStatistics_2025-01@c14c9dea784d</x:v>
      </x:c>
      <x:c r="W92" s="12" t="n">
        <x:v>13.831647936310086</x:v>
      </x:c>
      <x:c r="X92" s="12" t="str">
        <x:v>PUBLISHED_PROXY</x:v>
      </x:c>
      <x:c r="Y92" s="12" t="n">
        <x:v>200</x:v>
      </x:c>
      <x:c r="Z92" s="12" t="str">
        <x:v>aFRRDown_2025-01-01T18:00:00Z</x:v>
      </x:c>
      <x:c r="AA92" s="12" t="str">
        <x:v>tenderStatistics_2025-01@c14c9dea784d</x:v>
      </x:c>
      <x:c r="AB92" s="12" t="n">
        <x:v>14.710198829939085</x:v>
      </x:c>
      <x:c r="AC92" s="12" t="str">
        <x:v>PUBLISHED_PROXY</x:v>
      </x:c>
      <x:c r="AD92" s="12"/>
      <x:c r="AE92" s="12" t="str">
        <x:v>SOURCE_NULL_NOT_MODELED</x:v>
      </x:c>
      <x:c r="AF92" s="12"/>
      <x:c r="AG92" s="12" t="n">
        <x:v>0</x:v>
      </x:c>
      <x:c r="AH92" s="12" t="str">
        <x:v>PUBLISHED_PROXY</x:v>
      </x:c>
      <x:c r="AI92" s="12" t="n">
        <x:v>0</x:v>
      </x:c>
      <x:c r="AJ92" s="12" t="n">
        <x:v>19.747290967210148</x:v>
      </x:c>
      <x:c r="AK92" s="12" t="str">
        <x:v>PUBLISHED_PROXY</x:v>
      </x:c>
      <x:c r="AL92" s="12" t="n">
        <x:v>7.364</x:v>
      </x:c>
      <x:c r="AM92" s="12" t="str">
        <x:v>marginalPricesOverview_2025-01@5b9daf9d82d7</x:v>
      </x:c>
      <x:c r="AN92" s="12" t="str">
        <x:v>activatedBalancingEnergyOverview_2025-01@4135ac664b2a</x:v>
      </x:c>
      <x:c r="AO92" s="12" t="str">
        <x:v>PUBLISHED_NATIVE</x:v>
      </x:c>
      <x:c r="AP92" s="12" t="n">
        <x:v>0</x:v>
      </x:c>
      <x:c r="AQ92" s="12" t="n">
        <x:v>0.14728</x:v>
      </x:c>
      <x:c r="AR92" s="12" t="n">
        <x:v>0.14728</x:v>
      </x:c>
      <x:c r="AS92" s="13" t="b">
        <x:v>1</x:v>
      </x:c>
      <x:c r="AT92" s="13" t="b">
        <x:v>1</x:v>
      </x:c>
      <x:c r="AU92" s="13" t="b">
        <x:v>1</x:v>
      </x:c>
      <x:c r="AV92" s="13" t="b">
        <x:v>1</x:v>
      </x:c>
      <x:c r="AW92" s="13" t="b">
        <x:v>1</x:v>
      </x:c>
      <x:c r="AX92" s="13" t="b">
        <x:v>0</x:v>
      </x:c>
      <x:c r="AY92" s="13" t="b">
        <x:v>0</x:v>
      </x:c>
      <x:c r="AZ92" s="13" t="b">
        <x:v>1</x:v>
      </x:c>
      <x:c r="BA92" s="12" t="str">
        <x:v>OK</x:v>
      </x:c>
      <x:c r="BB92" s="12" t="str">
        <x:v>OK</x:v>
      </x:c>
      <x:c r="BC92" s="12" t="str">
        <x:v>EUR</x:v>
      </x:c>
      <x:c r="BD92" s="12" t="n">
        <x:v>10</x:v>
      </x:c>
      <x:c r="BE92" s="12" t="n">
        <x:v>10</x:v>
      </x:c>
      <x:c r="BF92" s="12" t="n">
        <x:v>0</x:v>
      </x:c>
      <x:c r="BG92" s="12" t="n">
        <x:v>0</x:v>
      </x:c>
      <x:c r="BH92" s="12" t="n">
        <x:v>0</x:v>
      </x:c>
      <x:c r="BI92" s="12" t="n">
        <x:v>0</x:v>
      </x:c>
      <x:c r="BJ92" s="12" t="n">
        <x:v>0</x:v>
      </x:c>
      <x:c r="BK92" s="12" t="n">
        <x:v>0</x:v>
      </x:c>
      <x:c r="BL92" s="12" t="n">
        <x:v>0</x:v>
      </x:c>
      <x:c r="BM92" s="12" t="n">
        <x:v>0</x:v>
      </x:c>
      <x:c r="BN92" s="12" t="n">
        <x:v>0</x:v>
      </x:c>
      <x:c r="BO92" s="12" t="n">
        <x:v>0</x:v>
      </x:c>
      <x:c r="BP92" s="12" t="n">
        <x:v>0</x:v>
      </x:c>
      <x:c r="BQ92" s="12" t="n">
        <x:v>0</x:v>
      </x:c>
      <x:c r="BR92" s="12" t="n">
        <x:v>0</x:v>
      </x:c>
      <x:c r="BS92" s="12" t="n">
        <x:v>0</x:v>
      </x:c>
    </x:row>
    <x:row r="93" ht="21" customHeight="1">
      <x:c r="A93" s="14" t="n">
        <x:v>45658.791666666664</x:v>
      </x:c>
      <x:c r="B93" s="14" t="n">
        <x:v>45658.802083333336</x:v>
      </x:c>
      <x:c r="C93" s="14" t="n">
        <x:v>45658.875</x:v>
      </x:c>
      <x:c r="D93" s="15" t="n">
        <x:v>45658</x:v>
      </x:c>
      <x:c r="E93" s="12" t="n">
        <x:v>0.25</x:v>
      </x:c>
      <x:c r="F93" s="12" t="str">
        <x:v>FORMAL</x:v>
      </x:c>
      <x:c r="G93" s="14" t="n">
        <x:v>45658.791666666664</x:v>
      </x:c>
      <x:c r="H93" s="12" t="n">
        <x:v>139.62</x:v>
      </x:c>
      <x:c r="I93" s="12" t="str">
        <x:v>2025-01-01_21</x:v>
      </x:c>
      <x:c r="J93" s="12" t="n">
        <x:v>60</x:v>
      </x:c>
      <x:c r="K93" s="12" t="str">
        <x:v>DA_2025-01-01@80c3f1a8e3ee</x:v>
      </x:c>
      <x:c r="L93" s="15" t="n">
        <x:v>45657</x:v>
      </x:c>
      <x:c r="M93" s="12" t="n">
        <x:v>4.9741</x:v>
      </x:c>
      <x:c r="N93" s="12" t="str">
        <x:v>BNR2024_BOUNDARY@c4397e7f9c31</x:v>
      </x:c>
      <x:c r="O93" s="12"/>
      <x:c r="P93" s="12"/>
      <x:c r="Q93" s="12"/>
      <x:c r="R93" s="12"/>
      <x:c r="S93" s="12" t="str">
        <x:v>OUT_OF_RESEARCH_COVERAGE_PRE_2025_06</x:v>
      </x:c>
      <x:c r="T93" s="12" t="n">
        <x:v>200</x:v>
      </x:c>
      <x:c r="U93" s="12" t="str">
        <x:v>aFRRUp_2025-01-01T19:00:00Z</x:v>
      </x:c>
      <x:c r="V93" s="12" t="str">
        <x:v>tenderStatistics_2025-01@c14c9dea784d</x:v>
      </x:c>
      <x:c r="W93" s="12" t="n">
        <x:v>13.831647936310086</x:v>
      </x:c>
      <x:c r="X93" s="12" t="str">
        <x:v>PUBLISHED_PROXY</x:v>
      </x:c>
      <x:c r="Y93" s="12" t="n">
        <x:v>200</x:v>
      </x:c>
      <x:c r="Z93" s="12" t="str">
        <x:v>aFRRDown_2025-01-01T19:00:00Z</x:v>
      </x:c>
      <x:c r="AA93" s="12" t="str">
        <x:v>tenderStatistics_2025-01@c14c9dea784d</x:v>
      </x:c>
      <x:c r="AB93" s="12" t="n">
        <x:v>14.710198829939085</x:v>
      </x:c>
      <x:c r="AC93" s="12" t="str">
        <x:v>PUBLISHED_PROXY</x:v>
      </x:c>
      <x:c r="AD93" s="12"/>
      <x:c r="AE93" s="12" t="str">
        <x:v>SOURCE_NULL_NOT_MODELED</x:v>
      </x:c>
      <x:c r="AF93" s="12"/>
      <x:c r="AG93" s="12" t="n">
        <x:v>0</x:v>
      </x:c>
      <x:c r="AH93" s="12" t="str">
        <x:v>PUBLISHED_PROXY</x:v>
      </x:c>
      <x:c r="AI93" s="12" t="n">
        <x:v>0</x:v>
      </x:c>
      <x:c r="AJ93" s="12" t="n">
        <x:v>40.80295932932591</x:v>
      </x:c>
      <x:c r="AK93" s="12" t="str">
        <x:v>PUBLISHED_PROXY</x:v>
      </x:c>
      <x:c r="AL93" s="12" t="n">
        <x:v>1.564</x:v>
      </x:c>
      <x:c r="AM93" s="12" t="str">
        <x:v>marginalPricesOverview_2025-01@5b9daf9d82d7</x:v>
      </x:c>
      <x:c r="AN93" s="12" t="str">
        <x:v>activatedBalancingEnergyOverview_2025-01@4135ac664b2a</x:v>
      </x:c>
      <x:c r="AO93" s="12" t="str">
        <x:v>PUBLISHED_NATIVE</x:v>
      </x:c>
      <x:c r="AP93" s="12" t="n">
        <x:v>0</x:v>
      </x:c>
      <x:c r="AQ93" s="12" t="n">
        <x:v>0.03128</x:v>
      </x:c>
      <x:c r="AR93" s="12" t="n">
        <x:v>0.03128</x:v>
      </x:c>
      <x:c r="AS93" s="13" t="b">
        <x:v>1</x:v>
      </x:c>
      <x:c r="AT93" s="13" t="b">
        <x:v>1</x:v>
      </x:c>
      <x:c r="AU93" s="13" t="b">
        <x:v>1</x:v>
      </x:c>
      <x:c r="AV93" s="13" t="b">
        <x:v>1</x:v>
      </x:c>
      <x:c r="AW93" s="13" t="b">
        <x:v>1</x:v>
      </x:c>
      <x:c r="AX93" s="13" t="b">
        <x:v>0</x:v>
      </x:c>
      <x:c r="AY93" s="13" t="b">
        <x:v>0</x:v>
      </x:c>
      <x:c r="AZ93" s="13" t="b">
        <x:v>1</x:v>
      </x:c>
      <x:c r="BA93" s="12" t="str">
        <x:v>OK</x:v>
      </x:c>
      <x:c r="BB93" s="12" t="str">
        <x:v>OK</x:v>
      </x:c>
      <x:c r="BC93" s="12" t="str">
        <x:v>EUR</x:v>
      </x:c>
      <x:c r="BD93" s="12" t="n">
        <x:v>10</x:v>
      </x:c>
      <x:c r="BE93" s="12" t="n">
        <x:v>10</x:v>
      </x:c>
      <x:c r="BF93" s="12" t="n">
        <x:v>0</x:v>
      </x:c>
      <x:c r="BG93" s="12" t="n">
        <x:v>0</x:v>
      </x:c>
      <x:c r="BH93" s="12" t="n">
        <x:v>0</x:v>
      </x:c>
      <x:c r="BI93" s="12" t="n">
        <x:v>0</x:v>
      </x:c>
      <x:c r="BJ93" s="12" t="n">
        <x:v>0</x:v>
      </x:c>
      <x:c r="BK93" s="12" t="n">
        <x:v>0</x:v>
      </x:c>
      <x:c r="BL93" s="12" t="n">
        <x:v>0</x:v>
      </x:c>
      <x:c r="BM93" s="12" t="n">
        <x:v>0</x:v>
      </x:c>
      <x:c r="BN93" s="12" t="n">
        <x:v>0</x:v>
      </x:c>
      <x:c r="BO93" s="12" t="n">
        <x:v>0</x:v>
      </x:c>
      <x:c r="BP93" s="12" t="n">
        <x:v>0</x:v>
      </x:c>
      <x:c r="BQ93" s="12" t="n">
        <x:v>0</x:v>
      </x:c>
      <x:c r="BR93" s="12" t="n">
        <x:v>0</x:v>
      </x:c>
      <x:c r="BS93" s="12" t="n">
        <x:v>0</x:v>
      </x:c>
    </x:row>
    <x:row r="94" ht="21" customHeight="1">
      <x:c r="A94" s="14" t="n">
        <x:v>45658.802083333336</x:v>
      </x:c>
      <x:c r="B94" s="14" t="n">
        <x:v>45658.8125</x:v>
      </x:c>
      <x:c r="C94" s="14" t="n">
        <x:v>45658.885416666664</x:v>
      </x:c>
      <x:c r="D94" s="15" t="n">
        <x:v>45658</x:v>
      </x:c>
      <x:c r="E94" s="12" t="n">
        <x:v>0.25</x:v>
      </x:c>
      <x:c r="F94" s="12" t="str">
        <x:v>FORMAL</x:v>
      </x:c>
      <x:c r="G94" s="14" t="n">
        <x:v>45658.791666666664</x:v>
      </x:c>
      <x:c r="H94" s="12" t="n">
        <x:v>139.62</x:v>
      </x:c>
      <x:c r="I94" s="12" t="str">
        <x:v>2025-01-01_21</x:v>
      </x:c>
      <x:c r="J94" s="12" t="n">
        <x:v>60</x:v>
      </x:c>
      <x:c r="K94" s="12" t="str">
        <x:v>DA_2025-01-01@80c3f1a8e3ee</x:v>
      </x:c>
      <x:c r="L94" s="15" t="n">
        <x:v>45657</x:v>
      </x:c>
      <x:c r="M94" s="12" t="n">
        <x:v>4.9741</x:v>
      </x:c>
      <x:c r="N94" s="12" t="str">
        <x:v>BNR2024_BOUNDARY@c4397e7f9c31</x:v>
      </x:c>
      <x:c r="O94" s="12"/>
      <x:c r="P94" s="12"/>
      <x:c r="Q94" s="12"/>
      <x:c r="R94" s="12"/>
      <x:c r="S94" s="12" t="str">
        <x:v>OUT_OF_RESEARCH_COVERAGE_PRE_2025_06</x:v>
      </x:c>
      <x:c r="T94" s="12" t="n">
        <x:v>200</x:v>
      </x:c>
      <x:c r="U94" s="12" t="str">
        <x:v>aFRRUp_2025-01-01T19:00:00Z</x:v>
      </x:c>
      <x:c r="V94" s="12" t="str">
        <x:v>tenderStatistics_2025-01@c14c9dea784d</x:v>
      </x:c>
      <x:c r="W94" s="12" t="n">
        <x:v>13.831647936310086</x:v>
      </x:c>
      <x:c r="X94" s="12" t="str">
        <x:v>PUBLISHED_PROXY</x:v>
      </x:c>
      <x:c r="Y94" s="12" t="n">
        <x:v>200</x:v>
      </x:c>
      <x:c r="Z94" s="12" t="str">
        <x:v>aFRRDown_2025-01-01T19:00:00Z</x:v>
      </x:c>
      <x:c r="AA94" s="12" t="str">
        <x:v>tenderStatistics_2025-01@c14c9dea784d</x:v>
      </x:c>
      <x:c r="AB94" s="12" t="n">
        <x:v>14.710198829939085</x:v>
      </x:c>
      <x:c r="AC94" s="12" t="str">
        <x:v>PUBLISHED_PROXY</x:v>
      </x:c>
      <x:c r="AD94" s="12"/>
      <x:c r="AE94" s="12" t="str">
        <x:v>SOURCE_NULL_NOT_MODELED</x:v>
      </x:c>
      <x:c r="AF94" s="12"/>
      <x:c r="AG94" s="12" t="n">
        <x:v>0</x:v>
      </x:c>
      <x:c r="AH94" s="12" t="str">
        <x:v>PUBLISHED_PROXY</x:v>
      </x:c>
      <x:c r="AI94" s="12" t="n">
        <x:v>0</x:v>
      </x:c>
      <x:c r="AJ94" s="12" t="n">
        <x:v>57.110029955167775</x:v>
      </x:c>
      <x:c r="AK94" s="12" t="str">
        <x:v>PUBLISHED_PROXY</x:v>
      </x:c>
      <x:c r="AL94" s="12" t="n">
        <x:v>1.427</x:v>
      </x:c>
      <x:c r="AM94" s="12" t="str">
        <x:v>marginalPricesOverview_2025-01@5b9daf9d82d7</x:v>
      </x:c>
      <x:c r="AN94" s="12" t="str">
        <x:v>activatedBalancingEnergyOverview_2025-01@4135ac664b2a</x:v>
      </x:c>
      <x:c r="AO94" s="12" t="str">
        <x:v>PUBLISHED_NATIVE</x:v>
      </x:c>
      <x:c r="AP94" s="12" t="n">
        <x:v>0</x:v>
      </x:c>
      <x:c r="AQ94" s="12" t="n">
        <x:v>0.02854</x:v>
      </x:c>
      <x:c r="AR94" s="12" t="n">
        <x:v>0.02854</x:v>
      </x:c>
      <x:c r="AS94" s="13" t="b">
        <x:v>1</x:v>
      </x:c>
      <x:c r="AT94" s="13" t="b">
        <x:v>1</x:v>
      </x:c>
      <x:c r="AU94" s="13" t="b">
        <x:v>1</x:v>
      </x:c>
      <x:c r="AV94" s="13" t="b">
        <x:v>1</x:v>
      </x:c>
      <x:c r="AW94" s="13" t="b">
        <x:v>1</x:v>
      </x:c>
      <x:c r="AX94" s="13" t="b">
        <x:v>0</x:v>
      </x:c>
      <x:c r="AY94" s="13" t="b">
        <x:v>0</x:v>
      </x:c>
      <x:c r="AZ94" s="13" t="b">
        <x:v>1</x:v>
      </x:c>
      <x:c r="BA94" s="12" t="str">
        <x:v>OK</x:v>
      </x:c>
      <x:c r="BB94" s="12" t="str">
        <x:v>OK</x:v>
      </x:c>
      <x:c r="BC94" s="12" t="str">
        <x:v>EUR</x:v>
      </x:c>
      <x:c r="BD94" s="12" t="n">
        <x:v>10</x:v>
      </x:c>
      <x:c r="BE94" s="12" t="n">
        <x:v>10</x:v>
      </x:c>
      <x:c r="BF94" s="12" t="n">
        <x:v>0</x:v>
      </x:c>
      <x:c r="BG94" s="12" t="n">
        <x:v>0</x:v>
      </x:c>
      <x:c r="BH94" s="12" t="n">
        <x:v>0</x:v>
      </x:c>
      <x:c r="BI94" s="12" t="n">
        <x:v>0</x:v>
      </x:c>
      <x:c r="BJ94" s="12" t="n">
        <x:v>0</x:v>
      </x:c>
      <x:c r="BK94" s="12" t="n">
        <x:v>0</x:v>
      </x:c>
      <x:c r="BL94" s="12" t="n">
        <x:v>0</x:v>
      </x:c>
      <x:c r="BM94" s="12" t="n">
        <x:v>0</x:v>
      </x:c>
      <x:c r="BN94" s="12" t="n">
        <x:v>0</x:v>
      </x:c>
      <x:c r="BO94" s="12" t="n">
        <x:v>0</x:v>
      </x:c>
      <x:c r="BP94" s="12" t="n">
        <x:v>0</x:v>
      </x:c>
      <x:c r="BQ94" s="12" t="n">
        <x:v>0</x:v>
      </x:c>
      <x:c r="BR94" s="12" t="n">
        <x:v>0</x:v>
      </x:c>
      <x:c r="BS94" s="12" t="n">
        <x:v>0</x:v>
      </x:c>
    </x:row>
    <x:row r="95" ht="21" customHeight="1">
      <x:c r="A95" s="14" t="n">
        <x:v>45658.8125</x:v>
      </x:c>
      <x:c r="B95" s="14" t="n">
        <x:v>45658.822916666664</x:v>
      </x:c>
      <x:c r="C95" s="14" t="n">
        <x:v>45658.895833333336</x:v>
      </x:c>
      <x:c r="D95" s="15" t="n">
        <x:v>45658</x:v>
      </x:c>
      <x:c r="E95" s="12" t="n">
        <x:v>0.25</x:v>
      </x:c>
      <x:c r="F95" s="12" t="str">
        <x:v>FORMAL</x:v>
      </x:c>
      <x:c r="G95" s="14" t="n">
        <x:v>45658.791666666664</x:v>
      </x:c>
      <x:c r="H95" s="12" t="n">
        <x:v>139.62</x:v>
      </x:c>
      <x:c r="I95" s="12" t="str">
        <x:v>2025-01-01_21</x:v>
      </x:c>
      <x:c r="J95" s="12" t="n">
        <x:v>60</x:v>
      </x:c>
      <x:c r="K95" s="12" t="str">
        <x:v>DA_2025-01-01@80c3f1a8e3ee</x:v>
      </x:c>
      <x:c r="L95" s="15" t="n">
        <x:v>45657</x:v>
      </x:c>
      <x:c r="M95" s="12" t="n">
        <x:v>4.9741</x:v>
      </x:c>
      <x:c r="N95" s="12" t="str">
        <x:v>BNR2024_BOUNDARY@c4397e7f9c31</x:v>
      </x:c>
      <x:c r="O95" s="12"/>
      <x:c r="P95" s="12"/>
      <x:c r="Q95" s="12"/>
      <x:c r="R95" s="12"/>
      <x:c r="S95" s="12" t="str">
        <x:v>OUT_OF_RESEARCH_COVERAGE_PRE_2025_06</x:v>
      </x:c>
      <x:c r="T95" s="12" t="n">
        <x:v>200</x:v>
      </x:c>
      <x:c r="U95" s="12" t="str">
        <x:v>aFRRUp_2025-01-01T19:00:00Z</x:v>
      </x:c>
      <x:c r="V95" s="12" t="str">
        <x:v>tenderStatistics_2025-01@c14c9dea784d</x:v>
      </x:c>
      <x:c r="W95" s="12" t="n">
        <x:v>13.831647936310086</x:v>
      </x:c>
      <x:c r="X95" s="12" t="str">
        <x:v>PUBLISHED_PROXY</x:v>
      </x:c>
      <x:c r="Y95" s="12" t="n">
        <x:v>200</x:v>
      </x:c>
      <x:c r="Z95" s="12" t="str">
        <x:v>aFRRDown_2025-01-01T19:00:00Z</x:v>
      </x:c>
      <x:c r="AA95" s="12" t="str">
        <x:v>tenderStatistics_2025-01@c14c9dea784d</x:v>
      </x:c>
      <x:c r="AB95" s="12" t="n">
        <x:v>14.710198829939085</x:v>
      </x:c>
      <x:c r="AC95" s="12" t="str">
        <x:v>PUBLISHED_PROXY</x:v>
      </x:c>
      <x:c r="AD95" s="12"/>
      <x:c r="AE95" s="12" t="str">
        <x:v>SOURCE_NULL_NOT_MODELED</x:v>
      </x:c>
      <x:c r="AF95" s="12"/>
      <x:c r="AG95" s="12" t="n">
        <x:v>136.70814820771596</x:v>
      </x:c>
      <x:c r="AH95" s="12" t="str">
        <x:v>PUBLISHED_PROXY</x:v>
      </x:c>
      <x:c r="AI95" s="12" t="n">
        <x:v>0.096</x:v>
      </x:c>
      <x:c r="AJ95" s="12" t="n">
        <x:v>58.3020043827024</x:v>
      </x:c>
      <x:c r="AK95" s="12" t="str">
        <x:v>PUBLISHED_PROXY</x:v>
      </x:c>
      <x:c r="AL95" s="12" t="n">
        <x:v>0.153</x:v>
      </x:c>
      <x:c r="AM95" s="12" t="str">
        <x:v>marginalPricesOverview_2025-01@5b9daf9d82d7</x:v>
      </x:c>
      <x:c r="AN95" s="12" t="str">
        <x:v>activatedBalancingEnergyOverview_2025-01@4135ac664b2a</x:v>
      </x:c>
      <x:c r="AO95" s="12" t="str">
        <x:v>PUBLISHED_NATIVE</x:v>
      </x:c>
      <x:c r="AP95" s="12" t="n">
        <x:v>0.00192</x:v>
      </x:c>
      <x:c r="AQ95" s="12" t="n">
        <x:v>0.00306</x:v>
      </x:c>
      <x:c r="AR95" s="12" t="n">
        <x:v>0.00498</x:v>
      </x:c>
      <x:c r="AS95" s="13" t="b">
        <x:v>1</x:v>
      </x:c>
      <x:c r="AT95" s="13" t="b">
        <x:v>1</x:v>
      </x:c>
      <x:c r="AU95" s="13" t="b">
        <x:v>1</x:v>
      </x:c>
      <x:c r="AV95" s="13" t="b">
        <x:v>1</x:v>
      </x:c>
      <x:c r="AW95" s="13" t="b">
        <x:v>1</x:v>
      </x:c>
      <x:c r="AX95" s="13" t="b">
        <x:v>0</x:v>
      </x:c>
      <x:c r="AY95" s="13" t="b">
        <x:v>0</x:v>
      </x:c>
      <x:c r="AZ95" s="13" t="b">
        <x:v>1</x:v>
      </x:c>
      <x:c r="BA95" s="12" t="str">
        <x:v>OK</x:v>
      </x:c>
      <x:c r="BB95" s="12" t="str">
        <x:v>OK</x:v>
      </x:c>
      <x:c r="BC95" s="12" t="str">
        <x:v>EUR</x:v>
      </x:c>
      <x:c r="BD95" s="12" t="n">
        <x:v>10</x:v>
      </x:c>
      <x:c r="BE95" s="12" t="n">
        <x:v>10</x:v>
      </x:c>
      <x:c r="BF95" s="12" t="n">
        <x:v>0</x:v>
      </x:c>
      <x:c r="BG95" s="12" t="n">
        <x:v>0</x:v>
      </x:c>
      <x:c r="BH95" s="12" t="n">
        <x:v>0</x:v>
      </x:c>
      <x:c r="BI95" s="12" t="n">
        <x:v>0</x:v>
      </x:c>
      <x:c r="BJ95" s="12" t="n">
        <x:v>0</x:v>
      </x:c>
      <x:c r="BK95" s="12" t="n">
        <x:v>0</x:v>
      </x:c>
      <x:c r="BL95" s="12" t="n">
        <x:v>0</x:v>
      </x:c>
      <x:c r="BM95" s="12" t="n">
        <x:v>0</x:v>
      </x:c>
      <x:c r="BN95" s="12" t="n">
        <x:v>0</x:v>
      </x:c>
      <x:c r="BO95" s="12" t="n">
        <x:v>0</x:v>
      </x:c>
      <x:c r="BP95" s="12" t="n">
        <x:v>0</x:v>
      </x:c>
      <x:c r="BQ95" s="12" t="n">
        <x:v>0</x:v>
      </x:c>
      <x:c r="BR95" s="12" t="n">
        <x:v>0</x:v>
      </x:c>
      <x:c r="BS95" s="12" t="n">
        <x:v>0</x:v>
      </x:c>
    </x:row>
    <x:row r="96" ht="21" customHeight="1">
      <x:c r="A96" s="14" t="n">
        <x:v>45658.822916666664</x:v>
      </x:c>
      <x:c r="B96" s="14" t="n">
        <x:v>45658.833333333336</x:v>
      </x:c>
      <x:c r="C96" s="14" t="n">
        <x:v>45658.90625</x:v>
      </x:c>
      <x:c r="D96" s="15" t="n">
        <x:v>45658</x:v>
      </x:c>
      <x:c r="E96" s="12" t="n">
        <x:v>0.25</x:v>
      </x:c>
      <x:c r="F96" s="12" t="str">
        <x:v>FORMAL</x:v>
      </x:c>
      <x:c r="G96" s="14" t="n">
        <x:v>45658.791666666664</x:v>
      </x:c>
      <x:c r="H96" s="12" t="n">
        <x:v>139.62</x:v>
      </x:c>
      <x:c r="I96" s="12" t="str">
        <x:v>2025-01-01_21</x:v>
      </x:c>
      <x:c r="J96" s="12" t="n">
        <x:v>60</x:v>
      </x:c>
      <x:c r="K96" s="12" t="str">
        <x:v>DA_2025-01-01@80c3f1a8e3ee</x:v>
      </x:c>
      <x:c r="L96" s="15" t="n">
        <x:v>45657</x:v>
      </x:c>
      <x:c r="M96" s="12" t="n">
        <x:v>4.9741</x:v>
      </x:c>
      <x:c r="N96" s="12" t="str">
        <x:v>BNR2024_BOUNDARY@c4397e7f9c31</x:v>
      </x:c>
      <x:c r="O96" s="12"/>
      <x:c r="P96" s="12"/>
      <x:c r="Q96" s="12"/>
      <x:c r="R96" s="12"/>
      <x:c r="S96" s="12" t="str">
        <x:v>OUT_OF_RESEARCH_COVERAGE_PRE_2025_06</x:v>
      </x:c>
      <x:c r="T96" s="12" t="n">
        <x:v>200</x:v>
      </x:c>
      <x:c r="U96" s="12" t="str">
        <x:v>aFRRUp_2025-01-01T19:00:00Z</x:v>
      </x:c>
      <x:c r="V96" s="12" t="str">
        <x:v>tenderStatistics_2025-01@c14c9dea784d</x:v>
      </x:c>
      <x:c r="W96" s="12" t="n">
        <x:v>13.831647936310086</x:v>
      </x:c>
      <x:c r="X96" s="12" t="str">
        <x:v>PUBLISHED_PROXY</x:v>
      </x:c>
      <x:c r="Y96" s="12" t="n">
        <x:v>200</x:v>
      </x:c>
      <x:c r="Z96" s="12" t="str">
        <x:v>aFRRDown_2025-01-01T19:00:00Z</x:v>
      </x:c>
      <x:c r="AA96" s="12" t="str">
        <x:v>tenderStatistics_2025-01@c14c9dea784d</x:v>
      </x:c>
      <x:c r="AB96" s="12" t="n">
        <x:v>14.710198829939085</x:v>
      </x:c>
      <x:c r="AC96" s="12" t="str">
        <x:v>PUBLISHED_PROXY</x:v>
      </x:c>
      <x:c r="AD96" s="12"/>
      <x:c r="AE96" s="12" t="str">
        <x:v>SOURCE_NULL_NOT_MODELED</x:v>
      </x:c>
      <x:c r="AF96" s="12"/>
      <x:c r="AG96" s="12" t="n">
        <x:v>136.70814820771596</x:v>
      </x:c>
      <x:c r="AH96" s="12" t="str">
        <x:v>PUBLISHED_PROXY</x:v>
      </x:c>
      <x:c r="AI96" s="12" t="n">
        <x:v>0.675</x:v>
      </x:c>
      <x:c r="AJ96" s="12" t="n">
        <x:v>58.3020043827024</x:v>
      </x:c>
      <x:c r="AK96" s="12" t="str">
        <x:v>PUBLISHED_PROXY</x:v>
      </x:c>
      <x:c r="AL96" s="12" t="n">
        <x:v>0.002</x:v>
      </x:c>
      <x:c r="AM96" s="12" t="str">
        <x:v>marginalPricesOverview_2025-01@5b9daf9d82d7</x:v>
      </x:c>
      <x:c r="AN96" s="12" t="str">
        <x:v>activatedBalancingEnergyOverview_2025-01@4135ac664b2a</x:v>
      </x:c>
      <x:c r="AO96" s="12" t="str">
        <x:v>PUBLISHED_NATIVE</x:v>
      </x:c>
      <x:c r="AP96" s="12" t="n">
        <x:v>0.0135</x:v>
      </x:c>
      <x:c r="AQ96" s="12" t="n">
        <x:v>0.00004</x:v>
      </x:c>
      <x:c r="AR96" s="12" t="n">
        <x:v>0.01354</x:v>
      </x:c>
      <x:c r="AS96" s="13" t="b">
        <x:v>1</x:v>
      </x:c>
      <x:c r="AT96" s="13" t="b">
        <x:v>1</x:v>
      </x:c>
      <x:c r="AU96" s="13" t="b">
        <x:v>1</x:v>
      </x:c>
      <x:c r="AV96" s="13" t="b">
        <x:v>1</x:v>
      </x:c>
      <x:c r="AW96" s="13" t="b">
        <x:v>1</x:v>
      </x:c>
      <x:c r="AX96" s="13" t="b">
        <x:v>0</x:v>
      </x:c>
      <x:c r="AY96" s="13" t="b">
        <x:v>0</x:v>
      </x:c>
      <x:c r="AZ96" s="13" t="b">
        <x:v>1</x:v>
      </x:c>
      <x:c r="BA96" s="12" t="str">
        <x:v>OK</x:v>
      </x:c>
      <x:c r="BB96" s="12" t="str">
        <x:v>OK</x:v>
      </x:c>
      <x:c r="BC96" s="12" t="str">
        <x:v>EUR</x:v>
      </x:c>
      <x:c r="BD96" s="12" t="n">
        <x:v>10</x:v>
      </x:c>
      <x:c r="BE96" s="12" t="n">
        <x:v>10</x:v>
      </x:c>
      <x:c r="BF96" s="12" t="n">
        <x:v>0</x:v>
      </x:c>
      <x:c r="BG96" s="12" t="n">
        <x:v>0</x:v>
      </x:c>
      <x:c r="BH96" s="12" t="n">
        <x:v>0</x:v>
      </x:c>
      <x:c r="BI96" s="12" t="n">
        <x:v>0</x:v>
      </x:c>
      <x:c r="BJ96" s="12" t="n">
        <x:v>0</x:v>
      </x:c>
      <x:c r="BK96" s="12" t="n">
        <x:v>0</x:v>
      </x:c>
      <x:c r="BL96" s="12" t="n">
        <x:v>0</x:v>
      </x:c>
      <x:c r="BM96" s="12" t="n">
        <x:v>0</x:v>
      </x:c>
      <x:c r="BN96" s="12" t="n">
        <x:v>0</x:v>
      </x:c>
      <x:c r="BO96" s="12" t="n">
        <x:v>0</x:v>
      </x:c>
      <x:c r="BP96" s="12" t="n">
        <x:v>0</x:v>
      </x:c>
      <x:c r="BQ96" s="12" t="n">
        <x:v>0</x:v>
      </x:c>
      <x:c r="BR96" s="12" t="n">
        <x:v>0</x:v>
      </x:c>
      <x:c r="BS96" s="12" t="n">
        <x:v>0</x:v>
      </x:c>
    </x:row>
    <x:row r="97" ht="21" customHeight="1">
      <x:c r="A97" s="14" t="n">
        <x:v>45658.833333333336</x:v>
      </x:c>
      <x:c r="B97" s="14" t="n">
        <x:v>45658.84375</x:v>
      </x:c>
      <x:c r="C97" s="14" t="n">
        <x:v>45658.916666666664</x:v>
      </x:c>
      <x:c r="D97" s="15" t="n">
        <x:v>45658</x:v>
      </x:c>
      <x:c r="E97" s="12" t="n">
        <x:v>0.25</x:v>
      </x:c>
      <x:c r="F97" s="12" t="str">
        <x:v>FORMAL</x:v>
      </x:c>
      <x:c r="G97" s="14" t="n">
        <x:v>45658.833333333336</x:v>
      </x:c>
      <x:c r="H97" s="12" t="n">
        <x:v>131.4</x:v>
      </x:c>
      <x:c r="I97" s="12" t="str">
        <x:v>2025-01-01_22</x:v>
      </x:c>
      <x:c r="J97" s="12" t="n">
        <x:v>60</x:v>
      </x:c>
      <x:c r="K97" s="12" t="str">
        <x:v>DA_2025-01-01@80c3f1a8e3ee</x:v>
      </x:c>
      <x:c r="L97" s="15" t="n">
        <x:v>45657</x:v>
      </x:c>
      <x:c r="M97" s="12" t="n">
        <x:v>4.9741</x:v>
      </x:c>
      <x:c r="N97" s="12" t="str">
        <x:v>BNR2024_BOUNDARY@c4397e7f9c31</x:v>
      </x:c>
      <x:c r="O97" s="12"/>
      <x:c r="P97" s="12"/>
      <x:c r="Q97" s="12"/>
      <x:c r="R97" s="12"/>
      <x:c r="S97" s="12" t="str">
        <x:v>OUT_OF_RESEARCH_COVERAGE_PRE_2025_06</x:v>
      </x:c>
      <x:c r="T97" s="12" t="n">
        <x:v>200</x:v>
      </x:c>
      <x:c r="U97" s="12" t="str">
        <x:v>aFRRUp_2025-01-01T20:00:00Z</x:v>
      </x:c>
      <x:c r="V97" s="12" t="str">
        <x:v>tenderStatistics_2025-01@c14c9dea784d</x:v>
      </x:c>
      <x:c r="W97" s="12" t="n">
        <x:v>13.831647936310086</x:v>
      </x:c>
      <x:c r="X97" s="12" t="str">
        <x:v>PUBLISHED_PROXY</x:v>
      </x:c>
      <x:c r="Y97" s="12" t="n">
        <x:v>200</x:v>
      </x:c>
      <x:c r="Z97" s="12" t="str">
        <x:v>aFRRDown_2025-01-01T20:00:00Z</x:v>
      </x:c>
      <x:c r="AA97" s="12" t="str">
        <x:v>tenderStatistics_2025-01@c14c9dea784d</x:v>
      </x:c>
      <x:c r="AB97" s="12" t="n">
        <x:v>14.710198829939085</x:v>
      </x:c>
      <x:c r="AC97" s="12" t="str">
        <x:v>PUBLISHED_PROXY</x:v>
      </x:c>
      <x:c r="AD97" s="12"/>
      <x:c r="AE97" s="12" t="str">
        <x:v>SOURCE_NULL_NOT_MODELED</x:v>
      </x:c>
      <x:c r="AF97" s="12"/>
      <x:c r="AG97" s="12" t="n">
        <x:v>210.29512876701313</x:v>
      </x:c>
      <x:c r="AH97" s="12" t="str">
        <x:v>PUBLISHED_PROXY</x:v>
      </x:c>
      <x:c r="AI97" s="12" t="n">
        <x:v>15.883</x:v>
      </x:c>
      <x:c r="AJ97" s="12" t="n">
        <x:v>0</x:v>
      </x:c>
      <x:c r="AK97" s="12" t="str">
        <x:v>PUBLISHED_PROXY</x:v>
      </x:c>
      <x:c r="AL97" s="12" t="n">
        <x:v>0</x:v>
      </x:c>
      <x:c r="AM97" s="12" t="str">
        <x:v>marginalPricesOverview_2025-01@5b9daf9d82d7</x:v>
      </x:c>
      <x:c r="AN97" s="12" t="str">
        <x:v>activatedBalancingEnergyOverview_2025-01@4135ac664b2a</x:v>
      </x:c>
      <x:c r="AO97" s="12" t="str">
        <x:v>PUBLISHED_NATIVE</x:v>
      </x:c>
      <x:c r="AP97" s="12" t="n">
        <x:v>0.31766</x:v>
      </x:c>
      <x:c r="AQ97" s="12" t="n">
        <x:v>0</x:v>
      </x:c>
      <x:c r="AR97" s="12" t="n">
        <x:v>0.31766</x:v>
      </x:c>
      <x:c r="AS97" s="13" t="b">
        <x:v>1</x:v>
      </x:c>
      <x:c r="AT97" s="13" t="b">
        <x:v>1</x:v>
      </x:c>
      <x:c r="AU97" s="13" t="b">
        <x:v>1</x:v>
      </x:c>
      <x:c r="AV97" s="13" t="b">
        <x:v>1</x:v>
      </x:c>
      <x:c r="AW97" s="13" t="b">
        <x:v>1</x:v>
      </x:c>
      <x:c r="AX97" s="13" t="b">
        <x:v>0</x:v>
      </x:c>
      <x:c r="AY97" s="13" t="b">
        <x:v>0</x:v>
      </x:c>
      <x:c r="AZ97" s="13" t="b">
        <x:v>1</x:v>
      </x:c>
      <x:c r="BA97" s="12" t="str">
        <x:v>OK</x:v>
      </x:c>
      <x:c r="BB97" s="12" t="str">
        <x:v>OK</x:v>
      </x:c>
      <x:c r="BC97" s="12" t="str">
        <x:v>EUR</x:v>
      </x:c>
      <x:c r="BD97" s="12" t="n">
        <x:v>10</x:v>
      </x:c>
      <x:c r="BE97" s="12" t="n">
        <x:v>10</x:v>
      </x:c>
      <x:c r="BF97" s="12" t="n">
        <x:v>0</x:v>
      </x:c>
      <x:c r="BG97" s="12" t="n">
        <x:v>0</x:v>
      </x:c>
      <x:c r="BH97" s="12" t="n">
        <x:v>0</x:v>
      </x:c>
      <x:c r="BI97" s="12" t="n">
        <x:v>0</x:v>
      </x:c>
      <x:c r="BJ97" s="12" t="n">
        <x:v>0</x:v>
      </x:c>
      <x:c r="BK97" s="12" t="n">
        <x:v>0</x:v>
      </x:c>
      <x:c r="BL97" s="12" t="n">
        <x:v>0</x:v>
      </x:c>
      <x:c r="BM97" s="12" t="n">
        <x:v>0</x:v>
      </x:c>
      <x:c r="BN97" s="12" t="n">
        <x:v>0</x:v>
      </x:c>
      <x:c r="BO97" s="12" t="n">
        <x:v>0</x:v>
      </x:c>
      <x:c r="BP97" s="12" t="n">
        <x:v>0</x:v>
      </x:c>
      <x:c r="BQ97" s="12" t="n">
        <x:v>0</x:v>
      </x:c>
      <x:c r="BR97" s="12" t="n">
        <x:v>0</x:v>
      </x:c>
      <x:c r="BS97" s="12" t="n">
        <x:v>0</x:v>
      </x:c>
    </x:row>
    <x:row r="98" ht="21" customHeight="1">
      <x:c r="A98" s="14" t="n">
        <x:v>45658.84375</x:v>
      </x:c>
      <x:c r="B98" s="14" t="n">
        <x:v>45658.854166666664</x:v>
      </x:c>
      <x:c r="C98" s="14" t="n">
        <x:v>45658.927083333336</x:v>
      </x:c>
      <x:c r="D98" s="15" t="n">
        <x:v>45658</x:v>
      </x:c>
      <x:c r="E98" s="12" t="n">
        <x:v>0.25</x:v>
      </x:c>
      <x:c r="F98" s="12" t="str">
        <x:v>FORMAL</x:v>
      </x:c>
      <x:c r="G98" s="14" t="n">
        <x:v>45658.833333333336</x:v>
      </x:c>
      <x:c r="H98" s="12" t="n">
        <x:v>131.4</x:v>
      </x:c>
      <x:c r="I98" s="12" t="str">
        <x:v>2025-01-01_22</x:v>
      </x:c>
      <x:c r="J98" s="12" t="n">
        <x:v>60</x:v>
      </x:c>
      <x:c r="K98" s="12" t="str">
        <x:v>DA_2025-01-01@80c3f1a8e3ee</x:v>
      </x:c>
      <x:c r="L98" s="15" t="n">
        <x:v>45657</x:v>
      </x:c>
      <x:c r="M98" s="12" t="n">
        <x:v>4.9741</x:v>
      </x:c>
      <x:c r="N98" s="12" t="str">
        <x:v>BNR2024_BOUNDARY@c4397e7f9c31</x:v>
      </x:c>
      <x:c r="O98" s="12"/>
      <x:c r="P98" s="12"/>
      <x:c r="Q98" s="12"/>
      <x:c r="R98" s="12"/>
      <x:c r="S98" s="12" t="str">
        <x:v>OUT_OF_RESEARCH_COVERAGE_PRE_2025_06</x:v>
      </x:c>
      <x:c r="T98" s="12" t="n">
        <x:v>200</x:v>
      </x:c>
      <x:c r="U98" s="12" t="str">
        <x:v>aFRRUp_2025-01-01T20:00:00Z</x:v>
      </x:c>
      <x:c r="V98" s="12" t="str">
        <x:v>tenderStatistics_2025-01@c14c9dea784d</x:v>
      </x:c>
      <x:c r="W98" s="12" t="n">
        <x:v>13.831647936310086</x:v>
      </x:c>
      <x:c r="X98" s="12" t="str">
        <x:v>PUBLISHED_PROXY</x:v>
      </x:c>
      <x:c r="Y98" s="12" t="n">
        <x:v>200</x:v>
      </x:c>
      <x:c r="Z98" s="12" t="str">
        <x:v>aFRRDown_2025-01-01T20:00:00Z</x:v>
      </x:c>
      <x:c r="AA98" s="12" t="str">
        <x:v>tenderStatistics_2025-01@c14c9dea784d</x:v>
      </x:c>
      <x:c r="AB98" s="12" t="n">
        <x:v>14.710198829939085</x:v>
      </x:c>
      <x:c r="AC98" s="12" t="str">
        <x:v>PUBLISHED_PROXY</x:v>
      </x:c>
      <x:c r="AD98" s="12"/>
      <x:c r="AE98" s="12" t="str">
        <x:v>SOURCE_NULL_NOT_MODELED</x:v>
      </x:c>
      <x:c r="AF98" s="12"/>
      <x:c r="AG98" s="12" t="n">
        <x:v>190.3071912506785</x:v>
      </x:c>
      <x:c r="AH98" s="12" t="str">
        <x:v>PUBLISHED_PROXY</x:v>
      </x:c>
      <x:c r="AI98" s="12" t="n">
        <x:v>10.066</x:v>
      </x:c>
      <x:c r="AJ98" s="12" t="n">
        <x:v>0</x:v>
      </x:c>
      <x:c r="AK98" s="12" t="str">
        <x:v>PUBLISHED_PROXY</x:v>
      </x:c>
      <x:c r="AL98" s="12" t="n">
        <x:v>0</x:v>
      </x:c>
      <x:c r="AM98" s="12" t="str">
        <x:v>marginalPricesOverview_2025-01@5b9daf9d82d7</x:v>
      </x:c>
      <x:c r="AN98" s="12" t="str">
        <x:v>activatedBalancingEnergyOverview_2025-01@4135ac664b2a</x:v>
      </x:c>
      <x:c r="AO98" s="12" t="str">
        <x:v>PUBLISHED_NATIVE</x:v>
      </x:c>
      <x:c r="AP98" s="12" t="n">
        <x:v>0.20132</x:v>
      </x:c>
      <x:c r="AQ98" s="12" t="n">
        <x:v>0</x:v>
      </x:c>
      <x:c r="AR98" s="12" t="n">
        <x:v>0.20132</x:v>
      </x:c>
      <x:c r="AS98" s="13" t="b">
        <x:v>1</x:v>
      </x:c>
      <x:c r="AT98" s="13" t="b">
        <x:v>1</x:v>
      </x:c>
      <x:c r="AU98" s="13" t="b">
        <x:v>1</x:v>
      </x:c>
      <x:c r="AV98" s="13" t="b">
        <x:v>1</x:v>
      </x:c>
      <x:c r="AW98" s="13" t="b">
        <x:v>1</x:v>
      </x:c>
      <x:c r="AX98" s="13" t="b">
        <x:v>0</x:v>
      </x:c>
      <x:c r="AY98" s="13" t="b">
        <x:v>0</x:v>
      </x:c>
      <x:c r="AZ98" s="13" t="b">
        <x:v>1</x:v>
      </x:c>
      <x:c r="BA98" s="12" t="str">
        <x:v>OK</x:v>
      </x:c>
      <x:c r="BB98" s="12" t="str">
        <x:v>OK</x:v>
      </x:c>
      <x:c r="BC98" s="12" t="str">
        <x:v>EUR</x:v>
      </x:c>
      <x:c r="BD98" s="12" t="n">
        <x:v>10</x:v>
      </x:c>
      <x:c r="BE98" s="12" t="n">
        <x:v>10</x:v>
      </x:c>
      <x:c r="BF98" s="12" t="n">
        <x:v>0</x:v>
      </x:c>
      <x:c r="BG98" s="12" t="n">
        <x:v>0</x:v>
      </x:c>
      <x:c r="BH98" s="12" t="n">
        <x:v>0</x:v>
      </x:c>
      <x:c r="BI98" s="12" t="n">
        <x:v>0</x:v>
      </x:c>
      <x:c r="BJ98" s="12" t="n">
        <x:v>0</x:v>
      </x:c>
      <x:c r="BK98" s="12" t="n">
        <x:v>0</x:v>
      </x:c>
      <x:c r="BL98" s="12" t="n">
        <x:v>0</x:v>
      </x:c>
      <x:c r="BM98" s="12" t="n">
        <x:v>0</x:v>
      </x:c>
      <x:c r="BN98" s="12" t="n">
        <x:v>0</x:v>
      </x:c>
      <x:c r="BO98" s="12" t="n">
        <x:v>0</x:v>
      </x:c>
      <x:c r="BP98" s="12" t="n">
        <x:v>0</x:v>
      </x:c>
      <x:c r="BQ98" s="12" t="n">
        <x:v>0</x:v>
      </x:c>
      <x:c r="BR98" s="12" t="n">
        <x:v>0</x:v>
      </x:c>
      <x:c r="BS98" s="12" t="n">
        <x:v>0</x:v>
      </x:c>
    </x:row>
    <x:row r="99" ht="21" customHeight="1">
      <x:c r="A99" s="14" t="n">
        <x:v>45658.854166666664</x:v>
      </x:c>
      <x:c r="B99" s="14" t="n">
        <x:v>45658.864583333336</x:v>
      </x:c>
      <x:c r="C99" s="14" t="n">
        <x:v>45658.9375</x:v>
      </x:c>
      <x:c r="D99" s="15" t="n">
        <x:v>45658</x:v>
      </x:c>
      <x:c r="E99" s="12" t="n">
        <x:v>0.25</x:v>
      </x:c>
      <x:c r="F99" s="12" t="str">
        <x:v>FORMAL</x:v>
      </x:c>
      <x:c r="G99" s="14" t="n">
        <x:v>45658.833333333336</x:v>
      </x:c>
      <x:c r="H99" s="12" t="n">
        <x:v>131.4</x:v>
      </x:c>
      <x:c r="I99" s="12" t="str">
        <x:v>2025-01-01_22</x:v>
      </x:c>
      <x:c r="J99" s="12" t="n">
        <x:v>60</x:v>
      </x:c>
      <x:c r="K99" s="12" t="str">
        <x:v>DA_2025-01-01@80c3f1a8e3ee</x:v>
      </x:c>
      <x:c r="L99" s="15" t="n">
        <x:v>45657</x:v>
      </x:c>
      <x:c r="M99" s="12" t="n">
        <x:v>4.9741</x:v>
      </x:c>
      <x:c r="N99" s="12" t="str">
        <x:v>BNR2024_BOUNDARY@c4397e7f9c31</x:v>
      </x:c>
      <x:c r="O99" s="12"/>
      <x:c r="P99" s="12"/>
      <x:c r="Q99" s="12"/>
      <x:c r="R99" s="12"/>
      <x:c r="S99" s="12" t="str">
        <x:v>OUT_OF_RESEARCH_COVERAGE_PRE_2025_06</x:v>
      </x:c>
      <x:c r="T99" s="12" t="n">
        <x:v>200</x:v>
      </x:c>
      <x:c r="U99" s="12" t="str">
        <x:v>aFRRUp_2025-01-01T20:00:00Z</x:v>
      </x:c>
      <x:c r="V99" s="12" t="str">
        <x:v>tenderStatistics_2025-01@c14c9dea784d</x:v>
      </x:c>
      <x:c r="W99" s="12" t="n">
        <x:v>13.831647936310086</x:v>
      </x:c>
      <x:c r="X99" s="12" t="str">
        <x:v>PUBLISHED_PROXY</x:v>
      </x:c>
      <x:c r="Y99" s="12" t="n">
        <x:v>200</x:v>
      </x:c>
      <x:c r="Z99" s="12" t="str">
        <x:v>aFRRDown_2025-01-01T20:00:00Z</x:v>
      </x:c>
      <x:c r="AA99" s="12" t="str">
        <x:v>tenderStatistics_2025-01@c14c9dea784d</x:v>
      </x:c>
      <x:c r="AB99" s="12" t="n">
        <x:v>14.710198829939085</x:v>
      </x:c>
      <x:c r="AC99" s="12" t="str">
        <x:v>PUBLISHED_PROXY</x:v>
      </x:c>
      <x:c r="AD99" s="12"/>
      <x:c r="AE99" s="12" t="str">
        <x:v>SOURCE_NULL_NOT_MODELED</x:v>
      </x:c>
      <x:c r="AF99" s="12"/>
      <x:c r="AG99" s="12" t="n">
        <x:v>136.70814820771596</x:v>
      </x:c>
      <x:c r="AH99" s="12" t="str">
        <x:v>PUBLISHED_PROXY</x:v>
      </x:c>
      <x:c r="AI99" s="12" t="n">
        <x:v>3.421</x:v>
      </x:c>
      <x:c r="AJ99" s="12" t="n">
        <x:v>58.3020043827024</x:v>
      </x:c>
      <x:c r="AK99" s="12" t="str">
        <x:v>PUBLISHED_PROXY</x:v>
      </x:c>
      <x:c r="AL99" s="12" t="n">
        <x:v>0.046</x:v>
      </x:c>
      <x:c r="AM99" s="12" t="str">
        <x:v>marginalPricesOverview_2025-01@5b9daf9d82d7</x:v>
      </x:c>
      <x:c r="AN99" s="12" t="str">
        <x:v>activatedBalancingEnergyOverview_2025-01@4135ac664b2a</x:v>
      </x:c>
      <x:c r="AO99" s="12" t="str">
        <x:v>PUBLISHED_NATIVE</x:v>
      </x:c>
      <x:c r="AP99" s="12" t="n">
        <x:v>0.06842</x:v>
      </x:c>
      <x:c r="AQ99" s="12" t="n">
        <x:v>0.00092</x:v>
      </x:c>
      <x:c r="AR99" s="12" t="n">
        <x:v>0.06934</x:v>
      </x:c>
      <x:c r="AS99" s="13" t="b">
        <x:v>1</x:v>
      </x:c>
      <x:c r="AT99" s="13" t="b">
        <x:v>1</x:v>
      </x:c>
      <x:c r="AU99" s="13" t="b">
        <x:v>1</x:v>
      </x:c>
      <x:c r="AV99" s="13" t="b">
        <x:v>1</x:v>
      </x:c>
      <x:c r="AW99" s="13" t="b">
        <x:v>1</x:v>
      </x:c>
      <x:c r="AX99" s="13" t="b">
        <x:v>0</x:v>
      </x:c>
      <x:c r="AY99" s="13" t="b">
        <x:v>0</x:v>
      </x:c>
      <x:c r="AZ99" s="13" t="b">
        <x:v>1</x:v>
      </x:c>
      <x:c r="BA99" s="12" t="str">
        <x:v>OK</x:v>
      </x:c>
      <x:c r="BB99" s="12" t="str">
        <x:v>OK</x:v>
      </x:c>
      <x:c r="BC99" s="12" t="str">
        <x:v>EUR</x:v>
      </x:c>
      <x:c r="BD99" s="12" t="n">
        <x:v>10</x:v>
      </x:c>
      <x:c r="BE99" s="12" t="n">
        <x:v>10</x:v>
      </x:c>
      <x:c r="BF99" s="12" t="n">
        <x:v>0</x:v>
      </x:c>
      <x:c r="BG99" s="12" t="n">
        <x:v>0</x:v>
      </x:c>
      <x:c r="BH99" s="12" t="n">
        <x:v>0</x:v>
      </x:c>
      <x:c r="BI99" s="12" t="n">
        <x:v>0</x:v>
      </x:c>
      <x:c r="BJ99" s="12" t="n">
        <x:v>0</x:v>
      </x:c>
      <x:c r="BK99" s="12" t="n">
        <x:v>0</x:v>
      </x:c>
      <x:c r="BL99" s="12" t="n">
        <x:v>0</x:v>
      </x:c>
      <x:c r="BM99" s="12" t="n">
        <x:v>0</x:v>
      </x:c>
      <x:c r="BN99" s="12" t="n">
        <x:v>0</x:v>
      </x:c>
      <x:c r="BO99" s="12" t="n">
        <x:v>0</x:v>
      </x:c>
      <x:c r="BP99" s="12" t="n">
        <x:v>0</x:v>
      </x:c>
      <x:c r="BQ99" s="12" t="n">
        <x:v>0</x:v>
      </x:c>
      <x:c r="BR99" s="12" t="n">
        <x:v>0</x:v>
      </x:c>
      <x:c r="BS99" s="12" t="n">
        <x:v>0</x:v>
      </x:c>
    </x:row>
    <x:row r="100" ht="21" customHeight="1">
      <x:c r="A100" s="14" t="n">
        <x:v>45658.864583333336</x:v>
      </x:c>
      <x:c r="B100" s="14" t="n">
        <x:v>45658.875</x:v>
      </x:c>
      <x:c r="C100" s="14" t="n">
        <x:v>45658.947916666664</x:v>
      </x:c>
      <x:c r="D100" s="15" t="n">
        <x:v>45658</x:v>
      </x:c>
      <x:c r="E100" s="12" t="n">
        <x:v>0.25</x:v>
      </x:c>
      <x:c r="F100" s="12" t="str">
        <x:v>FORMAL</x:v>
      </x:c>
      <x:c r="G100" s="14" t="n">
        <x:v>45658.833333333336</x:v>
      </x:c>
      <x:c r="H100" s="12" t="n">
        <x:v>131.4</x:v>
      </x:c>
      <x:c r="I100" s="12" t="str">
        <x:v>2025-01-01_22</x:v>
      </x:c>
      <x:c r="J100" s="12" t="n">
        <x:v>60</x:v>
      </x:c>
      <x:c r="K100" s="12" t="str">
        <x:v>DA_2025-01-01@80c3f1a8e3ee</x:v>
      </x:c>
      <x:c r="L100" s="15" t="n">
        <x:v>45657</x:v>
      </x:c>
      <x:c r="M100" s="12" t="n">
        <x:v>4.9741</x:v>
      </x:c>
      <x:c r="N100" s="12" t="str">
        <x:v>BNR2024_BOUNDARY@c4397e7f9c31</x:v>
      </x:c>
      <x:c r="O100" s="12"/>
      <x:c r="P100" s="12"/>
      <x:c r="Q100" s="12"/>
      <x:c r="R100" s="12"/>
      <x:c r="S100" s="12" t="str">
        <x:v>OUT_OF_RESEARCH_COVERAGE_PRE_2025_06</x:v>
      </x:c>
      <x:c r="T100" s="12" t="n">
        <x:v>200</x:v>
      </x:c>
      <x:c r="U100" s="12" t="str">
        <x:v>aFRRUp_2025-01-01T20:00:00Z</x:v>
      </x:c>
      <x:c r="V100" s="12" t="str">
        <x:v>tenderStatistics_2025-01@c14c9dea784d</x:v>
      </x:c>
      <x:c r="W100" s="12" t="n">
        <x:v>13.831647936310086</x:v>
      </x:c>
      <x:c r="X100" s="12" t="str">
        <x:v>PUBLISHED_PROXY</x:v>
      </x:c>
      <x:c r="Y100" s="12" t="n">
        <x:v>200</x:v>
      </x:c>
      <x:c r="Z100" s="12" t="str">
        <x:v>aFRRDown_2025-01-01T20:00:00Z</x:v>
      </x:c>
      <x:c r="AA100" s="12" t="str">
        <x:v>tenderStatistics_2025-01@c14c9dea784d</x:v>
      </x:c>
      <x:c r="AB100" s="12" t="n">
        <x:v>14.710198829939085</x:v>
      </x:c>
      <x:c r="AC100" s="12" t="str">
        <x:v>PUBLISHED_PROXY</x:v>
      </x:c>
      <x:c r="AD100" s="12"/>
      <x:c r="AE100" s="12" t="str">
        <x:v>SOURCE_NULL_NOT_MODELED</x:v>
      </x:c>
      <x:c r="AF100" s="12"/>
      <x:c r="AG100" s="12" t="n">
        <x:v>0</x:v>
      </x:c>
      <x:c r="AH100" s="12" t="str">
        <x:v>PUBLISHED_PROXY</x:v>
      </x:c>
      <x:c r="AI100" s="12" t="n">
        <x:v>0</x:v>
      </x:c>
      <x:c r="AJ100" s="12" t="n">
        <x:v>20.941476850083433</x:v>
      </x:c>
      <x:c r="AK100" s="12" t="str">
        <x:v>PUBLISHED_PROXY</x:v>
      </x:c>
      <x:c r="AL100" s="12" t="n">
        <x:v>7.016</x:v>
      </x:c>
      <x:c r="AM100" s="12" t="str">
        <x:v>marginalPricesOverview_2025-01@5b9daf9d82d7</x:v>
      </x:c>
      <x:c r="AN100" s="12" t="str">
        <x:v>activatedBalancingEnergyOverview_2025-01@4135ac664b2a</x:v>
      </x:c>
      <x:c r="AO100" s="12" t="str">
        <x:v>PUBLISHED_NATIVE</x:v>
      </x:c>
      <x:c r="AP100" s="12" t="n">
        <x:v>0</x:v>
      </x:c>
      <x:c r="AQ100" s="12" t="n">
        <x:v>0.14032</x:v>
      </x:c>
      <x:c r="AR100" s="12" t="n">
        <x:v>0.14032</x:v>
      </x:c>
      <x:c r="AS100" s="13" t="b">
        <x:v>1</x:v>
      </x:c>
      <x:c r="AT100" s="13" t="b">
        <x:v>1</x:v>
      </x:c>
      <x:c r="AU100" s="13" t="b">
        <x:v>1</x:v>
      </x:c>
      <x:c r="AV100" s="13" t="b">
        <x:v>1</x:v>
      </x:c>
      <x:c r="AW100" s="13" t="b">
        <x:v>1</x:v>
      </x:c>
      <x:c r="AX100" s="13" t="b">
        <x:v>0</x:v>
      </x:c>
      <x:c r="AY100" s="13" t="b">
        <x:v>0</x:v>
      </x:c>
      <x:c r="AZ100" s="13" t="b">
        <x:v>1</x:v>
      </x:c>
      <x:c r="BA100" s="12" t="str">
        <x:v>OK</x:v>
      </x:c>
      <x:c r="BB100" s="12" t="str">
        <x:v>OK</x:v>
      </x:c>
      <x:c r="BC100" s="12" t="str">
        <x:v>EUR</x:v>
      </x:c>
      <x:c r="BD100" s="12" t="n">
        <x:v>10</x:v>
      </x:c>
      <x:c r="BE100" s="12" t="n">
        <x:v>10</x:v>
      </x:c>
      <x:c r="BF100" s="12" t="n">
        <x:v>0</x:v>
      </x:c>
      <x:c r="BG100" s="12" t="n">
        <x:v>0</x:v>
      </x:c>
      <x:c r="BH100" s="12" t="n">
        <x:v>0</x:v>
      </x:c>
      <x:c r="BI100" s="12" t="n">
        <x:v>0</x:v>
      </x:c>
      <x:c r="BJ100" s="12" t="n">
        <x:v>0</x:v>
      </x:c>
      <x:c r="BK100" s="12" t="n">
        <x:v>0</x:v>
      </x:c>
      <x:c r="BL100" s="12" t="n">
        <x:v>0</x:v>
      </x:c>
      <x:c r="BM100" s="12" t="n">
        <x:v>0</x:v>
      </x:c>
      <x:c r="BN100" s="12" t="n">
        <x:v>0</x:v>
      </x:c>
      <x:c r="BO100" s="12" t="n">
        <x:v>0</x:v>
      </x:c>
      <x:c r="BP100" s="12" t="n">
        <x:v>0</x:v>
      </x:c>
      <x:c r="BQ100" s="12" t="n">
        <x:v>0</x:v>
      </x:c>
      <x:c r="BR100" s="12" t="n">
        <x:v>0</x:v>
      </x:c>
      <x:c r="BS100" s="12" t="n">
        <x:v>0</x:v>
      </x:c>
    </x:row>
    <x:row r="101" ht="21" customHeight="1">
      <x:c r="A101" s="14" t="n">
        <x:v>45658.875</x:v>
      </x:c>
      <x:c r="B101" s="14" t="n">
        <x:v>45658.885416666664</x:v>
      </x:c>
      <x:c r="C101" s="14" t="n">
        <x:v>45658.958333333336</x:v>
      </x:c>
      <x:c r="D101" s="15" t="n">
        <x:v>45658</x:v>
      </x:c>
      <x:c r="E101" s="12" t="n">
        <x:v>0.25</x:v>
      </x:c>
      <x:c r="F101" s="12" t="str">
        <x:v>FORMAL</x:v>
      </x:c>
      <x:c r="G101" s="14" t="n">
        <x:v>45658.875</x:v>
      </x:c>
      <x:c r="H101" s="12" t="n">
        <x:v>107.6</x:v>
      </x:c>
      <x:c r="I101" s="12" t="str">
        <x:v>2025-01-01_23</x:v>
      </x:c>
      <x:c r="J101" s="12" t="n">
        <x:v>60</x:v>
      </x:c>
      <x:c r="K101" s="12" t="str">
        <x:v>DA_2025-01-01@80c3f1a8e3ee</x:v>
      </x:c>
      <x:c r="L101" s="15" t="n">
        <x:v>45657</x:v>
      </x:c>
      <x:c r="M101" s="12" t="n">
        <x:v>4.9741</x:v>
      </x:c>
      <x:c r="N101" s="12" t="str">
        <x:v>BNR2024_BOUNDARY@c4397e7f9c31</x:v>
      </x:c>
      <x:c r="O101" s="12"/>
      <x:c r="P101" s="12"/>
      <x:c r="Q101" s="12"/>
      <x:c r="R101" s="12"/>
      <x:c r="S101" s="12" t="str">
        <x:v>OUT_OF_RESEARCH_COVERAGE_PRE_2025_06</x:v>
      </x:c>
      <x:c r="T101" s="12" t="n">
        <x:v>200</x:v>
      </x:c>
      <x:c r="U101" s="12" t="str">
        <x:v>aFRRUp_2025-01-01T21:00:00Z</x:v>
      </x:c>
      <x:c r="V101" s="12" t="str">
        <x:v>tenderStatistics_2025-01@c14c9dea784d</x:v>
      </x:c>
      <x:c r="W101" s="12" t="n">
        <x:v>13.831647936310086</x:v>
      </x:c>
      <x:c r="X101" s="12" t="str">
        <x:v>PUBLISHED_PROXY</x:v>
      </x:c>
      <x:c r="Y101" s="12" t="n">
        <x:v>200</x:v>
      </x:c>
      <x:c r="Z101" s="12" t="str">
        <x:v>aFRRDown_2025-01-01T21:00:00Z</x:v>
      </x:c>
      <x:c r="AA101" s="12" t="str">
        <x:v>tenderStatistics_2025-01@c14c9dea784d</x:v>
      </x:c>
      <x:c r="AB101" s="12" t="n">
        <x:v>14.710198829939085</x:v>
      </x:c>
      <x:c r="AC101" s="12" t="str">
        <x:v>PUBLISHED_PROXY</x:v>
      </x:c>
      <x:c r="AD101" s="12"/>
      <x:c r="AE101" s="12" t="str">
        <x:v>SOURCE_NULL_NOT_MODELED</x:v>
      </x:c>
      <x:c r="AF101" s="12"/>
      <x:c r="AG101" s="12" t="n">
        <x:v>197.61544802074746</x:v>
      </x:c>
      <x:c r="AH101" s="12" t="str">
        <x:v>PUBLISHED_PROXY</x:v>
      </x:c>
      <x:c r="AI101" s="12" t="n">
        <x:v>17.65</x:v>
      </x:c>
      <x:c r="AJ101" s="12" t="n">
        <x:v>35.34629380189381</x:v>
      </x:c>
      <x:c r="AK101" s="12" t="str">
        <x:v>PUBLISHED_PROXY</x:v>
      </x:c>
      <x:c r="AL101" s="12" t="n">
        <x:v>0.228</x:v>
      </x:c>
      <x:c r="AM101" s="12" t="str">
        <x:v>marginalPricesOverview_2025-01@5b9daf9d82d7</x:v>
      </x:c>
      <x:c r="AN101" s="12" t="str">
        <x:v>activatedBalancingEnergyOverview_2025-01@4135ac664b2a</x:v>
      </x:c>
      <x:c r="AO101" s="12" t="str">
        <x:v>PUBLISHED_NATIVE</x:v>
      </x:c>
      <x:c r="AP101" s="12" t="n">
        <x:v>0.353</x:v>
      </x:c>
      <x:c r="AQ101" s="12" t="n">
        <x:v>0.00456</x:v>
      </x:c>
      <x:c r="AR101" s="12" t="n">
        <x:v>0.35756</x:v>
      </x:c>
      <x:c r="AS101" s="13" t="b">
        <x:v>1</x:v>
      </x:c>
      <x:c r="AT101" s="13" t="b">
        <x:v>1</x:v>
      </x:c>
      <x:c r="AU101" s="13" t="b">
        <x:v>1</x:v>
      </x:c>
      <x:c r="AV101" s="13" t="b">
        <x:v>1</x:v>
      </x:c>
      <x:c r="AW101" s="13" t="b">
        <x:v>1</x:v>
      </x:c>
      <x:c r="AX101" s="13" t="b">
        <x:v>0</x:v>
      </x:c>
      <x:c r="AY101" s="13" t="b">
        <x:v>0</x:v>
      </x:c>
      <x:c r="AZ101" s="13" t="b">
        <x:v>1</x:v>
      </x:c>
      <x:c r="BA101" s="12" t="str">
        <x:v>OK</x:v>
      </x:c>
      <x:c r="BB101" s="12" t="str">
        <x:v>OK</x:v>
      </x:c>
      <x:c r="BC101" s="12" t="str">
        <x:v>EUR</x:v>
      </x:c>
      <x:c r="BD101" s="12" t="n">
        <x:v>10</x:v>
      </x:c>
      <x:c r="BE101" s="12" t="n">
        <x:v>10</x:v>
      </x:c>
      <x:c r="BF101" s="12" t="n">
        <x:v>0</x:v>
      </x:c>
      <x:c r="BG101" s="12" t="n">
        <x:v>0</x:v>
      </x:c>
      <x:c r="BH101" s="12" t="n">
        <x:v>0</x:v>
      </x:c>
      <x:c r="BI101" s="12" t="n">
        <x:v>0</x:v>
      </x:c>
      <x:c r="BJ101" s="12" t="n">
        <x:v>0</x:v>
      </x:c>
      <x:c r="BK101" s="12" t="n">
        <x:v>0</x:v>
      </x:c>
      <x:c r="BL101" s="12" t="n">
        <x:v>0</x:v>
      </x:c>
      <x:c r="BM101" s="12" t="n">
        <x:v>0</x:v>
      </x:c>
      <x:c r="BN101" s="12" t="n">
        <x:v>0</x:v>
      </x:c>
      <x:c r="BO101" s="12" t="n">
        <x:v>0</x:v>
      </x:c>
      <x:c r="BP101" s="12" t="n">
        <x:v>0</x:v>
      </x:c>
      <x:c r="BQ101" s="12" t="n">
        <x:v>0</x:v>
      </x:c>
      <x:c r="BR101" s="12" t="n">
        <x:v>0</x:v>
      </x:c>
      <x:c r="BS101" s="12" t="n">
        <x:v>0</x:v>
      </x:c>
    </x:row>
    <x:row r="102" ht="21" customHeight="1">
      <x:c r="A102" s="14" t="n">
        <x:v>45658.885416666664</x:v>
      </x:c>
      <x:c r="B102" s="14" t="n">
        <x:v>45658.895833333336</x:v>
      </x:c>
      <x:c r="C102" s="14" t="n">
        <x:v>45658.96875</x:v>
      </x:c>
      <x:c r="D102" s="15" t="n">
        <x:v>45658</x:v>
      </x:c>
      <x:c r="E102" s="12" t="n">
        <x:v>0.25</x:v>
      </x:c>
      <x:c r="F102" s="12" t="str">
        <x:v>FORMAL</x:v>
      </x:c>
      <x:c r="G102" s="14" t="n">
        <x:v>45658.875</x:v>
      </x:c>
      <x:c r="H102" s="12" t="n">
        <x:v>107.6</x:v>
      </x:c>
      <x:c r="I102" s="12" t="str">
        <x:v>2025-01-01_23</x:v>
      </x:c>
      <x:c r="J102" s="12" t="n">
        <x:v>60</x:v>
      </x:c>
      <x:c r="K102" s="12" t="str">
        <x:v>DA_2025-01-01@80c3f1a8e3ee</x:v>
      </x:c>
      <x:c r="L102" s="15" t="n">
        <x:v>45657</x:v>
      </x:c>
      <x:c r="M102" s="12" t="n">
        <x:v>4.9741</x:v>
      </x:c>
      <x:c r="N102" s="12" t="str">
        <x:v>BNR2024_BOUNDARY@c4397e7f9c31</x:v>
      </x:c>
      <x:c r="O102" s="12"/>
      <x:c r="P102" s="12"/>
      <x:c r="Q102" s="12"/>
      <x:c r="R102" s="12"/>
      <x:c r="S102" s="12" t="str">
        <x:v>OUT_OF_RESEARCH_COVERAGE_PRE_2025_06</x:v>
      </x:c>
      <x:c r="T102" s="12" t="n">
        <x:v>200</x:v>
      </x:c>
      <x:c r="U102" s="12" t="str">
        <x:v>aFRRUp_2025-01-01T21:00:00Z</x:v>
      </x:c>
      <x:c r="V102" s="12" t="str">
        <x:v>tenderStatistics_2025-01@c14c9dea784d</x:v>
      </x:c>
      <x:c r="W102" s="12" t="n">
        <x:v>13.831647936310086</x:v>
      </x:c>
      <x:c r="X102" s="12" t="str">
        <x:v>PUBLISHED_PROXY</x:v>
      </x:c>
      <x:c r="Y102" s="12" t="n">
        <x:v>200</x:v>
      </x:c>
      <x:c r="Z102" s="12" t="str">
        <x:v>aFRRDown_2025-01-01T21:00:00Z</x:v>
      </x:c>
      <x:c r="AA102" s="12" t="str">
        <x:v>tenderStatistics_2025-01@c14c9dea784d</x:v>
      </x:c>
      <x:c r="AB102" s="12" t="n">
        <x:v>14.710198829939085</x:v>
      </x:c>
      <x:c r="AC102" s="12" t="str">
        <x:v>PUBLISHED_PROXY</x:v>
      </x:c>
      <x:c r="AD102" s="12"/>
      <x:c r="AE102" s="12" t="str">
        <x:v>SOURCE_NULL_NOT_MODELED</x:v>
      </x:c>
      <x:c r="AF102" s="12"/>
      <x:c r="AG102" s="12" t="n">
        <x:v>197.85227478337788</x:v>
      </x:c>
      <x:c r="AH102" s="12" t="str">
        <x:v>PUBLISHED_PROXY</x:v>
      </x:c>
      <x:c r="AI102" s="12" t="n">
        <x:v>15.358</x:v>
      </x:c>
      <x:c r="AJ102" s="12" t="n">
        <x:v>0</x:v>
      </x:c>
      <x:c r="AK102" s="12" t="str">
        <x:v>PUBLISHED_PROXY</x:v>
      </x:c>
      <x:c r="AL102" s="12" t="n">
        <x:v>0</x:v>
      </x:c>
      <x:c r="AM102" s="12" t="str">
        <x:v>marginalPricesOverview_2025-01@5b9daf9d82d7</x:v>
      </x:c>
      <x:c r="AN102" s="12" t="str">
        <x:v>activatedBalancingEnergyOverview_2025-01@4135ac664b2a</x:v>
      </x:c>
      <x:c r="AO102" s="12" t="str">
        <x:v>PUBLISHED_NATIVE</x:v>
      </x:c>
      <x:c r="AP102" s="12" t="n">
        <x:v>0.30716</x:v>
      </x:c>
      <x:c r="AQ102" s="12" t="n">
        <x:v>0</x:v>
      </x:c>
      <x:c r="AR102" s="12" t="n">
        <x:v>0.30716</x:v>
      </x:c>
      <x:c r="AS102" s="13" t="b">
        <x:v>1</x:v>
      </x:c>
      <x:c r="AT102" s="13" t="b">
        <x:v>1</x:v>
      </x:c>
      <x:c r="AU102" s="13" t="b">
        <x:v>1</x:v>
      </x:c>
      <x:c r="AV102" s="13" t="b">
        <x:v>1</x:v>
      </x:c>
      <x:c r="AW102" s="13" t="b">
        <x:v>1</x:v>
      </x:c>
      <x:c r="AX102" s="13" t="b">
        <x:v>0</x:v>
      </x:c>
      <x:c r="AY102" s="13" t="b">
        <x:v>0</x:v>
      </x:c>
      <x:c r="AZ102" s="13" t="b">
        <x:v>1</x:v>
      </x:c>
      <x:c r="BA102" s="12" t="str">
        <x:v>OK</x:v>
      </x:c>
      <x:c r="BB102" s="12" t="str">
        <x:v>OK</x:v>
      </x:c>
      <x:c r="BC102" s="12" t="str">
        <x:v>EUR</x:v>
      </x:c>
      <x:c r="BD102" s="12" t="n">
        <x:v>10</x:v>
      </x:c>
      <x:c r="BE102" s="12" t="n">
        <x:v>10</x:v>
      </x:c>
      <x:c r="BF102" s="12" t="n">
        <x:v>0</x:v>
      </x:c>
      <x:c r="BG102" s="12" t="n">
        <x:v>0</x:v>
      </x:c>
      <x:c r="BH102" s="12" t="n">
        <x:v>0</x:v>
      </x:c>
      <x:c r="BI102" s="12" t="n">
        <x:v>0</x:v>
      </x:c>
      <x:c r="BJ102" s="12" t="n">
        <x:v>0</x:v>
      </x:c>
      <x:c r="BK102" s="12" t="n">
        <x:v>0</x:v>
      </x:c>
      <x:c r="BL102" s="12" t="n">
        <x:v>0</x:v>
      </x:c>
      <x:c r="BM102" s="12" t="n">
        <x:v>0</x:v>
      </x:c>
      <x:c r="BN102" s="12" t="n">
        <x:v>0</x:v>
      </x:c>
      <x:c r="BO102" s="12" t="n">
        <x:v>0</x:v>
      </x:c>
      <x:c r="BP102" s="12" t="n">
        <x:v>0</x:v>
      </x:c>
      <x:c r="BQ102" s="12" t="n">
        <x:v>0</x:v>
      </x:c>
      <x:c r="BR102" s="12" t="n">
        <x:v>0</x:v>
      </x:c>
      <x:c r="BS102" s="12" t="n">
        <x:v>0</x:v>
      </x:c>
    </x:row>
    <x:row r="103" ht="21" customHeight="1">
      <x:c r="A103" s="14" t="n">
        <x:v>45658.895833333336</x:v>
      </x:c>
      <x:c r="B103" s="14" t="n">
        <x:v>45658.90625</x:v>
      </x:c>
      <x:c r="C103" s="14" t="n">
        <x:v>45658.979166666664</x:v>
      </x:c>
      <x:c r="D103" s="15" t="n">
        <x:v>45658</x:v>
      </x:c>
      <x:c r="E103" s="12" t="n">
        <x:v>0.25</x:v>
      </x:c>
      <x:c r="F103" s="12" t="str">
        <x:v>FORMAL</x:v>
      </x:c>
      <x:c r="G103" s="14" t="n">
        <x:v>45658.875</x:v>
      </x:c>
      <x:c r="H103" s="12" t="n">
        <x:v>107.6</x:v>
      </x:c>
      <x:c r="I103" s="12" t="str">
        <x:v>2025-01-01_23</x:v>
      </x:c>
      <x:c r="J103" s="12" t="n">
        <x:v>60</x:v>
      </x:c>
      <x:c r="K103" s="12" t="str">
        <x:v>DA_2025-01-01@80c3f1a8e3ee</x:v>
      </x:c>
      <x:c r="L103" s="15" t="n">
        <x:v>45657</x:v>
      </x:c>
      <x:c r="M103" s="12" t="n">
        <x:v>4.9741</x:v>
      </x:c>
      <x:c r="N103" s="12" t="str">
        <x:v>BNR2024_BOUNDARY@c4397e7f9c31</x:v>
      </x:c>
      <x:c r="O103" s="12"/>
      <x:c r="P103" s="12"/>
      <x:c r="Q103" s="12"/>
      <x:c r="R103" s="12"/>
      <x:c r="S103" s="12" t="str">
        <x:v>OUT_OF_RESEARCH_COVERAGE_PRE_2025_06</x:v>
      </x:c>
      <x:c r="T103" s="12" t="n">
        <x:v>200</x:v>
      </x:c>
      <x:c r="U103" s="12" t="str">
        <x:v>aFRRUp_2025-01-01T21:00:00Z</x:v>
      </x:c>
      <x:c r="V103" s="12" t="str">
        <x:v>tenderStatistics_2025-01@c14c9dea784d</x:v>
      </x:c>
      <x:c r="W103" s="12" t="n">
        <x:v>13.831647936310086</x:v>
      </x:c>
      <x:c r="X103" s="12" t="str">
        <x:v>PUBLISHED_PROXY</x:v>
      </x:c>
      <x:c r="Y103" s="12" t="n">
        <x:v>200</x:v>
      </x:c>
      <x:c r="Z103" s="12" t="str">
        <x:v>aFRRDown_2025-01-01T21:00:00Z</x:v>
      </x:c>
      <x:c r="AA103" s="12" t="str">
        <x:v>tenderStatistics_2025-01@c14c9dea784d</x:v>
      </x:c>
      <x:c r="AB103" s="12" t="n">
        <x:v>14.710198829939085</x:v>
      </x:c>
      <x:c r="AC103" s="12" t="str">
        <x:v>PUBLISHED_PROXY</x:v>
      </x:c>
      <x:c r="AD103" s="12"/>
      <x:c r="AE103" s="12" t="str">
        <x:v>SOURCE_NULL_NOT_MODELED</x:v>
      </x:c>
      <x:c r="AF103" s="12"/>
      <x:c r="AG103" s="12" t="n">
        <x:v>159.8815866186848</x:v>
      </x:c>
      <x:c r="AH103" s="12" t="str">
        <x:v>PUBLISHED_PROXY</x:v>
      </x:c>
      <x:c r="AI103" s="12" t="n">
        <x:v>4.46</x:v>
      </x:c>
      <x:c r="AJ103" s="12" t="n">
        <x:v>0</x:v>
      </x:c>
      <x:c r="AK103" s="12" t="str">
        <x:v>PUBLISHED_PROXY</x:v>
      </x:c>
      <x:c r="AL103" s="12" t="n">
        <x:v>0</x:v>
      </x:c>
      <x:c r="AM103" s="12" t="str">
        <x:v>marginalPricesOverview_2025-01@5b9daf9d82d7</x:v>
      </x:c>
      <x:c r="AN103" s="12" t="str">
        <x:v>activatedBalancingEnergyOverview_2025-01@4135ac664b2a</x:v>
      </x:c>
      <x:c r="AO103" s="12" t="str">
        <x:v>PUBLISHED_NATIVE</x:v>
      </x:c>
      <x:c r="AP103" s="12" t="n">
        <x:v>0.0892</x:v>
      </x:c>
      <x:c r="AQ103" s="12" t="n">
        <x:v>0</x:v>
      </x:c>
      <x:c r="AR103" s="12" t="n">
        <x:v>0.0892</x:v>
      </x:c>
      <x:c r="AS103" s="13" t="b">
        <x:v>1</x:v>
      </x:c>
      <x:c r="AT103" s="13" t="b">
        <x:v>1</x:v>
      </x:c>
      <x:c r="AU103" s="13" t="b">
        <x:v>1</x:v>
      </x:c>
      <x:c r="AV103" s="13" t="b">
        <x:v>1</x:v>
      </x:c>
      <x:c r="AW103" s="13" t="b">
        <x:v>1</x:v>
      </x:c>
      <x:c r="AX103" s="13" t="b">
        <x:v>0</x:v>
      </x:c>
      <x:c r="AY103" s="13" t="b">
        <x:v>0</x:v>
      </x:c>
      <x:c r="AZ103" s="13" t="b">
        <x:v>1</x:v>
      </x:c>
      <x:c r="BA103" s="12" t="str">
        <x:v>OK</x:v>
      </x:c>
      <x:c r="BB103" s="12" t="str">
        <x:v>OK</x:v>
      </x:c>
      <x:c r="BC103" s="12" t="str">
        <x:v>EUR</x:v>
      </x:c>
      <x:c r="BD103" s="12" t="n">
        <x:v>10</x:v>
      </x:c>
      <x:c r="BE103" s="12" t="n">
        <x:v>10</x:v>
      </x:c>
      <x:c r="BF103" s="12" t="n">
        <x:v>0</x:v>
      </x:c>
      <x:c r="BG103" s="12" t="n">
        <x:v>0</x:v>
      </x:c>
      <x:c r="BH103" s="12" t="n">
        <x:v>0</x:v>
      </x:c>
      <x:c r="BI103" s="12" t="n">
        <x:v>0</x:v>
      </x:c>
      <x:c r="BJ103" s="12" t="n">
        <x:v>0</x:v>
      </x:c>
      <x:c r="BK103" s="12" t="n">
        <x:v>0</x:v>
      </x:c>
      <x:c r="BL103" s="12" t="n">
        <x:v>0</x:v>
      </x:c>
      <x:c r="BM103" s="12" t="n">
        <x:v>0</x:v>
      </x:c>
      <x:c r="BN103" s="12" t="n">
        <x:v>0</x:v>
      </x:c>
      <x:c r="BO103" s="12" t="n">
        <x:v>0</x:v>
      </x:c>
      <x:c r="BP103" s="12" t="n">
        <x:v>0</x:v>
      </x:c>
      <x:c r="BQ103" s="12" t="n">
        <x:v>0</x:v>
      </x:c>
      <x:c r="BR103" s="12" t="n">
        <x:v>0</x:v>
      </x:c>
      <x:c r="BS103" s="12" t="n">
        <x:v>0</x:v>
      </x:c>
    </x:row>
    <x:row r="104" ht="21" customHeight="1">
      <x:c r="A104" s="14" t="n">
        <x:v>45658.90625</x:v>
      </x:c>
      <x:c r="B104" s="14" t="n">
        <x:v>45658.916666666664</x:v>
      </x:c>
      <x:c r="C104" s="14" t="n">
        <x:v>45658.989583333336</x:v>
      </x:c>
      <x:c r="D104" s="15" t="n">
        <x:v>45658</x:v>
      </x:c>
      <x:c r="E104" s="12" t="n">
        <x:v>0.25</x:v>
      </x:c>
      <x:c r="F104" s="12" t="str">
        <x:v>FORMAL</x:v>
      </x:c>
      <x:c r="G104" s="14" t="n">
        <x:v>45658.875</x:v>
      </x:c>
      <x:c r="H104" s="12" t="n">
        <x:v>107.6</x:v>
      </x:c>
      <x:c r="I104" s="12" t="str">
        <x:v>2025-01-01_23</x:v>
      </x:c>
      <x:c r="J104" s="12" t="n">
        <x:v>60</x:v>
      </x:c>
      <x:c r="K104" s="12" t="str">
        <x:v>DA_2025-01-01@80c3f1a8e3ee</x:v>
      </x:c>
      <x:c r="L104" s="15" t="n">
        <x:v>45657</x:v>
      </x:c>
      <x:c r="M104" s="12" t="n">
        <x:v>4.9741</x:v>
      </x:c>
      <x:c r="N104" s="12" t="str">
        <x:v>BNR2024_BOUNDARY@c4397e7f9c31</x:v>
      </x:c>
      <x:c r="O104" s="12"/>
      <x:c r="P104" s="12"/>
      <x:c r="Q104" s="12"/>
      <x:c r="R104" s="12"/>
      <x:c r="S104" s="12" t="str">
        <x:v>OUT_OF_RESEARCH_COVERAGE_PRE_2025_06</x:v>
      </x:c>
      <x:c r="T104" s="12" t="n">
        <x:v>200</x:v>
      </x:c>
      <x:c r="U104" s="12" t="str">
        <x:v>aFRRUp_2025-01-01T21:00:00Z</x:v>
      </x:c>
      <x:c r="V104" s="12" t="str">
        <x:v>tenderStatistics_2025-01@c14c9dea784d</x:v>
      </x:c>
      <x:c r="W104" s="12" t="n">
        <x:v>13.831647936310086</x:v>
      </x:c>
      <x:c r="X104" s="12" t="str">
        <x:v>PUBLISHED_PROXY</x:v>
      </x:c>
      <x:c r="Y104" s="12" t="n">
        <x:v>200</x:v>
      </x:c>
      <x:c r="Z104" s="12" t="str">
        <x:v>aFRRDown_2025-01-01T21:00:00Z</x:v>
      </x:c>
      <x:c r="AA104" s="12" t="str">
        <x:v>tenderStatistics_2025-01@c14c9dea784d</x:v>
      </x:c>
      <x:c r="AB104" s="12" t="n">
        <x:v>14.710198829939085</x:v>
      </x:c>
      <x:c r="AC104" s="12" t="str">
        <x:v>PUBLISHED_PROXY</x:v>
      </x:c>
      <x:c r="AD104" s="12"/>
      <x:c r="AE104" s="12" t="str">
        <x:v>SOURCE_NULL_NOT_MODELED</x:v>
      </x:c>
      <x:c r="AF104" s="12"/>
      <x:c r="AG104" s="12" t="n">
        <x:v>138.90090669668885</x:v>
      </x:c>
      <x:c r="AH104" s="12" t="str">
        <x:v>PUBLISHED_PROXY</x:v>
      </x:c>
      <x:c r="AI104" s="12" t="n">
        <x:v>0.81</x:v>
      </x:c>
      <x:c r="AJ104" s="12" t="n">
        <x:v>48.28833356788163</x:v>
      </x:c>
      <x:c r="AK104" s="12" t="str">
        <x:v>PUBLISHED_PROXY</x:v>
      </x:c>
      <x:c r="AL104" s="12" t="n">
        <x:v>0.115</x:v>
      </x:c>
      <x:c r="AM104" s="12" t="str">
        <x:v>marginalPricesOverview_2025-01@5b9daf9d82d7</x:v>
      </x:c>
      <x:c r="AN104" s="12" t="str">
        <x:v>activatedBalancingEnergyOverview_2025-01@4135ac664b2a</x:v>
      </x:c>
      <x:c r="AO104" s="12" t="str">
        <x:v>PUBLISHED_NATIVE</x:v>
      </x:c>
      <x:c r="AP104" s="12" t="n">
        <x:v>0.0162</x:v>
      </x:c>
      <x:c r="AQ104" s="12" t="n">
        <x:v>0.0023</x:v>
      </x:c>
      <x:c r="AR104" s="12" t="n">
        <x:v>0.0185</x:v>
      </x:c>
      <x:c r="AS104" s="13" t="b">
        <x:v>1</x:v>
      </x:c>
      <x:c r="AT104" s="13" t="b">
        <x:v>1</x:v>
      </x:c>
      <x:c r="AU104" s="13" t="b">
        <x:v>1</x:v>
      </x:c>
      <x:c r="AV104" s="13" t="b">
        <x:v>1</x:v>
      </x:c>
      <x:c r="AW104" s="13" t="b">
        <x:v>1</x:v>
      </x:c>
      <x:c r="AX104" s="13" t="b">
        <x:v>0</x:v>
      </x:c>
      <x:c r="AY104" s="13" t="b">
        <x:v>0</x:v>
      </x:c>
      <x:c r="AZ104" s="13" t="b">
        <x:v>1</x:v>
      </x:c>
      <x:c r="BA104" s="12" t="str">
        <x:v>OK</x:v>
      </x:c>
      <x:c r="BB104" s="12" t="str">
        <x:v>OK</x:v>
      </x:c>
      <x:c r="BC104" s="12" t="str">
        <x:v>EUR</x:v>
      </x:c>
      <x:c r="BD104" s="12" t="n">
        <x:v>10</x:v>
      </x:c>
      <x:c r="BE104" s="12" t="n">
        <x:v>10</x:v>
      </x:c>
      <x:c r="BF104" s="12" t="n">
        <x:v>0</x:v>
      </x:c>
      <x:c r="BG104" s="12" t="n">
        <x:v>0</x:v>
      </x:c>
      <x:c r="BH104" s="12" t="n">
        <x:v>0</x:v>
      </x:c>
      <x:c r="BI104" s="12" t="n">
        <x:v>0</x:v>
      </x:c>
      <x:c r="BJ104" s="12" t="n">
        <x:v>0</x:v>
      </x:c>
      <x:c r="BK104" s="12" t="n">
        <x:v>0</x:v>
      </x:c>
      <x:c r="BL104" s="12" t="n">
        <x:v>0</x:v>
      </x:c>
      <x:c r="BM104" s="12" t="n">
        <x:v>0</x:v>
      </x:c>
      <x:c r="BN104" s="12" t="n">
        <x:v>0</x:v>
      </x:c>
      <x:c r="BO104" s="12" t="n">
        <x:v>0</x:v>
      </x:c>
      <x:c r="BP104" s="12" t="n">
        <x:v>0</x:v>
      </x:c>
      <x:c r="BQ104" s="12" t="n">
        <x:v>0</x:v>
      </x:c>
      <x:c r="BR104" s="12" t="n">
        <x:v>0</x:v>
      </x:c>
      <x:c r="BS104" s="12" t="n">
        <x:v>0</x:v>
      </x:c>
    </x:row>
    <x:row r="105" ht="21" customHeight="1">
      <x:c r="A105" s="14" t="n">
        <x:v>45658.916666666664</x:v>
      </x:c>
      <x:c r="B105" s="14" t="n">
        <x:v>45658.927083333336</x:v>
      </x:c>
      <x:c r="C105" s="14" t="n">
        <x:v>45659</x:v>
      </x:c>
      <x:c r="D105" s="15" t="n">
        <x:v>45659</x:v>
      </x:c>
      <x:c r="E105" s="12" t="n">
        <x:v>0.25</x:v>
      </x:c>
      <x:c r="F105" s="12" t="str">
        <x:v>FORMAL</x:v>
      </x:c>
      <x:c r="G105" s="14" t="n">
        <x:v>45658.916666666664</x:v>
      </x:c>
      <x:c r="H105" s="12" t="n">
        <x:v>65.1</x:v>
      </x:c>
      <x:c r="I105" s="12" t="str">
        <x:v>2025-01-01_24</x:v>
      </x:c>
      <x:c r="J105" s="12" t="n">
        <x:v>60</x:v>
      </x:c>
      <x:c r="K105" s="12" t="str">
        <x:v>DA_2025-01-01@80c3f1a8e3ee</x:v>
      </x:c>
      <x:c r="L105" s="15" t="n">
        <x:v>45657</x:v>
      </x:c>
      <x:c r="M105" s="12" t="n">
        <x:v>4.9741</x:v>
      </x:c>
      <x:c r="N105" s="12" t="str">
        <x:v>BNR2024_BOUNDARY@c4397e7f9c31</x:v>
      </x:c>
      <x:c r="O105" s="12"/>
      <x:c r="P105" s="12"/>
      <x:c r="Q105" s="12"/>
      <x:c r="R105" s="12"/>
      <x:c r="S105" s="12" t="str">
        <x:v>OUT_OF_RESEARCH_COVERAGE_PRE_2025_06</x:v>
      </x:c>
      <x:c r="T105" s="12" t="n">
        <x:v>200</x:v>
      </x:c>
      <x:c r="U105" s="12" t="str">
        <x:v>aFRRUp_2025-01-01T22:00:00Z</x:v>
      </x:c>
      <x:c r="V105" s="12" t="str">
        <x:v>tenderStatistics_2025-01@c14c9dea784d</x:v>
      </x:c>
      <x:c r="W105" s="12" t="n">
        <x:v>13.670814820771596</x:v>
      </x:c>
      <x:c r="X105" s="12" t="str">
        <x:v>PUBLISHED_PROXY</x:v>
      </x:c>
      <x:c r="Y105" s="12" t="n">
        <x:v>200</x:v>
      </x:c>
      <x:c r="Z105" s="12" t="str">
        <x:v>aFRRDown_2025-01-01T22:00:00Z</x:v>
      </x:c>
      <x:c r="AA105" s="12" t="str">
        <x:v>tenderStatistics_2025-01@c14c9dea784d</x:v>
      </x:c>
      <x:c r="AB105" s="12" t="n">
        <x:v>14.710198829939085</x:v>
      </x:c>
      <x:c r="AC105" s="12" t="str">
        <x:v>PUBLISHED_PROXY</x:v>
      </x:c>
      <x:c r="AD105" s="12"/>
      <x:c r="AE105" s="12" t="str">
        <x:v>SOURCE_NULL_NOT_MODELED</x:v>
      </x:c>
      <x:c r="AF105" s="12"/>
      <x:c r="AG105" s="12" t="n">
        <x:v>519.0613377294385</x:v>
      </x:c>
      <x:c r="AH105" s="12" t="str">
        <x:v>PUBLISHED_PROXY</x:v>
      </x:c>
      <x:c r="AI105" s="12" t="n">
        <x:v>41.368</x:v>
      </x:c>
      <x:c r="AJ105" s="12" t="n">
        <x:v>0</x:v>
      </x:c>
      <x:c r="AK105" s="12" t="str">
        <x:v>PUBLISHED_PROXY</x:v>
      </x:c>
      <x:c r="AL105" s="12" t="n">
        <x:v>0</x:v>
      </x:c>
      <x:c r="AM105" s="12" t="str">
        <x:v>marginalPricesOverview_2025-01@5b9daf9d82d7</x:v>
      </x:c>
      <x:c r="AN105" s="12" t="str">
        <x:v>activatedBalancingEnergyOverview_2025-01@4135ac664b2a</x:v>
      </x:c>
      <x:c r="AO105" s="12" t="str">
        <x:v>PUBLISHED_NATIVE</x:v>
      </x:c>
      <x:c r="AP105" s="12" t="n">
        <x:v>0.8273600000000001</x:v>
      </x:c>
      <x:c r="AQ105" s="12" t="n">
        <x:v>0</x:v>
      </x:c>
      <x:c r="AR105" s="12" t="n">
        <x:v>0.8273600000000001</x:v>
      </x:c>
      <x:c r="AS105" s="13" t="b">
        <x:v>1</x:v>
      </x:c>
      <x:c r="AT105" s="13" t="b">
        <x:v>1</x:v>
      </x:c>
      <x:c r="AU105" s="13" t="b">
        <x:v>1</x:v>
      </x:c>
      <x:c r="AV105" s="13" t="b">
        <x:v>1</x:v>
      </x:c>
      <x:c r="AW105" s="13" t="b">
        <x:v>1</x:v>
      </x:c>
      <x:c r="AX105" s="13" t="b">
        <x:v>0</x:v>
      </x:c>
      <x:c r="AY105" s="13" t="b">
        <x:v>0</x:v>
      </x:c>
      <x:c r="AZ105" s="13" t="b">
        <x:v>1</x:v>
      </x:c>
      <x:c r="BA105" s="12" t="str">
        <x:v>OK</x:v>
      </x:c>
      <x:c r="BB105" s="12" t="str">
        <x:v>OK</x:v>
      </x:c>
      <x:c r="BC105" s="12" t="str">
        <x:v>EUR</x:v>
      </x:c>
      <x:c r="BD105" s="12" t="n">
        <x:v>10</x:v>
      </x:c>
      <x:c r="BE105" s="12" t="n">
        <x:v>13.970719999999996</x:v>
      </x:c>
      <x:c r="BF105" s="12" t="n">
        <x:v>-100</x:v>
      </x:c>
      <x:c r="BG105" s="12" t="n">
        <x:v>0</x:v>
      </x:c>
      <x:c r="BH105" s="12" t="n">
        <x:v>100</x:v>
      </x:c>
      <x:c r="BI105" s="12" t="n">
        <x:v>0</x:v>
      </x:c>
      <x:c r="BJ105" s="12" t="n">
        <x:v>20.684</x:v>
      </x:c>
      <x:c r="BK105" s="12" t="n">
        <x:v>0</x:v>
      </x:c>
      <x:c r="BL105" s="12" t="n">
        <x:v>-1627.4999999999998</x:v>
      </x:c>
      <x:c r="BM105" s="12" t="n">
        <x:v>0</x:v>
      </x:c>
      <x:c r="BN105" s="12" t="n">
        <x:v>341.77037051928994</x:v>
      </x:c>
      <x:c r="BO105" s="12" t="n">
        <x:v>0</x:v>
      </x:c>
      <x:c r="BP105" s="12" t="n">
        <x:v>10736.264709595705</x:v>
      </x:c>
      <x:c r="BQ105" s="12" t="n">
        <x:v>0</x:v>
      </x:c>
      <x:c r="BR105" s="12" t="n">
        <x:v>9450.535080114996</x:v>
      </x:c>
      <x:c r="BS105" s="12" t="n">
        <x:v>0.01102977777777777</x:v>
      </x:c>
    </x:row>
    <x:row r="106" ht="21" customHeight="1">
      <x:c r="A106" s="14" t="n">
        <x:v>45658.927083333336</x:v>
      </x:c>
      <x:c r="B106" s="14" t="n">
        <x:v>45658.9375</x:v>
      </x:c>
      <x:c r="C106" s="14" t="n">
        <x:v>45659.010416666664</x:v>
      </x:c>
      <x:c r="D106" s="15" t="n">
        <x:v>45659</x:v>
      </x:c>
      <x:c r="E106" s="12" t="n">
        <x:v>0.25</x:v>
      </x:c>
      <x:c r="F106" s="12" t="str">
        <x:v>FORMAL</x:v>
      </x:c>
      <x:c r="G106" s="14" t="n">
        <x:v>45658.916666666664</x:v>
      </x:c>
      <x:c r="H106" s="12" t="n">
        <x:v>65.1</x:v>
      </x:c>
      <x:c r="I106" s="12" t="str">
        <x:v>2025-01-01_24</x:v>
      </x:c>
      <x:c r="J106" s="12" t="n">
        <x:v>60</x:v>
      </x:c>
      <x:c r="K106" s="12" t="str">
        <x:v>DA_2025-01-01@80c3f1a8e3ee</x:v>
      </x:c>
      <x:c r="L106" s="15" t="n">
        <x:v>45657</x:v>
      </x:c>
      <x:c r="M106" s="12" t="n">
        <x:v>4.9741</x:v>
      </x:c>
      <x:c r="N106" s="12" t="str">
        <x:v>BNR2024_BOUNDARY@c4397e7f9c31</x:v>
      </x:c>
      <x:c r="O106" s="12"/>
      <x:c r="P106" s="12"/>
      <x:c r="Q106" s="12"/>
      <x:c r="R106" s="12"/>
      <x:c r="S106" s="12" t="str">
        <x:v>OUT_OF_RESEARCH_COVERAGE_PRE_2025_06</x:v>
      </x:c>
      <x:c r="T106" s="12" t="n">
        <x:v>200</x:v>
      </x:c>
      <x:c r="U106" s="12" t="str">
        <x:v>aFRRUp_2025-01-01T22:00:00Z</x:v>
      </x:c>
      <x:c r="V106" s="12" t="str">
        <x:v>tenderStatistics_2025-01@c14c9dea784d</x:v>
      </x:c>
      <x:c r="W106" s="12" t="n">
        <x:v>13.670814820771596</x:v>
      </x:c>
      <x:c r="X106" s="12" t="str">
        <x:v>PUBLISHED_PROXY</x:v>
      </x:c>
      <x:c r="Y106" s="12" t="n">
        <x:v>200</x:v>
      </x:c>
      <x:c r="Z106" s="12" t="str">
        <x:v>aFRRDown_2025-01-01T22:00:00Z</x:v>
      </x:c>
      <x:c r="AA106" s="12" t="str">
        <x:v>tenderStatistics_2025-01@c14c9dea784d</x:v>
      </x:c>
      <x:c r="AB106" s="12" t="n">
        <x:v>14.710198829939085</x:v>
      </x:c>
      <x:c r="AC106" s="12" t="str">
        <x:v>PUBLISHED_PROXY</x:v>
      </x:c>
      <x:c r="AD106" s="12"/>
      <x:c r="AE106" s="12" t="str">
        <x:v>SOURCE_NULL_NOT_MODELED</x:v>
      </x:c>
      <x:c r="AF106" s="12"/>
      <x:c r="AG106" s="12" t="n">
        <x:v>183.47761404073097</x:v>
      </x:c>
      <x:c r="AH106" s="12" t="str">
        <x:v>PUBLISHED_PROXY</x:v>
      </x:c>
      <x:c r="AI106" s="12" t="n">
        <x:v>33.595</x:v>
      </x:c>
      <x:c r="AJ106" s="12" t="n">
        <x:v>0</x:v>
      </x:c>
      <x:c r="AK106" s="12" t="str">
        <x:v>PUBLISHED_PROXY</x:v>
      </x:c>
      <x:c r="AL106" s="12" t="n">
        <x:v>0</x:v>
      </x:c>
      <x:c r="AM106" s="12" t="str">
        <x:v>marginalPricesOverview_2025-01@5b9daf9d82d7</x:v>
      </x:c>
      <x:c r="AN106" s="12" t="str">
        <x:v>activatedBalancingEnergyOverview_2025-01@4135ac664b2a</x:v>
      </x:c>
      <x:c r="AO106" s="12" t="str">
        <x:v>PUBLISHED_NATIVE</x:v>
      </x:c>
      <x:c r="AP106" s="12" t="n">
        <x:v>0.6718999999999999</x:v>
      </x:c>
      <x:c r="AQ106" s="12" t="n">
        <x:v>0</x:v>
      </x:c>
      <x:c r="AR106" s="12" t="n">
        <x:v>0.6718999999999999</x:v>
      </x:c>
      <x:c r="AS106" s="13" t="b">
        <x:v>1</x:v>
      </x:c>
      <x:c r="AT106" s="13" t="b">
        <x:v>1</x:v>
      </x:c>
      <x:c r="AU106" s="13" t="b">
        <x:v>1</x:v>
      </x:c>
      <x:c r="AV106" s="13" t="b">
        <x:v>1</x:v>
      </x:c>
      <x:c r="AW106" s="13" t="b">
        <x:v>1</x:v>
      </x:c>
      <x:c r="AX106" s="13" t="b">
        <x:v>0</x:v>
      </x:c>
      <x:c r="AY106" s="13" t="b">
        <x:v>0</x:v>
      </x:c>
      <x:c r="AZ106" s="13" t="b">
        <x:v>1</x:v>
      </x:c>
      <x:c r="BA106" s="12" t="str">
        <x:v>OK</x:v>
      </x:c>
      <x:c r="BB106" s="12" t="str">
        <x:v>OK</x:v>
      </x:c>
      <x:c r="BC106" s="12" t="str">
        <x:v>EUR</x:v>
      </x:c>
      <x:c r="BD106" s="12" t="n">
        <x:v>13.970719999999996</x:v>
      </x:c>
      <x:c r="BE106" s="12" t="n">
        <x:v>21.517019999999995</x:v>
      </x:c>
      <x:c r="BF106" s="12" t="n">
        <x:v>-100</x:v>
      </x:c>
      <x:c r="BG106" s="12" t="n">
        <x:v>0</x:v>
      </x:c>
      <x:c r="BH106" s="12" t="n">
        <x:v>100</x:v>
      </x:c>
      <x:c r="BI106" s="12" t="n">
        <x:v>0</x:v>
      </x:c>
      <x:c r="BJ106" s="12" t="n">
        <x:v>16.7975</x:v>
      </x:c>
      <x:c r="BK106" s="12" t="n">
        <x:v>0</x:v>
      </x:c>
      <x:c r="BL106" s="12" t="n">
        <x:v>-1627.4999999999998</x:v>
      </x:c>
      <x:c r="BM106" s="12" t="n">
        <x:v>0</x:v>
      </x:c>
      <x:c r="BN106" s="12" t="n">
        <x:v>341.77037051928994</x:v>
      </x:c>
      <x:c r="BO106" s="12" t="n">
        <x:v>0</x:v>
      </x:c>
      <x:c r="BP106" s="12" t="n">
        <x:v>3081.9652218491783</x:v>
      </x:c>
      <x:c r="BQ106" s="12" t="n">
        <x:v>0</x:v>
      </x:c>
      <x:c r="BR106" s="12" t="n">
        <x:v>1796.2355923684686</x:v>
      </x:c>
      <x:c r="BS106" s="12" t="n">
        <x:v>0.020961944444444446</x:v>
      </x:c>
    </x:row>
    <x:row r="107" ht="21" customHeight="1">
      <x:c r="A107" s="14" t="n">
        <x:v>45658.9375</x:v>
      </x:c>
      <x:c r="B107" s="14" t="n">
        <x:v>45658.947916666664</x:v>
      </x:c>
      <x:c r="C107" s="14" t="n">
        <x:v>45659.020833333336</x:v>
      </x:c>
      <x:c r="D107" s="15" t="n">
        <x:v>45659</x:v>
      </x:c>
      <x:c r="E107" s="12" t="n">
        <x:v>0.25</x:v>
      </x:c>
      <x:c r="F107" s="12" t="str">
        <x:v>FORMAL</x:v>
      </x:c>
      <x:c r="G107" s="14" t="n">
        <x:v>45658.916666666664</x:v>
      </x:c>
      <x:c r="H107" s="12" t="n">
        <x:v>65.1</x:v>
      </x:c>
      <x:c r="I107" s="12" t="str">
        <x:v>2025-01-01_24</x:v>
      </x:c>
      <x:c r="J107" s="12" t="n">
        <x:v>60</x:v>
      </x:c>
      <x:c r="K107" s="12" t="str">
        <x:v>DA_2025-01-01@80c3f1a8e3ee</x:v>
      </x:c>
      <x:c r="L107" s="15" t="n">
        <x:v>45657</x:v>
      </x:c>
      <x:c r="M107" s="12" t="n">
        <x:v>4.9741</x:v>
      </x:c>
      <x:c r="N107" s="12" t="str">
        <x:v>BNR2024_BOUNDARY@c4397e7f9c31</x:v>
      </x:c>
      <x:c r="O107" s="12"/>
      <x:c r="P107" s="12"/>
      <x:c r="Q107" s="12"/>
      <x:c r="R107" s="12"/>
      <x:c r="S107" s="12" t="str">
        <x:v>OUT_OF_RESEARCH_COVERAGE_PRE_2025_06</x:v>
      </x:c>
      <x:c r="T107" s="12" t="n">
        <x:v>200</x:v>
      </x:c>
      <x:c r="U107" s="12" t="str">
        <x:v>aFRRUp_2025-01-01T22:00:00Z</x:v>
      </x:c>
      <x:c r="V107" s="12" t="str">
        <x:v>tenderStatistics_2025-01@c14c9dea784d</x:v>
      </x:c>
      <x:c r="W107" s="12" t="n">
        <x:v>13.670814820771596</x:v>
      </x:c>
      <x:c r="X107" s="12" t="str">
        <x:v>PUBLISHED_PROXY</x:v>
      </x:c>
      <x:c r="Y107" s="12" t="n">
        <x:v>200</x:v>
      </x:c>
      <x:c r="Z107" s="12" t="str">
        <x:v>aFRRDown_2025-01-01T22:00:00Z</x:v>
      </x:c>
      <x:c r="AA107" s="12" t="str">
        <x:v>tenderStatistics_2025-01@c14c9dea784d</x:v>
      </x:c>
      <x:c r="AB107" s="12" t="n">
        <x:v>14.710198829939085</x:v>
      </x:c>
      <x:c r="AC107" s="12" t="str">
        <x:v>PUBLISHED_PROXY</x:v>
      </x:c>
      <x:c r="AD107" s="12"/>
      <x:c r="AE107" s="12" t="str">
        <x:v>SOURCE_NULL_NOT_MODELED</x:v>
      </x:c>
      <x:c r="AF107" s="12"/>
      <x:c r="AG107" s="12" t="n">
        <x:v>155.60201845560002</x:v>
      </x:c>
      <x:c r="AH107" s="12" t="str">
        <x:v>PUBLISHED_PROXY</x:v>
      </x:c>
      <x:c r="AI107" s="12" t="n">
        <x:v>19.446</x:v>
      </x:c>
      <x:c r="AJ107" s="12" t="n">
        <x:v>0</x:v>
      </x:c>
      <x:c r="AK107" s="12" t="str">
        <x:v>PUBLISHED_PROXY</x:v>
      </x:c>
      <x:c r="AL107" s="12" t="n">
        <x:v>0</x:v>
      </x:c>
      <x:c r="AM107" s="12" t="str">
        <x:v>marginalPricesOverview_2025-01@5b9daf9d82d7</x:v>
      </x:c>
      <x:c r="AN107" s="12" t="str">
        <x:v>activatedBalancingEnergyOverview_2025-01@4135ac664b2a</x:v>
      </x:c>
      <x:c r="AO107" s="12" t="str">
        <x:v>PUBLISHED_NATIVE</x:v>
      </x:c>
      <x:c r="AP107" s="12" t="n">
        <x:v>0.38892</x:v>
      </x:c>
      <x:c r="AQ107" s="12" t="n">
        <x:v>0</x:v>
      </x:c>
      <x:c r="AR107" s="12" t="n">
        <x:v>0.38892</x:v>
      </x:c>
      <x:c r="AS107" s="13" t="b">
        <x:v>1</x:v>
      </x:c>
      <x:c r="AT107" s="13" t="b">
        <x:v>1</x:v>
      </x:c>
      <x:c r="AU107" s="13" t="b">
        <x:v>1</x:v>
      </x:c>
      <x:c r="AV107" s="13" t="b">
        <x:v>1</x:v>
      </x:c>
      <x:c r="AW107" s="13" t="b">
        <x:v>1</x:v>
      </x:c>
      <x:c r="AX107" s="13" t="b">
        <x:v>0</x:v>
      </x:c>
      <x:c r="AY107" s="13" t="b">
        <x:v>0</x:v>
      </x:c>
      <x:c r="AZ107" s="13" t="b">
        <x:v>1</x:v>
      </x:c>
      <x:c r="BA107" s="12" t="str">
        <x:v>OK</x:v>
      </x:c>
      <x:c r="BB107" s="12" t="str">
        <x:v>OK</x:v>
      </x:c>
      <x:c r="BC107" s="12" t="str">
        <x:v>EUR</x:v>
      </x:c>
      <x:c r="BD107" s="12" t="n">
        <x:v>21.517019999999995</x:v>
      </x:c>
      <x:c r="BE107" s="12" t="n">
        <x:v>35.571859999999994</x:v>
      </x:c>
      <x:c r="BF107" s="12" t="n">
        <x:v>-100</x:v>
      </x:c>
      <x:c r="BG107" s="12" t="n">
        <x:v>0</x:v>
      </x:c>
      <x:c r="BH107" s="12" t="n">
        <x:v>100</x:v>
      </x:c>
      <x:c r="BI107" s="12" t="n">
        <x:v>0</x:v>
      </x:c>
      <x:c r="BJ107" s="12" t="n">
        <x:v>9.723</x:v>
      </x:c>
      <x:c r="BK107" s="12" t="n">
        <x:v>0</x:v>
      </x:c>
      <x:c r="BL107" s="12" t="n">
        <x:v>-1627.4999999999998</x:v>
      </x:c>
      <x:c r="BM107" s="12" t="n">
        <x:v>0</x:v>
      </x:c>
      <x:c r="BN107" s="12" t="n">
        <x:v>341.77037051928994</x:v>
      </x:c>
      <x:c r="BO107" s="12" t="n">
        <x:v>0</x:v>
      </x:c>
      <x:c r="BP107" s="12" t="n">
        <x:v>1512.9184254437992</x:v>
      </x:c>
      <x:c r="BQ107" s="12" t="n">
        <x:v>0</x:v>
      </x:c>
      <x:c r="BR107" s="12" t="n">
        <x:v>227.18879596308932</x:v>
      </x:c>
      <x:c r="BS107" s="12" t="n">
        <x:v>0.03904122222222222</x:v>
      </x:c>
    </x:row>
    <x:row r="108" ht="21" customHeight="1">
      <x:c r="A108" s="14" t="n">
        <x:v>45658.947916666664</x:v>
      </x:c>
      <x:c r="B108" s="14" t="n">
        <x:v>45658.958333333336</x:v>
      </x:c>
      <x:c r="C108" s="14" t="n">
        <x:v>45659.03125</x:v>
      </x:c>
      <x:c r="D108" s="15" t="n">
        <x:v>45659</x:v>
      </x:c>
      <x:c r="E108" s="12" t="n">
        <x:v>0.25</x:v>
      </x:c>
      <x:c r="F108" s="12" t="str">
        <x:v>FORMAL</x:v>
      </x:c>
      <x:c r="G108" s="14" t="n">
        <x:v>45658.916666666664</x:v>
      </x:c>
      <x:c r="H108" s="12" t="n">
        <x:v>65.1</x:v>
      </x:c>
      <x:c r="I108" s="12" t="str">
        <x:v>2025-01-01_24</x:v>
      </x:c>
      <x:c r="J108" s="12" t="n">
        <x:v>60</x:v>
      </x:c>
      <x:c r="K108" s="12" t="str">
        <x:v>DA_2025-01-01@80c3f1a8e3ee</x:v>
      </x:c>
      <x:c r="L108" s="15" t="n">
        <x:v>45657</x:v>
      </x:c>
      <x:c r="M108" s="12" t="n">
        <x:v>4.9741</x:v>
      </x:c>
      <x:c r="N108" s="12" t="str">
        <x:v>BNR2024_BOUNDARY@c4397e7f9c31</x:v>
      </x:c>
      <x:c r="O108" s="12"/>
      <x:c r="P108" s="12"/>
      <x:c r="Q108" s="12"/>
      <x:c r="R108" s="12"/>
      <x:c r="S108" s="12" t="str">
        <x:v>OUT_OF_RESEARCH_COVERAGE_PRE_2025_06</x:v>
      </x:c>
      <x:c r="T108" s="12" t="n">
        <x:v>200</x:v>
      </x:c>
      <x:c r="U108" s="12" t="str">
        <x:v>aFRRUp_2025-01-01T22:00:00Z</x:v>
      </x:c>
      <x:c r="V108" s="12" t="str">
        <x:v>tenderStatistics_2025-01@c14c9dea784d</x:v>
      </x:c>
      <x:c r="W108" s="12" t="n">
        <x:v>13.670814820771596</x:v>
      </x:c>
      <x:c r="X108" s="12" t="str">
        <x:v>PUBLISHED_PROXY</x:v>
      </x:c>
      <x:c r="Y108" s="12" t="n">
        <x:v>200</x:v>
      </x:c>
      <x:c r="Z108" s="12" t="str">
        <x:v>aFRRDown_2025-01-01T22:00:00Z</x:v>
      </x:c>
      <x:c r="AA108" s="12" t="str">
        <x:v>tenderStatistics_2025-01@c14c9dea784d</x:v>
      </x:c>
      <x:c r="AB108" s="12" t="n">
        <x:v>14.710198829939085</x:v>
      </x:c>
      <x:c r="AC108" s="12" t="str">
        <x:v>PUBLISHED_PROXY</x:v>
      </x:c>
      <x:c r="AD108" s="12"/>
      <x:c r="AE108" s="12" t="str">
        <x:v>SOURCE_NULL_NOT_MODELED</x:v>
      </x:c>
      <x:c r="AF108" s="12"/>
      <x:c r="AG108" s="12" t="n">
        <x:v>146.63014414667978</x:v>
      </x:c>
      <x:c r="AH108" s="12" t="str">
        <x:v>PUBLISHED_PROXY</x:v>
      </x:c>
      <x:c r="AI108" s="12" t="n">
        <x:v>1.929</x:v>
      </x:c>
      <x:c r="AJ108" s="12" t="n">
        <x:v>30.197221607929073</x:v>
      </x:c>
      <x:c r="AK108" s="12" t="str">
        <x:v>PUBLISHED_PROXY</x:v>
      </x:c>
      <x:c r="AL108" s="12" t="n">
        <x:v>1.502</x:v>
      </x:c>
      <x:c r="AM108" s="12" t="str">
        <x:v>marginalPricesOverview_2025-01@5b9daf9d82d7</x:v>
      </x:c>
      <x:c r="AN108" s="12" t="str">
        <x:v>activatedBalancingEnergyOverview_2025-01@4135ac664b2a</x:v>
      </x:c>
      <x:c r="AO108" s="12" t="str">
        <x:v>PUBLISHED_NATIVE</x:v>
      </x:c>
      <x:c r="AP108" s="12" t="n">
        <x:v>0.03858</x:v>
      </x:c>
      <x:c r="AQ108" s="12" t="n">
        <x:v>0.03004</x:v>
      </x:c>
      <x:c r="AR108" s="12" t="n">
        <x:v>0.06862</x:v>
      </x:c>
      <x:c r="AS108" s="13" t="b">
        <x:v>1</x:v>
      </x:c>
      <x:c r="AT108" s="13" t="b">
        <x:v>1</x:v>
      </x:c>
      <x:c r="AU108" s="13" t="b">
        <x:v>1</x:v>
      </x:c>
      <x:c r="AV108" s="13" t="b">
        <x:v>1</x:v>
      </x:c>
      <x:c r="AW108" s="13" t="b">
        <x:v>1</x:v>
      </x:c>
      <x:c r="AX108" s="13" t="b">
        <x:v>0</x:v>
      </x:c>
      <x:c r="AY108" s="13" t="b">
        <x:v>0</x:v>
      </x:c>
      <x:c r="AZ108" s="13" t="b">
        <x:v>1</x:v>
      </x:c>
      <x:c r="BA108" s="12" t="str">
        <x:v>OK</x:v>
      </x:c>
      <x:c r="BB108" s="12" t="str">
        <x:v>OK</x:v>
      </x:c>
      <x:c r="BC108" s="12" t="str">
        <x:v>EUR</x:v>
      </x:c>
      <x:c r="BD108" s="12" t="n">
        <x:v>35.571859999999994</x:v>
      </x:c>
      <x:c r="BE108" s="12" t="n">
        <x:v>57.68451999999999</x:v>
      </x:c>
      <x:c r="BF108" s="12" t="n">
        <x:v>-100</x:v>
      </x:c>
      <x:c r="BG108" s="12" t="n">
        <x:v>0</x:v>
      </x:c>
      <x:c r="BH108" s="12" t="n">
        <x:v>100</x:v>
      </x:c>
      <x:c r="BI108" s="12" t="n">
        <x:v>0</x:v>
      </x:c>
      <x:c r="BJ108" s="12" t="n">
        <x:v>0.9645000000000001</x:v>
      </x:c>
      <x:c r="BK108" s="12" t="n">
        <x:v>0</x:v>
      </x:c>
      <x:c r="BL108" s="12" t="n">
        <x:v>-1627.4999999999998</x:v>
      </x:c>
      <x:c r="BM108" s="12" t="n">
        <x:v>0</x:v>
      </x:c>
      <x:c r="BN108" s="12" t="n">
        <x:v>341.77037051928994</x:v>
      </x:c>
      <x:c r="BO108" s="12" t="n">
        <x:v>0</x:v>
      </x:c>
      <x:c r="BP108" s="12" t="n">
        <x:v>141.42477402947267</x:v>
      </x:c>
      <x:c r="BQ108" s="12" t="n">
        <x:v>0</x:v>
      </x:c>
      <x:c r="BR108" s="12" t="n">
        <x:v>-1144.3048554512372</x:v>
      </x:c>
      <x:c r="BS108" s="12" t="n">
        <x:v>0.061424055555555565</x:v>
      </x:c>
    </x:row>
    <x:row r="109" ht="21" customHeight="1">
      <x:c r="A109" s="14" t="n">
        <x:v>45658.958333333336</x:v>
      </x:c>
      <x:c r="B109" s="14" t="n">
        <x:v>45658.96875</x:v>
      </x:c>
      <x:c r="C109" s="14" t="n">
        <x:v>45659.041666666664</x:v>
      </x:c>
      <x:c r="D109" s="15" t="n">
        <x:v>45659</x:v>
      </x:c>
      <x:c r="E109" s="12" t="n">
        <x:v>0.25</x:v>
      </x:c>
      <x:c r="F109" s="12" t="str">
        <x:v>FORMAL</x:v>
      </x:c>
      <x:c r="G109" s="14" t="n">
        <x:v>45658.958333333336</x:v>
      </x:c>
      <x:c r="H109" s="12" t="n">
        <x:v>57.07</x:v>
      </x:c>
      <x:c r="I109" s="12" t="str">
        <x:v>2025-01-02_1</x:v>
      </x:c>
      <x:c r="J109" s="12" t="n">
        <x:v>60</x:v>
      </x:c>
      <x:c r="K109" s="12" t="str">
        <x:v>DA_2025-01-02@4f6782768649</x:v>
      </x:c>
      <x:c r="L109" s="15" t="n">
        <x:v>45657</x:v>
      </x:c>
      <x:c r="M109" s="12" t="n">
        <x:v>4.9741</x:v>
      </x:c>
      <x:c r="N109" s="12" t="str">
        <x:v>BNR2024_BOUNDARY@c4397e7f9c31</x:v>
      </x:c>
      <x:c r="O109" s="12"/>
      <x:c r="P109" s="12"/>
      <x:c r="Q109" s="12"/>
      <x:c r="R109" s="12"/>
      <x:c r="S109" s="12" t="str">
        <x:v>OUT_OF_RESEARCH_COVERAGE_PRE_2025_06</x:v>
      </x:c>
      <x:c r="T109" s="12" t="n">
        <x:v>200</x:v>
      </x:c>
      <x:c r="U109" s="12" t="str">
        <x:v>aFRRUp_2025-01-01T23:00:00Z</x:v>
      </x:c>
      <x:c r="V109" s="12" t="str">
        <x:v>tenderStatistics_2025-01@c14c9dea784d</x:v>
      </x:c>
      <x:c r="W109" s="12" t="n">
        <x:v>13.670814820771596</x:v>
      </x:c>
      <x:c r="X109" s="12" t="str">
        <x:v>PUBLISHED_PROXY</x:v>
      </x:c>
      <x:c r="Y109" s="12" t="n">
        <x:v>200</x:v>
      </x:c>
      <x:c r="Z109" s="12" t="str">
        <x:v>aFRRDown_2025-01-01T23:00:00Z</x:v>
      </x:c>
      <x:c r="AA109" s="12" t="str">
        <x:v>tenderStatistics_2025-01@c14c9dea784d</x:v>
      </x:c>
      <x:c r="AB109" s="12" t="n">
        <x:v>14.710198829939085</x:v>
      </x:c>
      <x:c r="AC109" s="12" t="str">
        <x:v>PUBLISHED_PROXY</x:v>
      </x:c>
      <x:c r="AD109" s="12"/>
      <x:c r="AE109" s="12" t="str">
        <x:v>SOURCE_NULL_NOT_MODELED</x:v>
      </x:c>
      <x:c r="AF109" s="12"/>
      <x:c r="AG109" s="12" t="n">
        <x:v>147.153856979152</x:v>
      </x:c>
      <x:c r="AH109" s="12" t="str">
        <x:v>PUBLISHED_PROXY</x:v>
      </x:c>
      <x:c r="AI109" s="12" t="n">
        <x:v>14.37</x:v>
      </x:c>
      <x:c r="AJ109" s="12" t="n">
        <x:v>58.3020043827024</x:v>
      </x:c>
      <x:c r="AK109" s="12" t="str">
        <x:v>PUBLISHED_PROXY</x:v>
      </x:c>
      <x:c r="AL109" s="12" t="n">
        <x:v>0.016</x:v>
      </x:c>
      <x:c r="AM109" s="12" t="str">
        <x:v>marginalPricesOverview_2025-01@5b9daf9d82d7</x:v>
      </x:c>
      <x:c r="AN109" s="12" t="str">
        <x:v>activatedBalancingEnergyOverview_2025-01@4135ac664b2a</x:v>
      </x:c>
      <x:c r="AO109" s="12" t="str">
        <x:v>PUBLISHED_NATIVE</x:v>
      </x:c>
      <x:c r="AP109" s="12" t="n">
        <x:v>0.2874</x:v>
      </x:c>
      <x:c r="AQ109" s="12" t="n">
        <x:v>0.00032</x:v>
      </x:c>
      <x:c r="AR109" s="12" t="n">
        <x:v>0.28772</x:v>
      </x:c>
      <x:c r="AS109" s="13" t="b">
        <x:v>1</x:v>
      </x:c>
      <x:c r="AT109" s="13" t="b">
        <x:v>1</x:v>
      </x:c>
      <x:c r="AU109" s="13" t="b">
        <x:v>1</x:v>
      </x:c>
      <x:c r="AV109" s="13" t="b">
        <x:v>1</x:v>
      </x:c>
      <x:c r="AW109" s="13" t="b">
        <x:v>1</x:v>
      </x:c>
      <x:c r="AX109" s="13" t="b">
        <x:v>0</x:v>
      </x:c>
      <x:c r="AY109" s="13" t="b">
        <x:v>0</x:v>
      </x:c>
      <x:c r="AZ109" s="13" t="b">
        <x:v>1</x:v>
      </x:c>
      <x:c r="BA109" s="12" t="str">
        <x:v>OK</x:v>
      </x:c>
      <x:c r="BB109" s="12" t="str">
        <x:v>OK</x:v>
      </x:c>
      <x:c r="BC109" s="12" t="str">
        <x:v>EUR</x:v>
      </x:c>
      <x:c r="BD109" s="12" t="n">
        <x:v>57.68451999999999</x:v>
      </x:c>
      <x:c r="BE109" s="12" t="n">
        <x:v>49.88209739130434</x:v>
      </x:c>
      <x:c r="BF109" s="12" t="n">
        <x:v>0</x:v>
      </x:c>
      <x:c r="BG109" s="12" t="n">
        <x:v>0</x:v>
      </x:c>
      <x:c r="BH109" s="12" t="n">
        <x:v>100</x:v>
      </x:c>
      <x:c r="BI109" s="12" t="n">
        <x:v>100</x:v>
      </x:c>
      <x:c r="BJ109" s="12" t="n">
        <x:v>7.185</x:v>
      </x:c>
      <x:c r="BK109" s="12" t="n">
        <x:v>0.008</x:v>
      </x:c>
      <x:c r="BL109" s="12" t="n">
        <x:v>0</x:v>
      </x:c>
      <x:c r="BM109" s="12" t="n">
        <x:v>0</x:v>
      </x:c>
      <x:c r="BN109" s="12" t="n">
        <x:v>341.77037051928994</x:v>
      </x:c>
      <x:c r="BO109" s="12" t="n">
        <x:v>367.7549707484771</x:v>
      </x:c>
      <x:c r="BP109" s="12" t="n">
        <x:v>1057.3004623952072</x:v>
      </x:c>
      <x:c r="BQ109" s="12" t="n">
        <x:v>-0.4664160350616192</x:v>
      </x:c>
      <x:c r="BR109" s="12" t="n">
        <x:v>1766.3593876279126</x:v>
      </x:c>
      <x:c r="BS109" s="12" t="n">
        <x:v>0.021714285024154588</x:v>
      </x:c>
    </x:row>
    <x:row r="110" ht="21" customHeight="1">
      <x:c r="A110" s="14" t="n">
        <x:v>45658.96875</x:v>
      </x:c>
      <x:c r="B110" s="14" t="n">
        <x:v>45658.979166666664</x:v>
      </x:c>
      <x:c r="C110" s="14" t="n">
        <x:v>45659.052083333336</x:v>
      </x:c>
      <x:c r="D110" s="15" t="n">
        <x:v>45659</x:v>
      </x:c>
      <x:c r="E110" s="12" t="n">
        <x:v>0.25</x:v>
      </x:c>
      <x:c r="F110" s="12" t="str">
        <x:v>FORMAL</x:v>
      </x:c>
      <x:c r="G110" s="14" t="n">
        <x:v>45658.958333333336</x:v>
      </x:c>
      <x:c r="H110" s="12" t="n">
        <x:v>57.07</x:v>
      </x:c>
      <x:c r="I110" s="12" t="str">
        <x:v>2025-01-02_1</x:v>
      </x:c>
      <x:c r="J110" s="12" t="n">
        <x:v>60</x:v>
      </x:c>
      <x:c r="K110" s="12" t="str">
        <x:v>DA_2025-01-02@4f6782768649</x:v>
      </x:c>
      <x:c r="L110" s="15" t="n">
        <x:v>45657</x:v>
      </x:c>
      <x:c r="M110" s="12" t="n">
        <x:v>4.9741</x:v>
      </x:c>
      <x:c r="N110" s="12" t="str">
        <x:v>BNR2024_BOUNDARY@c4397e7f9c31</x:v>
      </x:c>
      <x:c r="O110" s="12"/>
      <x:c r="P110" s="12"/>
      <x:c r="Q110" s="12"/>
      <x:c r="R110" s="12"/>
      <x:c r="S110" s="12" t="str">
        <x:v>OUT_OF_RESEARCH_COVERAGE_PRE_2025_06</x:v>
      </x:c>
      <x:c r="T110" s="12" t="n">
        <x:v>200</x:v>
      </x:c>
      <x:c r="U110" s="12" t="str">
        <x:v>aFRRUp_2025-01-01T23:00:00Z</x:v>
      </x:c>
      <x:c r="V110" s="12" t="str">
        <x:v>tenderStatistics_2025-01@c14c9dea784d</x:v>
      </x:c>
      <x:c r="W110" s="12" t="n">
        <x:v>13.670814820771596</x:v>
      </x:c>
      <x:c r="X110" s="12" t="str">
        <x:v>PUBLISHED_PROXY</x:v>
      </x:c>
      <x:c r="Y110" s="12" t="n">
        <x:v>200</x:v>
      </x:c>
      <x:c r="Z110" s="12" t="str">
        <x:v>aFRRDown_2025-01-01T23:00:00Z</x:v>
      </x:c>
      <x:c r="AA110" s="12" t="str">
        <x:v>tenderStatistics_2025-01@c14c9dea784d</x:v>
      </x:c>
      <x:c r="AB110" s="12" t="n">
        <x:v>14.710198829939085</x:v>
      </x:c>
      <x:c r="AC110" s="12" t="str">
        <x:v>PUBLISHED_PROXY</x:v>
      </x:c>
      <x:c r="AD110" s="12"/>
      <x:c r="AE110" s="12" t="str">
        <x:v>SOURCE_NULL_NOT_MODELED</x:v>
      </x:c>
      <x:c r="AF110" s="12"/>
      <x:c r="AG110" s="12" t="n">
        <x:v>145.15289198045878</x:v>
      </x:c>
      <x:c r="AH110" s="12" t="str">
        <x:v>PUBLISHED_PROXY</x:v>
      </x:c>
      <x:c r="AI110" s="12" t="n">
        <x:v>9.456</x:v>
      </x:c>
      <x:c r="AJ110" s="12" t="n">
        <x:v>0</x:v>
      </x:c>
      <x:c r="AK110" s="12" t="str">
        <x:v>PUBLISHED_PROXY</x:v>
      </x:c>
      <x:c r="AL110" s="12" t="n">
        <x:v>0</x:v>
      </x:c>
      <x:c r="AM110" s="12" t="str">
        <x:v>marginalPricesOverview_2025-01@5b9daf9d82d7</x:v>
      </x:c>
      <x:c r="AN110" s="12" t="str">
        <x:v>activatedBalancingEnergyOverview_2025-01@4135ac664b2a</x:v>
      </x:c>
      <x:c r="AO110" s="12" t="str">
        <x:v>PUBLISHED_NATIVE</x:v>
      </x:c>
      <x:c r="AP110" s="12" t="n">
        <x:v>0.1891199999999999</x:v>
      </x:c>
      <x:c r="AQ110" s="12" t="n">
        <x:v>0</x:v>
      </x:c>
      <x:c r="AR110" s="12" t="n">
        <x:v>0.1891199999999999</x:v>
      </x:c>
      <x:c r="AS110" s="13" t="b">
        <x:v>1</x:v>
      </x:c>
      <x:c r="AT110" s="13" t="b">
        <x:v>1</x:v>
      </x:c>
      <x:c r="AU110" s="13" t="b">
        <x:v>1</x:v>
      </x:c>
      <x:c r="AV110" s="13" t="b">
        <x:v>1</x:v>
      </x:c>
      <x:c r="AW110" s="13" t="b">
        <x:v>1</x:v>
      </x:c>
      <x:c r="AX110" s="13" t="b">
        <x:v>0</x:v>
      </x:c>
      <x:c r="AY110" s="13" t="b">
        <x:v>0</x:v>
      </x:c>
      <x:c r="AZ110" s="13" t="b">
        <x:v>1</x:v>
      </x:c>
      <x:c r="BA110" s="12" t="str">
        <x:v>OK</x:v>
      </x:c>
      <x:c r="BB110" s="12" t="str">
        <x:v>OK</x:v>
      </x:c>
      <x:c r="BC110" s="12" t="str">
        <x:v>EUR</x:v>
      </x:c>
      <x:c r="BD110" s="12" t="n">
        <x:v>49.88209739130434</x:v>
      </x:c>
      <x:c r="BE110" s="12" t="n">
        <x:v>44.742966956521734</x:v>
      </x:c>
      <x:c r="BF110" s="12" t="n">
        <x:v>0</x:v>
      </x:c>
      <x:c r="BG110" s="12" t="n">
        <x:v>0</x:v>
      </x:c>
      <x:c r="BH110" s="12" t="n">
        <x:v>100</x:v>
      </x:c>
      <x:c r="BI110" s="12" t="n">
        <x:v>100</x:v>
      </x:c>
      <x:c r="BJ110" s="12" t="n">
        <x:v>4.728</x:v>
      </x:c>
      <x:c r="BK110" s="12" t="n">
        <x:v>0</x:v>
      </x:c>
      <x:c r="BL110" s="12" t="n">
        <x:v>0</x:v>
      </x:c>
      <x:c r="BM110" s="12" t="n">
        <x:v>0</x:v>
      </x:c>
      <x:c r="BN110" s="12" t="n">
        <x:v>341.77037051928994</x:v>
      </x:c>
      <x:c r="BO110" s="12" t="n">
        <x:v>367.7549707484771</x:v>
      </x:c>
      <x:c r="BP110" s="12" t="n">
        <x:v>686.2828732836091</x:v>
      </x:c>
      <x:c r="BQ110" s="12" t="n">
        <x:v>0</x:v>
      </x:c>
      <x:c r="BR110" s="12" t="n">
        <x:v>1395.808214551376</x:v>
      </x:c>
      <x:c r="BS110" s="12" t="n">
        <x:v>0.014275362318840577</x:v>
      </x:c>
    </x:row>
    <x:row r="111" ht="21" customHeight="1">
      <x:c r="A111" s="14" t="n">
        <x:v>45658.979166666664</x:v>
      </x:c>
      <x:c r="B111" s="14" t="n">
        <x:v>45658.989583333336</x:v>
      </x:c>
      <x:c r="C111" s="14" t="n">
        <x:v>45659.0625</x:v>
      </x:c>
      <x:c r="D111" s="15" t="n">
        <x:v>45659</x:v>
      </x:c>
      <x:c r="E111" s="12" t="n">
        <x:v>0.25</x:v>
      </x:c>
      <x:c r="F111" s="12" t="str">
        <x:v>FORMAL</x:v>
      </x:c>
      <x:c r="G111" s="14" t="n">
        <x:v>45658.958333333336</x:v>
      </x:c>
      <x:c r="H111" s="12" t="n">
        <x:v>57.07</x:v>
      </x:c>
      <x:c r="I111" s="12" t="str">
        <x:v>2025-01-02_1</x:v>
      </x:c>
      <x:c r="J111" s="12" t="n">
        <x:v>60</x:v>
      </x:c>
      <x:c r="K111" s="12" t="str">
        <x:v>DA_2025-01-02@4f6782768649</x:v>
      </x:c>
      <x:c r="L111" s="15" t="n">
        <x:v>45657</x:v>
      </x:c>
      <x:c r="M111" s="12" t="n">
        <x:v>4.9741</x:v>
      </x:c>
      <x:c r="N111" s="12" t="str">
        <x:v>BNR2024_BOUNDARY@c4397e7f9c31</x:v>
      </x:c>
      <x:c r="O111" s="12"/>
      <x:c r="P111" s="12"/>
      <x:c r="Q111" s="12"/>
      <x:c r="R111" s="12"/>
      <x:c r="S111" s="12" t="str">
        <x:v>OUT_OF_RESEARCH_COVERAGE_PRE_2025_06</x:v>
      </x:c>
      <x:c r="T111" s="12" t="n">
        <x:v>200</x:v>
      </x:c>
      <x:c r="U111" s="12" t="str">
        <x:v>aFRRUp_2025-01-01T23:00:00Z</x:v>
      </x:c>
      <x:c r="V111" s="12" t="str">
        <x:v>tenderStatistics_2025-01@c14c9dea784d</x:v>
      </x:c>
      <x:c r="W111" s="12" t="n">
        <x:v>13.670814820771596</x:v>
      </x:c>
      <x:c r="X111" s="12" t="str">
        <x:v>PUBLISHED_PROXY</x:v>
      </x:c>
      <x:c r="Y111" s="12" t="n">
        <x:v>200</x:v>
      </x:c>
      <x:c r="Z111" s="12" t="str">
        <x:v>aFRRDown_2025-01-01T23:00:00Z</x:v>
      </x:c>
      <x:c r="AA111" s="12" t="str">
        <x:v>tenderStatistics_2025-01@c14c9dea784d</x:v>
      </x:c>
      <x:c r="AB111" s="12" t="n">
        <x:v>14.710198829939085</x:v>
      </x:c>
      <x:c r="AC111" s="12" t="str">
        <x:v>PUBLISHED_PROXY</x:v>
      </x:c>
      <x:c r="AD111" s="12"/>
      <x:c r="AE111" s="12" t="str">
        <x:v>SOURCE_NULL_NOT_MODELED</x:v>
      </x:c>
      <x:c r="AF111" s="12"/>
      <x:c r="AG111" s="12" t="n">
        <x:v>136.70814820771596</x:v>
      </x:c>
      <x:c r="AH111" s="12" t="str">
        <x:v>PUBLISHED_PROXY</x:v>
      </x:c>
      <x:c r="AI111" s="12" t="n">
        <x:v>0.282</x:v>
      </x:c>
      <x:c r="AJ111" s="12" t="n">
        <x:v>43.580949317464466</x:v>
      </x:c>
      <x:c r="AK111" s="12" t="str">
        <x:v>PUBLISHED_PROXY</x:v>
      </x:c>
      <x:c r="AL111" s="12" t="n">
        <x:v>1.346</x:v>
      </x:c>
      <x:c r="AM111" s="12" t="str">
        <x:v>marginalPricesOverview_2025-01@5b9daf9d82d7</x:v>
      </x:c>
      <x:c r="AN111" s="12" t="str">
        <x:v>activatedBalancingEnergyOverview_2025-01@4135ac664b2a</x:v>
      </x:c>
      <x:c r="AO111" s="12" t="str">
        <x:v>PUBLISHED_NATIVE</x:v>
      </x:c>
      <x:c r="AP111" s="12" t="n">
        <x:v>0.0056399999999999</x:v>
      </x:c>
      <x:c r="AQ111" s="12" t="n">
        <x:v>0.02692</x:v>
      </x:c>
      <x:c r="AR111" s="12" t="n">
        <x:v>0.03256</x:v>
      </x:c>
      <x:c r="AS111" s="13" t="b">
        <x:v>1</x:v>
      </x:c>
      <x:c r="AT111" s="13" t="b">
        <x:v>1</x:v>
      </x:c>
      <x:c r="AU111" s="13" t="b">
        <x:v>1</x:v>
      </x:c>
      <x:c r="AV111" s="13" t="b">
        <x:v>1</x:v>
      </x:c>
      <x:c r="AW111" s="13" t="b">
        <x:v>1</x:v>
      </x:c>
      <x:c r="AX111" s="13" t="b">
        <x:v>0</x:v>
      </x:c>
      <x:c r="AY111" s="13" t="b">
        <x:v>0</x:v>
      </x:c>
      <x:c r="AZ111" s="13" t="b">
        <x:v>1</x:v>
      </x:c>
      <x:c r="BA111" s="12" t="str">
        <x:v>OK</x:v>
      </x:c>
      <x:c r="BB111" s="12" t="str">
        <x:v>OK</x:v>
      </x:c>
      <x:c r="BC111" s="12" t="str">
        <x:v>EUR</x:v>
      </x:c>
      <x:c r="BD111" s="12" t="n">
        <x:v>44.742966956521734</x:v>
      </x:c>
      <x:c r="BE111" s="12" t="n">
        <x:v>45.20886608695652</x:v>
      </x:c>
      <x:c r="BF111" s="12" t="n">
        <x:v>0</x:v>
      </x:c>
      <x:c r="BG111" s="12" t="n">
        <x:v>0</x:v>
      </x:c>
      <x:c r="BH111" s="12" t="n">
        <x:v>100</x:v>
      </x:c>
      <x:c r="BI111" s="12" t="n">
        <x:v>100</x:v>
      </x:c>
      <x:c r="BJ111" s="12" t="n">
        <x:v>0.141</x:v>
      </x:c>
      <x:c r="BK111" s="12" t="n">
        <x:v>0.673</x:v>
      </x:c>
      <x:c r="BL111" s="12" t="n">
        <x:v>0</x:v>
      </x:c>
      <x:c r="BM111" s="12" t="n">
        <x:v>0</x:v>
      </x:c>
      <x:c r="BN111" s="12" t="n">
        <x:v>341.77037051928994</x:v>
      </x:c>
      <x:c r="BO111" s="12" t="n">
        <x:v>367.7549707484771</x:v>
      </x:c>
      <x:c r="BP111" s="12" t="n">
        <x:v>19.27584889728795</x:v>
      </x:c>
      <x:c r="BQ111" s="12" t="n">
        <x:v>-29.32997889065359</x:v>
      </x:c>
      <x:c r="BR111" s="12" t="n">
        <x:v>699.4712112744014</x:v>
      </x:c>
      <x:c r="BS111" s="12" t="n">
        <x:v>0.002145613526570048</x:v>
      </x:c>
    </x:row>
    <x:row r="112" ht="21" customHeight="1">
      <x:c r="A112" s="14" t="n">
        <x:v>45658.989583333336</x:v>
      </x:c>
      <x:c r="B112" s="14" t="n">
        <x:v>45659</x:v>
      </x:c>
      <x:c r="C112" s="14" t="n">
        <x:v>45659.072916666664</x:v>
      </x:c>
      <x:c r="D112" s="15" t="n">
        <x:v>45659</x:v>
      </x:c>
      <x:c r="E112" s="12" t="n">
        <x:v>0.25</x:v>
      </x:c>
      <x:c r="F112" s="12" t="str">
        <x:v>FORMAL</x:v>
      </x:c>
      <x:c r="G112" s="14" t="n">
        <x:v>45658.958333333336</x:v>
      </x:c>
      <x:c r="H112" s="12" t="n">
        <x:v>57.07</x:v>
      </x:c>
      <x:c r="I112" s="12" t="str">
        <x:v>2025-01-02_1</x:v>
      </x:c>
      <x:c r="J112" s="12" t="n">
        <x:v>60</x:v>
      </x:c>
      <x:c r="K112" s="12" t="str">
        <x:v>DA_2025-01-02@4f6782768649</x:v>
      </x:c>
      <x:c r="L112" s="15" t="n">
        <x:v>45657</x:v>
      </x:c>
      <x:c r="M112" s="12" t="n">
        <x:v>4.9741</x:v>
      </x:c>
      <x:c r="N112" s="12" t="str">
        <x:v>BNR2024_BOUNDARY@c4397e7f9c31</x:v>
      </x:c>
      <x:c r="O112" s="12"/>
      <x:c r="P112" s="12"/>
      <x:c r="Q112" s="12"/>
      <x:c r="R112" s="12"/>
      <x:c r="S112" s="12" t="str">
        <x:v>OUT_OF_RESEARCH_COVERAGE_PRE_2025_06</x:v>
      </x:c>
      <x:c r="T112" s="12" t="n">
        <x:v>200</x:v>
      </x:c>
      <x:c r="U112" s="12" t="str">
        <x:v>aFRRUp_2025-01-01T23:00:00Z</x:v>
      </x:c>
      <x:c r="V112" s="12" t="str">
        <x:v>tenderStatistics_2025-01@c14c9dea784d</x:v>
      </x:c>
      <x:c r="W112" s="12" t="n">
        <x:v>13.670814820771596</x:v>
      </x:c>
      <x:c r="X112" s="12" t="str">
        <x:v>PUBLISHED_PROXY</x:v>
      </x:c>
      <x:c r="Y112" s="12" t="n">
        <x:v>200</x:v>
      </x:c>
      <x:c r="Z112" s="12" t="str">
        <x:v>aFRRDown_2025-01-01T23:00:00Z</x:v>
      </x:c>
      <x:c r="AA112" s="12" t="str">
        <x:v>tenderStatistics_2025-01@c14c9dea784d</x:v>
      </x:c>
      <x:c r="AB112" s="12" t="n">
        <x:v>14.710198829939085</x:v>
      </x:c>
      <x:c r="AC112" s="12" t="str">
        <x:v>PUBLISHED_PROXY</x:v>
      </x:c>
      <x:c r="AD112" s="12"/>
      <x:c r="AE112" s="12" t="str">
        <x:v>SOURCE_NULL_NOT_MODELED</x:v>
      </x:c>
      <x:c r="AF112" s="12"/>
      <x:c r="AG112" s="12" t="n">
        <x:v>0</x:v>
      </x:c>
      <x:c r="AH112" s="12" t="str">
        <x:v>PUBLISHED_PROXY</x:v>
      </x:c>
      <x:c r="AI112" s="12" t="n">
        <x:v>0</x:v>
      </x:c>
      <x:c r="AJ112" s="12" t="n">
        <x:v>20.918558131119198</x:v>
      </x:c>
      <x:c r="AK112" s="12" t="str">
        <x:v>PUBLISHED_PROXY</x:v>
      </x:c>
      <x:c r="AL112" s="12" t="n">
        <x:v>8.085</x:v>
      </x:c>
      <x:c r="AM112" s="12" t="str">
        <x:v>marginalPricesOverview_2025-01@5b9daf9d82d7</x:v>
      </x:c>
      <x:c r="AN112" s="12" t="str">
        <x:v>activatedBalancingEnergyOverview_2025-01@4135ac664b2a</x:v>
      </x:c>
      <x:c r="AO112" s="12" t="str">
        <x:v>PUBLISHED_NATIVE</x:v>
      </x:c>
      <x:c r="AP112" s="12" t="n">
        <x:v>0</x:v>
      </x:c>
      <x:c r="AQ112" s="12" t="n">
        <x:v>0.1617</x:v>
      </x:c>
      <x:c r="AR112" s="12" t="n">
        <x:v>0.1617</x:v>
      </x:c>
      <x:c r="AS112" s="13" t="b">
        <x:v>1</x:v>
      </x:c>
      <x:c r="AT112" s="13" t="b">
        <x:v>1</x:v>
      </x:c>
      <x:c r="AU112" s="13" t="b">
        <x:v>1</x:v>
      </x:c>
      <x:c r="AV112" s="13" t="b">
        <x:v>1</x:v>
      </x:c>
      <x:c r="AW112" s="13" t="b">
        <x:v>1</x:v>
      </x:c>
      <x:c r="AX112" s="13" t="b">
        <x:v>0</x:v>
      </x:c>
      <x:c r="AY112" s="13" t="b">
        <x:v>0</x:v>
      </x:c>
      <x:c r="AZ112" s="13" t="b">
        <x:v>1</x:v>
      </x:c>
      <x:c r="BA112" s="12" t="str">
        <x:v>OK</x:v>
      </x:c>
      <x:c r="BB112" s="12" t="str">
        <x:v>OK</x:v>
      </x:c>
      <x:c r="BC112" s="12" t="str">
        <x:v>EUR</x:v>
      </x:c>
      <x:c r="BD112" s="12" t="n">
        <x:v>45.20886608695652</x:v>
      </x:c>
      <x:c r="BE112" s="12" t="n">
        <x:v>48.927966086956516</x:v>
      </x:c>
      <x:c r="BF112" s="12" t="n">
        <x:v>0</x:v>
      </x:c>
      <x:c r="BG112" s="12" t="n">
        <x:v>0</x:v>
      </x:c>
      <x:c r="BH112" s="12" t="n">
        <x:v>100</x:v>
      </x:c>
      <x:c r="BI112" s="12" t="n">
        <x:v>100</x:v>
      </x:c>
      <x:c r="BJ112" s="12" t="n">
        <x:v>0</x:v>
      </x:c>
      <x:c r="BK112" s="12" t="n">
        <x:v>4.0425</x:v>
      </x:c>
      <x:c r="BL112" s="12" t="n">
        <x:v>0</x:v>
      </x:c>
      <x:c r="BM112" s="12" t="n">
        <x:v>0</x:v>
      </x:c>
      <x:c r="BN112" s="12" t="n">
        <x:v>341.77037051928994</x:v>
      </x:c>
      <x:c r="BO112" s="12" t="n">
        <x:v>367.7549707484771</x:v>
      </x:c>
      <x:c r="BP112" s="12" t="n">
        <x:v>0</x:v>
      </x:c>
      <x:c r="BQ112" s="12" t="n">
        <x:v>-84.56327124504936</x:v>
      </x:c>
      <x:c r="BR112" s="12" t="n">
        <x:v>624.9620700227176</x:v>
      </x:c>
      <x:c r="BS112" s="12" t="n">
        <x:v>0.010330833333333334</x:v>
      </x:c>
    </x:row>
    <x:row r="113" ht="21" customHeight="1">
      <x:c r="A113" s="14" t="n">
        <x:v>45659</x:v>
      </x:c>
      <x:c r="B113" s="14" t="n">
        <x:v>45659.010416666664</x:v>
      </x:c>
      <x:c r="C113" s="14" t="n">
        <x:v>45659.083333333336</x:v>
      </x:c>
      <x:c r="D113" s="15" t="n">
        <x:v>45659</x:v>
      </x:c>
      <x:c r="E113" s="12" t="n">
        <x:v>0.25</x:v>
      </x:c>
      <x:c r="F113" s="12" t="str">
        <x:v>FORMAL</x:v>
      </x:c>
      <x:c r="G113" s="14" t="n">
        <x:v>45659</x:v>
      </x:c>
      <x:c r="H113" s="12" t="n">
        <x:v>67.8</x:v>
      </x:c>
      <x:c r="I113" s="12" t="str">
        <x:v>2025-01-02_2</x:v>
      </x:c>
      <x:c r="J113" s="12" t="n">
        <x:v>60</x:v>
      </x:c>
      <x:c r="K113" s="12" t="str">
        <x:v>DA_2025-01-02@4f6782768649</x:v>
      </x:c>
      <x:c r="L113" s="15" t="n">
        <x:v>45657</x:v>
      </x:c>
      <x:c r="M113" s="12" t="n">
        <x:v>4.9741</x:v>
      </x:c>
      <x:c r="N113" s="12" t="str">
        <x:v>BNR2024_BOUNDARY@c4397e7f9c31</x:v>
      </x:c>
      <x:c r="O113" s="12"/>
      <x:c r="P113" s="12"/>
      <x:c r="Q113" s="12"/>
      <x:c r="R113" s="12"/>
      <x:c r="S113" s="12" t="str">
        <x:v>OUT_OF_RESEARCH_COVERAGE_PRE_2025_06</x:v>
      </x:c>
      <x:c r="T113" s="12" t="n">
        <x:v>200</x:v>
      </x:c>
      <x:c r="U113" s="12" t="str">
        <x:v>aFRRUp_2025-01-02T00:00:00Z</x:v>
      </x:c>
      <x:c r="V113" s="12" t="str">
        <x:v>tenderStatistics_2025-01@c14c9dea784d</x:v>
      </x:c>
      <x:c r="W113" s="12" t="n">
        <x:v>13.71102309965622</x:v>
      </x:c>
      <x:c r="X113" s="12" t="str">
        <x:v>PUBLISHED_PROXY</x:v>
      </x:c>
      <x:c r="Y113" s="12" t="n">
        <x:v>200</x:v>
      </x:c>
      <x:c r="Z113" s="12" t="str">
        <x:v>aFRRDown_2025-01-02T00:00:00Z</x:v>
      </x:c>
      <x:c r="AA113" s="12" t="str">
        <x:v>tenderStatistics_2025-01@c14c9dea784d</x:v>
      </x:c>
      <x:c r="AB113" s="12" t="n">
        <x:v>14.710198829939085</x:v>
      </x:c>
      <x:c r="AC113" s="12" t="str">
        <x:v>PUBLISHED_PROXY</x:v>
      </x:c>
      <x:c r="AD113" s="12"/>
      <x:c r="AE113" s="12" t="str">
        <x:v>SOURCE_NULL_NOT_MODELED</x:v>
      </x:c>
      <x:c r="AF113" s="12"/>
      <x:c r="AG113" s="12" t="n">
        <x:v>136.70814820771596</x:v>
      </x:c>
      <x:c r="AH113" s="12" t="str">
        <x:v>PUBLISHED_PROXY</x:v>
      </x:c>
      <x:c r="AI113" s="12" t="n">
        <x:v>3.68</x:v>
      </x:c>
      <x:c r="AJ113" s="12" t="n">
        <x:v>38.37196678796165</x:v>
      </x:c>
      <x:c r="AK113" s="12" t="str">
        <x:v>PUBLISHED_PROXY</x:v>
      </x:c>
      <x:c r="AL113" s="12" t="n">
        <x:v>0.786</x:v>
      </x:c>
      <x:c r="AM113" s="12" t="str">
        <x:v>marginalPricesOverview_2025-01@5b9daf9d82d7</x:v>
      </x:c>
      <x:c r="AN113" s="12" t="str">
        <x:v>activatedBalancingEnergyOverview_2025-01@4135ac664b2a</x:v>
      </x:c>
      <x:c r="AO113" s="12" t="str">
        <x:v>PUBLISHED_NATIVE</x:v>
      </x:c>
      <x:c r="AP113" s="12" t="n">
        <x:v>0.0736</x:v>
      </x:c>
      <x:c r="AQ113" s="12" t="n">
        <x:v>0.01572</x:v>
      </x:c>
      <x:c r="AR113" s="12" t="n">
        <x:v>0.08932</x:v>
      </x:c>
      <x:c r="AS113" s="13" t="b">
        <x:v>1</x:v>
      </x:c>
      <x:c r="AT113" s="13" t="b">
        <x:v>1</x:v>
      </x:c>
      <x:c r="AU113" s="13" t="b">
        <x:v>1</x:v>
      </x:c>
      <x:c r="AV113" s="13" t="b">
        <x:v>1</x:v>
      </x:c>
      <x:c r="AW113" s="13" t="b">
        <x:v>1</x:v>
      </x:c>
      <x:c r="AX113" s="13" t="b">
        <x:v>0</x:v>
      </x:c>
      <x:c r="AY113" s="13" t="b">
        <x:v>0</x:v>
      </x:c>
      <x:c r="AZ113" s="13" t="b">
        <x:v>1</x:v>
      </x:c>
      <x:c r="BA113" s="12" t="str">
        <x:v>OK</x:v>
      </x:c>
      <x:c r="BB113" s="12" t="str">
        <x:v>OK</x:v>
      </x:c>
      <x:c r="BC113" s="12" t="str">
        <x:v>EUR</x:v>
      </x:c>
      <x:c r="BD113" s="12" t="n">
        <x:v>48.927966086956516</x:v>
      </x:c>
      <x:c r="BE113" s="12" t="n">
        <x:v>47.28952608695651</x:v>
      </x:c>
      <x:c r="BF113" s="12" t="n">
        <x:v>-4.8921549033860856e-15</x:v>
      </x:c>
      <x:c r="BG113" s="12" t="n">
        <x:v>0</x:v>
      </x:c>
      <x:c r="BH113" s="12" t="n">
        <x:v>100</x:v>
      </x:c>
      <x:c r="BI113" s="12" t="n">
        <x:v>100</x:v>
      </x:c>
      <x:c r="BJ113" s="12" t="n">
        <x:v>1.8399999999999999</x:v>
      </x:c>
      <x:c r="BK113" s="12" t="n">
        <x:v>0.393</x:v>
      </x:c>
      <x:c r="BL113" s="12" t="n">
        <x:v>-8.292202561239414e-14</x:v>
      </x:c>
      <x:c r="BM113" s="12" t="n">
        <x:v>0</x:v>
      </x:c>
      <x:c r="BN113" s="12" t="n">
        <x:v>342.7755774914055</x:v>
      </x:c>
      <x:c r="BO113" s="12" t="n">
        <x:v>367.7549707484771</x:v>
      </x:c>
      <x:c r="BP113" s="12" t="n">
        <x:v>251.54299270219735</x:v>
      </x:c>
      <x:c r="BQ113" s="12" t="n">
        <x:v>-15.080182947668927</x:v>
      </x:c>
      <x:c r="BR113" s="12" t="n">
        <x:v>946.993357994411</x:v>
      </x:c>
      <x:c r="BS113" s="12" t="n">
        <x:v>0.006559888888888891</x:v>
      </x:c>
    </x:row>
    <x:row r="114" ht="21" customHeight="1">
      <x:c r="A114" s="14" t="n">
        <x:v>45659.010416666664</x:v>
      </x:c>
      <x:c r="B114" s="14" t="n">
        <x:v>45659.020833333336</x:v>
      </x:c>
      <x:c r="C114" s="14" t="n">
        <x:v>45659.09375</x:v>
      </x:c>
      <x:c r="D114" s="15" t="n">
        <x:v>45659</x:v>
      </x:c>
      <x:c r="E114" s="12" t="n">
        <x:v>0.25</x:v>
      </x:c>
      <x:c r="F114" s="12" t="str">
        <x:v>FORMAL</x:v>
      </x:c>
      <x:c r="G114" s="14" t="n">
        <x:v>45659</x:v>
      </x:c>
      <x:c r="H114" s="12" t="n">
        <x:v>67.8</x:v>
      </x:c>
      <x:c r="I114" s="12" t="str">
        <x:v>2025-01-02_2</x:v>
      </x:c>
      <x:c r="J114" s="12" t="n">
        <x:v>60</x:v>
      </x:c>
      <x:c r="K114" s="12" t="str">
        <x:v>DA_2025-01-02@4f6782768649</x:v>
      </x:c>
      <x:c r="L114" s="15" t="n">
        <x:v>45657</x:v>
      </x:c>
      <x:c r="M114" s="12" t="n">
        <x:v>4.9741</x:v>
      </x:c>
      <x:c r="N114" s="12" t="str">
        <x:v>BNR2024_BOUNDARY@c4397e7f9c31</x:v>
      </x:c>
      <x:c r="O114" s="12"/>
      <x:c r="P114" s="12"/>
      <x:c r="Q114" s="12"/>
      <x:c r="R114" s="12"/>
      <x:c r="S114" s="12" t="str">
        <x:v>OUT_OF_RESEARCH_COVERAGE_PRE_2025_06</x:v>
      </x:c>
      <x:c r="T114" s="12" t="n">
        <x:v>200</x:v>
      </x:c>
      <x:c r="U114" s="12" t="str">
        <x:v>aFRRUp_2025-01-02T00:00:00Z</x:v>
      </x:c>
      <x:c r="V114" s="12" t="str">
        <x:v>tenderStatistics_2025-01@c14c9dea784d</x:v>
      </x:c>
      <x:c r="W114" s="12" t="n">
        <x:v>13.71102309965622</x:v>
      </x:c>
      <x:c r="X114" s="12" t="str">
        <x:v>PUBLISHED_PROXY</x:v>
      </x:c>
      <x:c r="Y114" s="12" t="n">
        <x:v>200</x:v>
      </x:c>
      <x:c r="Z114" s="12" t="str">
        <x:v>aFRRDown_2025-01-02T00:00:00Z</x:v>
      </x:c>
      <x:c r="AA114" s="12" t="str">
        <x:v>tenderStatistics_2025-01@c14c9dea784d</x:v>
      </x:c>
      <x:c r="AB114" s="12" t="n">
        <x:v>14.710198829939085</x:v>
      </x:c>
      <x:c r="AC114" s="12" t="str">
        <x:v>PUBLISHED_PROXY</x:v>
      </x:c>
      <x:c r="AD114" s="12"/>
      <x:c r="AE114" s="12" t="str">
        <x:v>SOURCE_NULL_NOT_MODELED</x:v>
      </x:c>
      <x:c r="AF114" s="12"/>
      <x:c r="AG114" s="12" t="n">
        <x:v>137.3154942602682</x:v>
      </x:c>
      <x:c r="AH114" s="12" t="str">
        <x:v>PUBLISHED_PROXY</x:v>
      </x:c>
      <x:c r="AI114" s="12" t="n">
        <x:v>5.857</x:v>
      </x:c>
      <x:c r="AJ114" s="12" t="n">
        <x:v>0</x:v>
      </x:c>
      <x:c r="AK114" s="12" t="str">
        <x:v>PUBLISHED_PROXY</x:v>
      </x:c>
      <x:c r="AL114" s="12" t="n">
        <x:v>0</x:v>
      </x:c>
      <x:c r="AM114" s="12" t="str">
        <x:v>marginalPricesOverview_2025-01@5b9daf9d82d7</x:v>
      </x:c>
      <x:c r="AN114" s="12" t="str">
        <x:v>activatedBalancingEnergyOverview_2025-01@4135ac664b2a</x:v>
      </x:c>
      <x:c r="AO114" s="12" t="str">
        <x:v>PUBLISHED_NATIVE</x:v>
      </x:c>
      <x:c r="AP114" s="12" t="n">
        <x:v>0.11714</x:v>
      </x:c>
      <x:c r="AQ114" s="12" t="n">
        <x:v>0</x:v>
      </x:c>
      <x:c r="AR114" s="12" t="n">
        <x:v>0.11714</x:v>
      </x:c>
      <x:c r="AS114" s="13" t="b">
        <x:v>1</x:v>
      </x:c>
      <x:c r="AT114" s="13" t="b">
        <x:v>1</x:v>
      </x:c>
      <x:c r="AU114" s="13" t="b">
        <x:v>1</x:v>
      </x:c>
      <x:c r="AV114" s="13" t="b">
        <x:v>1</x:v>
      </x:c>
      <x:c r="AW114" s="13" t="b">
        <x:v>1</x:v>
      </x:c>
      <x:c r="AX114" s="13" t="b">
        <x:v>0</x:v>
      </x:c>
      <x:c r="AY114" s="13" t="b">
        <x:v>0</x:v>
      </x:c>
      <x:c r="AZ114" s="13" t="b">
        <x:v>1</x:v>
      </x:c>
      <x:c r="BA114" s="12" t="str">
        <x:v>OK</x:v>
      </x:c>
      <x:c r="BB114" s="12" t="str">
        <x:v>OK</x:v>
      </x:c>
      <x:c r="BC114" s="12" t="str">
        <x:v>EUR</x:v>
      </x:c>
      <x:c r="BD114" s="12" t="n">
        <x:v>47.28952608695651</x:v>
      </x:c>
      <x:c r="BE114" s="12" t="n">
        <x:v>44.10637391304347</x:v>
      </x:c>
      <x:c r="BF114" s="12" t="n">
        <x:v>-4.8921549033860856e-15</x:v>
      </x:c>
      <x:c r="BG114" s="12" t="n">
        <x:v>0</x:v>
      </x:c>
      <x:c r="BH114" s="12" t="n">
        <x:v>100</x:v>
      </x:c>
      <x:c r="BI114" s="12" t="n">
        <x:v>100</x:v>
      </x:c>
      <x:c r="BJ114" s="12" t="n">
        <x:v>2.9285</x:v>
      </x:c>
      <x:c r="BK114" s="12" t="n">
        <x:v>0</x:v>
      </x:c>
      <x:c r="BL114" s="12" t="n">
        <x:v>-8.292202561239414e-14</x:v>
      </x:c>
      <x:c r="BM114" s="12" t="n">
        <x:v>0</x:v>
      </x:c>
      <x:c r="BN114" s="12" t="n">
        <x:v>342.7755774914055</x:v>
      </x:c>
      <x:c r="BO114" s="12" t="n">
        <x:v>367.7549707484771</x:v>
      </x:c>
      <x:c r="BP114" s="12" t="n">
        <x:v>402.1284249411954</x:v>
      </x:c>
      <x:c r="BQ114" s="12" t="n">
        <x:v>0</x:v>
      </x:c>
      <x:c r="BR114" s="12" t="n">
        <x:v>1112.658973181078</x:v>
      </x:c>
      <x:c r="BS114" s="12" t="n">
        <x:v>0.00884208937198068</x:v>
      </x:c>
    </x:row>
    <x:row r="115" ht="21" customHeight="1">
      <x:c r="A115" s="14" t="n">
        <x:v>45659.020833333336</x:v>
      </x:c>
      <x:c r="B115" s="14" t="n">
        <x:v>45659.03125</x:v>
      </x:c>
      <x:c r="C115" s="14" t="n">
        <x:v>45659.104166666664</x:v>
      </x:c>
      <x:c r="D115" s="15" t="n">
        <x:v>45659</x:v>
      </x:c>
      <x:c r="E115" s="12" t="n">
        <x:v>0.25</x:v>
      </x:c>
      <x:c r="F115" s="12" t="str">
        <x:v>FORMAL</x:v>
      </x:c>
      <x:c r="G115" s="14" t="n">
        <x:v>45659</x:v>
      </x:c>
      <x:c r="H115" s="12" t="n">
        <x:v>67.8</x:v>
      </x:c>
      <x:c r="I115" s="12" t="str">
        <x:v>2025-01-02_2</x:v>
      </x:c>
      <x:c r="J115" s="12" t="n">
        <x:v>60</x:v>
      </x:c>
      <x:c r="K115" s="12" t="str">
        <x:v>DA_2025-01-02@4f6782768649</x:v>
      </x:c>
      <x:c r="L115" s="15" t="n">
        <x:v>45657</x:v>
      </x:c>
      <x:c r="M115" s="12" t="n">
        <x:v>4.9741</x:v>
      </x:c>
      <x:c r="N115" s="12" t="str">
        <x:v>BNR2024_BOUNDARY@c4397e7f9c31</x:v>
      </x:c>
      <x:c r="O115" s="12"/>
      <x:c r="P115" s="12"/>
      <x:c r="Q115" s="12"/>
      <x:c r="R115" s="12"/>
      <x:c r="S115" s="12" t="str">
        <x:v>OUT_OF_RESEARCH_COVERAGE_PRE_2025_06</x:v>
      </x:c>
      <x:c r="T115" s="12" t="n">
        <x:v>200</x:v>
      </x:c>
      <x:c r="U115" s="12" t="str">
        <x:v>aFRRUp_2025-01-02T00:00:00Z</x:v>
      </x:c>
      <x:c r="V115" s="12" t="str">
        <x:v>tenderStatistics_2025-01@c14c9dea784d</x:v>
      </x:c>
      <x:c r="W115" s="12" t="n">
        <x:v>13.71102309965622</x:v>
      </x:c>
      <x:c r="X115" s="12" t="str">
        <x:v>PUBLISHED_PROXY</x:v>
      </x:c>
      <x:c r="Y115" s="12" t="n">
        <x:v>200</x:v>
      </x:c>
      <x:c r="Z115" s="12" t="str">
        <x:v>aFRRDown_2025-01-02T00:00:00Z</x:v>
      </x:c>
      <x:c r="AA115" s="12" t="str">
        <x:v>tenderStatistics_2025-01@c14c9dea784d</x:v>
      </x:c>
      <x:c r="AB115" s="12" t="n">
        <x:v>14.710198829939085</x:v>
      </x:c>
      <x:c r="AC115" s="12" t="str">
        <x:v>PUBLISHED_PROXY</x:v>
      </x:c>
      <x:c r="AD115" s="12"/>
      <x:c r="AE115" s="12" t="str">
        <x:v>SOURCE_NULL_NOT_MODELED</x:v>
      </x:c>
      <x:c r="AF115" s="12"/>
      <x:c r="AG115" s="12" t="n">
        <x:v>156.28696648639954</x:v>
      </x:c>
      <x:c r="AH115" s="12" t="str">
        <x:v>PUBLISHED_PROXY</x:v>
      </x:c>
      <x:c r="AI115" s="12" t="n">
        <x:v>10.938</x:v>
      </x:c>
      <x:c r="AJ115" s="12" t="n">
        <x:v>0</x:v>
      </x:c>
      <x:c r="AK115" s="12" t="str">
        <x:v>PUBLISHED_PROXY</x:v>
      </x:c>
      <x:c r="AL115" s="12" t="n">
        <x:v>0</x:v>
      </x:c>
      <x:c r="AM115" s="12" t="str">
        <x:v>marginalPricesOverview_2025-01@5b9daf9d82d7</x:v>
      </x:c>
      <x:c r="AN115" s="12" t="str">
        <x:v>activatedBalancingEnergyOverview_2025-01@4135ac664b2a</x:v>
      </x:c>
      <x:c r="AO115" s="12" t="str">
        <x:v>PUBLISHED_NATIVE</x:v>
      </x:c>
      <x:c r="AP115" s="12" t="n">
        <x:v>0.21876</x:v>
      </x:c>
      <x:c r="AQ115" s="12" t="n">
        <x:v>0</x:v>
      </x:c>
      <x:c r="AR115" s="12" t="n">
        <x:v>0.21876</x:v>
      </x:c>
      <x:c r="AS115" s="13" t="b">
        <x:v>1</x:v>
      </x:c>
      <x:c r="AT115" s="13" t="b">
        <x:v>1</x:v>
      </x:c>
      <x:c r="AU115" s="13" t="b">
        <x:v>1</x:v>
      </x:c>
      <x:c r="AV115" s="13" t="b">
        <x:v>1</x:v>
      </x:c>
      <x:c r="AW115" s="13" t="b">
        <x:v>1</x:v>
      </x:c>
      <x:c r="AX115" s="13" t="b">
        <x:v>0</x:v>
      </x:c>
      <x:c r="AY115" s="13" t="b">
        <x:v>0</x:v>
      </x:c>
      <x:c r="AZ115" s="13" t="b">
        <x:v>1</x:v>
      </x:c>
      <x:c r="BA115" s="12" t="str">
        <x:v>OK</x:v>
      </x:c>
      <x:c r="BB115" s="12" t="str">
        <x:v>OK</x:v>
      </x:c>
      <x:c r="BC115" s="12" t="str">
        <x:v>EUR</x:v>
      </x:c>
      <x:c r="BD115" s="12" t="n">
        <x:v>44.10637391304347</x:v>
      </x:c>
      <x:c r="BE115" s="12" t="n">
        <x:v>38.16180869565216</x:v>
      </x:c>
      <x:c r="BF115" s="12" t="n">
        <x:v>-4.8921549033860856e-15</x:v>
      </x:c>
      <x:c r="BG115" s="12" t="n">
        <x:v>0</x:v>
      </x:c>
      <x:c r="BH115" s="12" t="n">
        <x:v>100</x:v>
      </x:c>
      <x:c r="BI115" s="12" t="n">
        <x:v>100</x:v>
      </x:c>
      <x:c r="BJ115" s="12" t="n">
        <x:v>5.469</x:v>
      </x:c>
      <x:c r="BK115" s="12" t="n">
        <x:v>0</x:v>
      </x:c>
      <x:c r="BL115" s="12" t="n">
        <x:v>-8.292202561239414e-14</x:v>
      </x:c>
      <x:c r="BM115" s="12" t="n">
        <x:v>0</x:v>
      </x:c>
      <x:c r="BN115" s="12" t="n">
        <x:v>342.7755774914055</x:v>
      </x:c>
      <x:c r="BO115" s="12" t="n">
        <x:v>367.7549707484771</x:v>
      </x:c>
      <x:c r="BP115" s="12" t="n">
        <x:v>854.7334197141191</x:v>
      </x:c>
      <x:c r="BQ115" s="12" t="n">
        <x:v>0</x:v>
      </x:c>
      <x:c r="BR115" s="12" t="n">
        <x:v>1565.2639679540016</x:v>
      </x:c>
      <x:c r="BS115" s="12" t="n">
        <x:v>0.016512681159420294</x:v>
      </x:c>
    </x:row>
    <x:row r="116" ht="21" customHeight="1">
      <x:c r="A116" s="14" t="n">
        <x:v>45659.03125</x:v>
      </x:c>
      <x:c r="B116" s="14" t="n">
        <x:v>45659.041666666664</x:v>
      </x:c>
      <x:c r="C116" s="14" t="n">
        <x:v>45659.114583333336</x:v>
      </x:c>
      <x:c r="D116" s="15" t="n">
        <x:v>45659</x:v>
      </x:c>
      <x:c r="E116" s="12" t="n">
        <x:v>0.25</x:v>
      </x:c>
      <x:c r="F116" s="12" t="str">
        <x:v>FORMAL</x:v>
      </x:c>
      <x:c r="G116" s="14" t="n">
        <x:v>45659</x:v>
      </x:c>
      <x:c r="H116" s="12" t="n">
        <x:v>67.8</x:v>
      </x:c>
      <x:c r="I116" s="12" t="str">
        <x:v>2025-01-02_2</x:v>
      </x:c>
      <x:c r="J116" s="12" t="n">
        <x:v>60</x:v>
      </x:c>
      <x:c r="K116" s="12" t="str">
        <x:v>DA_2025-01-02@4f6782768649</x:v>
      </x:c>
      <x:c r="L116" s="15" t="n">
        <x:v>45657</x:v>
      </x:c>
      <x:c r="M116" s="12" t="n">
        <x:v>4.9741</x:v>
      </x:c>
      <x:c r="N116" s="12" t="str">
        <x:v>BNR2024_BOUNDARY@c4397e7f9c31</x:v>
      </x:c>
      <x:c r="O116" s="12"/>
      <x:c r="P116" s="12"/>
      <x:c r="Q116" s="12"/>
      <x:c r="R116" s="12"/>
      <x:c r="S116" s="12" t="str">
        <x:v>OUT_OF_RESEARCH_COVERAGE_PRE_2025_06</x:v>
      </x:c>
      <x:c r="T116" s="12" t="n">
        <x:v>200</x:v>
      </x:c>
      <x:c r="U116" s="12" t="str">
        <x:v>aFRRUp_2025-01-02T00:00:00Z</x:v>
      </x:c>
      <x:c r="V116" s="12" t="str">
        <x:v>tenderStatistics_2025-01@c14c9dea784d</x:v>
      </x:c>
      <x:c r="W116" s="12" t="n">
        <x:v>13.71102309965622</x:v>
      </x:c>
      <x:c r="X116" s="12" t="str">
        <x:v>PUBLISHED_PROXY</x:v>
      </x:c>
      <x:c r="Y116" s="12" t="n">
        <x:v>200</x:v>
      </x:c>
      <x:c r="Z116" s="12" t="str">
        <x:v>aFRRDown_2025-01-02T00:00:00Z</x:v>
      </x:c>
      <x:c r="AA116" s="12" t="str">
        <x:v>tenderStatistics_2025-01@c14c9dea784d</x:v>
      </x:c>
      <x:c r="AB116" s="12" t="n">
        <x:v>14.710198829939085</x:v>
      </x:c>
      <x:c r="AC116" s="12" t="str">
        <x:v>PUBLISHED_PROXY</x:v>
      </x:c>
      <x:c r="AD116" s="12"/>
      <x:c r="AE116" s="12" t="str">
        <x:v>SOURCE_NULL_NOT_MODELED</x:v>
      </x:c>
      <x:c r="AF116" s="12"/>
      <x:c r="AG116" s="12" t="n">
        <x:v>134.97617659476086</x:v>
      </x:c>
      <x:c r="AH116" s="12" t="str">
        <x:v>PUBLISHED_PROXY</x:v>
      </x:c>
      <x:c r="AI116" s="12" t="n">
        <x:v>2.47</x:v>
      </x:c>
      <x:c r="AJ116" s="12" t="n">
        <x:v>0</x:v>
      </x:c>
      <x:c r="AK116" s="12" t="str">
        <x:v>PUBLISHED_PROXY</x:v>
      </x:c>
      <x:c r="AL116" s="12" t="n">
        <x:v>0</x:v>
      </x:c>
      <x:c r="AM116" s="12" t="str">
        <x:v>marginalPricesOverview_2025-01@5b9daf9d82d7</x:v>
      </x:c>
      <x:c r="AN116" s="12" t="str">
        <x:v>activatedBalancingEnergyOverview_2025-01@4135ac664b2a</x:v>
      </x:c>
      <x:c r="AO116" s="12" t="str">
        <x:v>PUBLISHED_NATIVE</x:v>
      </x:c>
      <x:c r="AP116" s="12" t="n">
        <x:v>0.0494</x:v>
      </x:c>
      <x:c r="AQ116" s="12" t="n">
        <x:v>0</x:v>
      </x:c>
      <x:c r="AR116" s="12" t="n">
        <x:v>0.0494</x:v>
      </x:c>
      <x:c r="AS116" s="13" t="b">
        <x:v>1</x:v>
      </x:c>
      <x:c r="AT116" s="13" t="b">
        <x:v>1</x:v>
      </x:c>
      <x:c r="AU116" s="13" t="b">
        <x:v>1</x:v>
      </x:c>
      <x:c r="AV116" s="13" t="b">
        <x:v>1</x:v>
      </x:c>
      <x:c r="AW116" s="13" t="b">
        <x:v>1</x:v>
      </x:c>
      <x:c r="AX116" s="13" t="b">
        <x:v>0</x:v>
      </x:c>
      <x:c r="AY116" s="13" t="b">
        <x:v>0</x:v>
      </x:c>
      <x:c r="AZ116" s="13" t="b">
        <x:v>1</x:v>
      </x:c>
      <x:c r="BA116" s="12" t="str">
        <x:v>OK</x:v>
      </x:c>
      <x:c r="BB116" s="12" t="str">
        <x:v>OK</x:v>
      </x:c>
      <x:c r="BC116" s="12" t="str">
        <x:v>EUR</x:v>
      </x:c>
      <x:c r="BD116" s="12" t="n">
        <x:v>38.16180869565216</x:v>
      </x:c>
      <x:c r="BE116" s="12" t="n">
        <x:v>36.819417391304334</x:v>
      </x:c>
      <x:c r="BF116" s="12" t="n">
        <x:v>-4.8921549033860856e-15</x:v>
      </x:c>
      <x:c r="BG116" s="12" t="n">
        <x:v>0</x:v>
      </x:c>
      <x:c r="BH116" s="12" t="n">
        <x:v>100</x:v>
      </x:c>
      <x:c r="BI116" s="12" t="n">
        <x:v>100</x:v>
      </x:c>
      <x:c r="BJ116" s="12" t="n">
        <x:v>1.235</x:v>
      </x:c>
      <x:c r="BK116" s="12" t="n">
        <x:v>0</x:v>
      </x:c>
      <x:c r="BL116" s="12" t="n">
        <x:v>-8.292202561239414e-14</x:v>
      </x:c>
      <x:c r="BM116" s="12" t="n">
        <x:v>0</x:v>
      </x:c>
      <x:c r="BN116" s="12" t="n">
        <x:v>342.7755774914055</x:v>
      </x:c>
      <x:c r="BO116" s="12" t="n">
        <x:v>367.7549707484771</x:v>
      </x:c>
      <x:c r="BP116" s="12" t="n">
        <x:v>166.69557809452968</x:v>
      </x:c>
      <x:c r="BQ116" s="12" t="n">
        <x:v>0</x:v>
      </x:c>
      <x:c r="BR116" s="12" t="n">
        <x:v>877.2261263344122</x:v>
      </x:c>
      <x:c r="BS116" s="12" t="n">
        <x:v>0.00372886473429952</x:v>
      </x:c>
    </x:row>
    <x:row r="117" ht="21" customHeight="1">
      <x:c r="A117" s="14" t="n">
        <x:v>45659.041666666664</x:v>
      </x:c>
      <x:c r="B117" s="14" t="n">
        <x:v>45659.052083333336</x:v>
      </x:c>
      <x:c r="C117" s="14" t="n">
        <x:v>45659.125</x:v>
      </x:c>
      <x:c r="D117" s="15" t="n">
        <x:v>45659</x:v>
      </x:c>
      <x:c r="E117" s="12" t="n">
        <x:v>0.25</x:v>
      </x:c>
      <x:c r="F117" s="12" t="str">
        <x:v>FORMAL</x:v>
      </x:c>
      <x:c r="G117" s="14" t="n">
        <x:v>45659.041666666664</x:v>
      </x:c>
      <x:c r="H117" s="12" t="n">
        <x:v>70.66</x:v>
      </x:c>
      <x:c r="I117" s="12" t="str">
        <x:v>2025-01-02_3</x:v>
      </x:c>
      <x:c r="J117" s="12" t="n">
        <x:v>60</x:v>
      </x:c>
      <x:c r="K117" s="12" t="str">
        <x:v>DA_2025-01-02@4f6782768649</x:v>
      </x:c>
      <x:c r="L117" s="15" t="n">
        <x:v>45657</x:v>
      </x:c>
      <x:c r="M117" s="12" t="n">
        <x:v>4.9741</x:v>
      </x:c>
      <x:c r="N117" s="12" t="str">
        <x:v>BNR2024_BOUNDARY@c4397e7f9c31</x:v>
      </x:c>
      <x:c r="O117" s="12"/>
      <x:c r="P117" s="12"/>
      <x:c r="Q117" s="12"/>
      <x:c r="R117" s="12"/>
      <x:c r="S117" s="12" t="str">
        <x:v>OUT_OF_RESEARCH_COVERAGE_PRE_2025_06</x:v>
      </x:c>
      <x:c r="T117" s="12" t="n">
        <x:v>200</x:v>
      </x:c>
      <x:c r="U117" s="12" t="str">
        <x:v>aFRRUp_2025-01-02T01:00:00Z</x:v>
      </x:c>
      <x:c r="V117" s="12" t="str">
        <x:v>tenderStatistics_2025-01@c14c9dea784d</x:v>
      </x:c>
      <x:c r="W117" s="12" t="n">
        <x:v>13.71102309965622</x:v>
      </x:c>
      <x:c r="X117" s="12" t="str">
        <x:v>PUBLISHED_PROXY</x:v>
      </x:c>
      <x:c r="Y117" s="12" t="n">
        <x:v>200</x:v>
      </x:c>
      <x:c r="Z117" s="12" t="str">
        <x:v>aFRRDown_2025-01-02T01:00:00Z</x:v>
      </x:c>
      <x:c r="AA117" s="12" t="str">
        <x:v>tenderStatistics_2025-01@c14c9dea784d</x:v>
      </x:c>
      <x:c r="AB117" s="12" t="n">
        <x:v>14.710198829939085</x:v>
      </x:c>
      <x:c r="AC117" s="12" t="str">
        <x:v>PUBLISHED_PROXY</x:v>
      </x:c>
      <x:c r="AD117" s="12"/>
      <x:c r="AE117" s="12" t="str">
        <x:v>SOURCE_NULL_NOT_MODELED</x:v>
      </x:c>
      <x:c r="AF117" s="12"/>
      <x:c r="AG117" s="12" t="n">
        <x:v>150.79612392191552</x:v>
      </x:c>
      <x:c r="AH117" s="12" t="str">
        <x:v>PUBLISHED_PROXY</x:v>
      </x:c>
      <x:c r="AI117" s="12" t="n">
        <x:v>8.034</x:v>
      </x:c>
      <x:c r="AJ117" s="12" t="n">
        <x:v>0</x:v>
      </x:c>
      <x:c r="AK117" s="12" t="str">
        <x:v>PUBLISHED_PROXY</x:v>
      </x:c>
      <x:c r="AL117" s="12" t="n">
        <x:v>0</x:v>
      </x:c>
      <x:c r="AM117" s="12" t="str">
        <x:v>marginalPricesOverview_2025-01@5b9daf9d82d7</x:v>
      </x:c>
      <x:c r="AN117" s="12" t="str">
        <x:v>activatedBalancingEnergyOverview_2025-01@4135ac664b2a</x:v>
      </x:c>
      <x:c r="AO117" s="12" t="str">
        <x:v>PUBLISHED_NATIVE</x:v>
      </x:c>
      <x:c r="AP117" s="12" t="n">
        <x:v>0.16068</x:v>
      </x:c>
      <x:c r="AQ117" s="12" t="n">
        <x:v>0</x:v>
      </x:c>
      <x:c r="AR117" s="12" t="n">
        <x:v>0.16068</x:v>
      </x:c>
      <x:c r="AS117" s="13" t="b">
        <x:v>1</x:v>
      </x:c>
      <x:c r="AT117" s="13" t="b">
        <x:v>1</x:v>
      </x:c>
      <x:c r="AU117" s="13" t="b">
        <x:v>1</x:v>
      </x:c>
      <x:c r="AV117" s="13" t="b">
        <x:v>1</x:v>
      </x:c>
      <x:c r="AW117" s="13" t="b">
        <x:v>1</x:v>
      </x:c>
      <x:c r="AX117" s="13" t="b">
        <x:v>0</x:v>
      </x:c>
      <x:c r="AY117" s="13" t="b">
        <x:v>0</x:v>
      </x:c>
      <x:c r="AZ117" s="13" t="b">
        <x:v>1</x:v>
      </x:c>
      <x:c r="BA117" s="12" t="str">
        <x:v>OK</x:v>
      </x:c>
      <x:c r="BB117" s="12" t="str">
        <x:v>OK</x:v>
      </x:c>
      <x:c r="BC117" s="12" t="str">
        <x:v>EUR</x:v>
      </x:c>
      <x:c r="BD117" s="12" t="n">
        <x:v>36.819417391304334</x:v>
      </x:c>
      <x:c r="BE117" s="12" t="n">
        <x:v>32.453113043478254</x:v>
      </x:c>
      <x:c r="BF117" s="12" t="n">
        <x:v>-3.282176960642576e-14</x:v>
      </x:c>
      <x:c r="BG117" s="12" t="n">
        <x:v>0</x:v>
      </x:c>
      <x:c r="BH117" s="12" t="n">
        <x:v>100</x:v>
      </x:c>
      <x:c r="BI117" s="12" t="n">
        <x:v>100</x:v>
      </x:c>
      <x:c r="BJ117" s="12" t="n">
        <x:v>4.017</x:v>
      </x:c>
      <x:c r="BK117" s="12" t="n">
        <x:v>0</x:v>
      </x:c>
      <x:c r="BL117" s="12" t="n">
        <x:v>-5.79796560097511e-13</x:v>
      </x:c>
      <x:c r="BM117" s="12" t="n">
        <x:v>0</x:v>
      </x:c>
      <x:c r="BN117" s="12" t="n">
        <x:v>342.7755774914055</x:v>
      </x:c>
      <x:c r="BO117" s="12" t="n">
        <x:v>367.7549707484771</x:v>
      </x:c>
      <x:c r="BP117" s="12" t="n">
        <x:v>605.7480297943347</x:v>
      </x:c>
      <x:c r="BQ117" s="12" t="n">
        <x:v>0</x:v>
      </x:c>
      <x:c r="BR117" s="12" t="n">
        <x:v>1316.2785780342167</x:v>
      </x:c>
      <x:c r="BS117" s="12" t="n">
        <x:v>0.012128623188405813</x:v>
      </x:c>
    </x:row>
    <x:row r="118" ht="21" customHeight="1">
      <x:c r="A118" s="14" t="n">
        <x:v>45659.052083333336</x:v>
      </x:c>
      <x:c r="B118" s="14" t="n">
        <x:v>45659.0625</x:v>
      </x:c>
      <x:c r="C118" s="14" t="n">
        <x:v>45659.135416666664</x:v>
      </x:c>
      <x:c r="D118" s="15" t="n">
        <x:v>45659</x:v>
      </x:c>
      <x:c r="E118" s="12" t="n">
        <x:v>0.25</x:v>
      </x:c>
      <x:c r="F118" s="12" t="str">
        <x:v>FORMAL</x:v>
      </x:c>
      <x:c r="G118" s="14" t="n">
        <x:v>45659.041666666664</x:v>
      </x:c>
      <x:c r="H118" s="12" t="n">
        <x:v>70.66</x:v>
      </x:c>
      <x:c r="I118" s="12" t="str">
        <x:v>2025-01-02_3</x:v>
      </x:c>
      <x:c r="J118" s="12" t="n">
        <x:v>60</x:v>
      </x:c>
      <x:c r="K118" s="12" t="str">
        <x:v>DA_2025-01-02@4f6782768649</x:v>
      </x:c>
      <x:c r="L118" s="15" t="n">
        <x:v>45657</x:v>
      </x:c>
      <x:c r="M118" s="12" t="n">
        <x:v>4.9741</x:v>
      </x:c>
      <x:c r="N118" s="12" t="str">
        <x:v>BNR2024_BOUNDARY@c4397e7f9c31</x:v>
      </x:c>
      <x:c r="O118" s="12"/>
      <x:c r="P118" s="12"/>
      <x:c r="Q118" s="12"/>
      <x:c r="R118" s="12"/>
      <x:c r="S118" s="12" t="str">
        <x:v>OUT_OF_RESEARCH_COVERAGE_PRE_2025_06</x:v>
      </x:c>
      <x:c r="T118" s="12" t="n">
        <x:v>200</x:v>
      </x:c>
      <x:c r="U118" s="12" t="str">
        <x:v>aFRRUp_2025-01-02T01:00:00Z</x:v>
      </x:c>
      <x:c r="V118" s="12" t="str">
        <x:v>tenderStatistics_2025-01@c14c9dea784d</x:v>
      </x:c>
      <x:c r="W118" s="12" t="n">
        <x:v>13.71102309965622</x:v>
      </x:c>
      <x:c r="X118" s="12" t="str">
        <x:v>PUBLISHED_PROXY</x:v>
      </x:c>
      <x:c r="Y118" s="12" t="n">
        <x:v>200</x:v>
      </x:c>
      <x:c r="Z118" s="12" t="str">
        <x:v>aFRRDown_2025-01-02T01:00:00Z</x:v>
      </x:c>
      <x:c r="AA118" s="12" t="str">
        <x:v>tenderStatistics_2025-01@c14c9dea784d</x:v>
      </x:c>
      <x:c r="AB118" s="12" t="n">
        <x:v>14.710198829939085</x:v>
      </x:c>
      <x:c r="AC118" s="12" t="str">
        <x:v>PUBLISHED_PROXY</x:v>
      </x:c>
      <x:c r="AD118" s="12"/>
      <x:c r="AE118" s="12" t="str">
        <x:v>SOURCE_NULL_NOT_MODELED</x:v>
      </x:c>
      <x:c r="AF118" s="12"/>
      <x:c r="AG118" s="12" t="n">
        <x:v>161.1326672161798</x:v>
      </x:c>
      <x:c r="AH118" s="12" t="str">
        <x:v>PUBLISHED_PROXY</x:v>
      </x:c>
      <x:c r="AI118" s="12" t="n">
        <x:v>14.679</x:v>
      </x:c>
      <x:c r="AJ118" s="12" t="n">
        <x:v>0</x:v>
      </x:c>
      <x:c r="AK118" s="12" t="str">
        <x:v>PUBLISHED_PROXY</x:v>
      </x:c>
      <x:c r="AL118" s="12" t="n">
        <x:v>0</x:v>
      </x:c>
      <x:c r="AM118" s="12" t="str">
        <x:v>marginalPricesOverview_2025-01@5b9daf9d82d7</x:v>
      </x:c>
      <x:c r="AN118" s="12" t="str">
        <x:v>activatedBalancingEnergyOverview_2025-01@4135ac664b2a</x:v>
      </x:c>
      <x:c r="AO118" s="12" t="str">
        <x:v>PUBLISHED_NATIVE</x:v>
      </x:c>
      <x:c r="AP118" s="12" t="n">
        <x:v>0.29358</x:v>
      </x:c>
      <x:c r="AQ118" s="12" t="n">
        <x:v>0</x:v>
      </x:c>
      <x:c r="AR118" s="12" t="n">
        <x:v>0.29358</x:v>
      </x:c>
      <x:c r="AS118" s="13" t="b">
        <x:v>1</x:v>
      </x:c>
      <x:c r="AT118" s="13" t="b">
        <x:v>1</x:v>
      </x:c>
      <x:c r="AU118" s="13" t="b">
        <x:v>1</x:v>
      </x:c>
      <x:c r="AV118" s="13" t="b">
        <x:v>1</x:v>
      </x:c>
      <x:c r="AW118" s="13" t="b">
        <x:v>1</x:v>
      </x:c>
      <x:c r="AX118" s="13" t="b">
        <x:v>0</x:v>
      </x:c>
      <x:c r="AY118" s="13" t="b">
        <x:v>0</x:v>
      </x:c>
      <x:c r="AZ118" s="13" t="b">
        <x:v>1</x:v>
      </x:c>
      <x:c r="BA118" s="12" t="str">
        <x:v>OK</x:v>
      </x:c>
      <x:c r="BB118" s="12" t="str">
        <x:v>OK</x:v>
      </x:c>
      <x:c r="BC118" s="12" t="str">
        <x:v>EUR</x:v>
      </x:c>
      <x:c r="BD118" s="12" t="n">
        <x:v>32.453113043478254</x:v>
      </x:c>
      <x:c r="BE118" s="12" t="n">
        <x:v>24.475395652173916</x:v>
      </x:c>
      <x:c r="BF118" s="12" t="n">
        <x:v>-3.282176960642576e-14</x:v>
      </x:c>
      <x:c r="BG118" s="12" t="n">
        <x:v>0</x:v>
      </x:c>
      <x:c r="BH118" s="12" t="n">
        <x:v>100</x:v>
      </x:c>
      <x:c r="BI118" s="12" t="n">
        <x:v>100</x:v>
      </x:c>
      <x:c r="BJ118" s="12" t="n">
        <x:v>7.3395</x:v>
      </x:c>
      <x:c r="BK118" s="12" t="n">
        <x:v>0</x:v>
      </x:c>
      <x:c r="BL118" s="12" t="n">
        <x:v>-5.79796560097511e-13</x:v>
      </x:c>
      <x:c r="BM118" s="12" t="n">
        <x:v>0</x:v>
      </x:c>
      <x:c r="BN118" s="12" t="n">
        <x:v>342.7755774914055</x:v>
      </x:c>
      <x:c r="BO118" s="12" t="n">
        <x:v>367.7549707484771</x:v>
      </x:c>
      <x:c r="BP118" s="12" t="n">
        <x:v>1182.6332110331518</x:v>
      </x:c>
      <x:c r="BQ118" s="12" t="n">
        <x:v>0</x:v>
      </x:c>
      <x:c r="BR118" s="12" t="n">
        <x:v>1893.1637592730337</x:v>
      </x:c>
      <x:c r="BS118" s="12" t="n">
        <x:v>0.02216032608695653</x:v>
      </x:c>
    </x:row>
    <x:row r="119" ht="21" customHeight="1">
      <x:c r="A119" s="14" t="n">
        <x:v>45659.0625</x:v>
      </x:c>
      <x:c r="B119" s="14" t="n">
        <x:v>45659.072916666664</x:v>
      </x:c>
      <x:c r="C119" s="14" t="n">
        <x:v>45659.145833333336</x:v>
      </x:c>
      <x:c r="D119" s="15" t="n">
        <x:v>45659</x:v>
      </x:c>
      <x:c r="E119" s="12" t="n">
        <x:v>0.25</x:v>
      </x:c>
      <x:c r="F119" s="12" t="str">
        <x:v>FORMAL</x:v>
      </x:c>
      <x:c r="G119" s="14" t="n">
        <x:v>45659.041666666664</x:v>
      </x:c>
      <x:c r="H119" s="12" t="n">
        <x:v>70.66</x:v>
      </x:c>
      <x:c r="I119" s="12" t="str">
        <x:v>2025-01-02_3</x:v>
      </x:c>
      <x:c r="J119" s="12" t="n">
        <x:v>60</x:v>
      </x:c>
      <x:c r="K119" s="12" t="str">
        <x:v>DA_2025-01-02@4f6782768649</x:v>
      </x:c>
      <x:c r="L119" s="15" t="n">
        <x:v>45657</x:v>
      </x:c>
      <x:c r="M119" s="12" t="n">
        <x:v>4.9741</x:v>
      </x:c>
      <x:c r="N119" s="12" t="str">
        <x:v>BNR2024_BOUNDARY@c4397e7f9c31</x:v>
      </x:c>
      <x:c r="O119" s="12"/>
      <x:c r="P119" s="12"/>
      <x:c r="Q119" s="12"/>
      <x:c r="R119" s="12"/>
      <x:c r="S119" s="12" t="str">
        <x:v>OUT_OF_RESEARCH_COVERAGE_PRE_2025_06</x:v>
      </x:c>
      <x:c r="T119" s="12" t="n">
        <x:v>200</x:v>
      </x:c>
      <x:c r="U119" s="12" t="str">
        <x:v>aFRRUp_2025-01-02T01:00:00Z</x:v>
      </x:c>
      <x:c r="V119" s="12" t="str">
        <x:v>tenderStatistics_2025-01@c14c9dea784d</x:v>
      </x:c>
      <x:c r="W119" s="12" t="n">
        <x:v>13.71102309965622</x:v>
      </x:c>
      <x:c r="X119" s="12" t="str">
        <x:v>PUBLISHED_PROXY</x:v>
      </x:c>
      <x:c r="Y119" s="12" t="n">
        <x:v>200</x:v>
      </x:c>
      <x:c r="Z119" s="12" t="str">
        <x:v>aFRRDown_2025-01-02T01:00:00Z</x:v>
      </x:c>
      <x:c r="AA119" s="12" t="str">
        <x:v>tenderStatistics_2025-01@c14c9dea784d</x:v>
      </x:c>
      <x:c r="AB119" s="12" t="n">
        <x:v>14.710198829939085</x:v>
      </x:c>
      <x:c r="AC119" s="12" t="str">
        <x:v>PUBLISHED_PROXY</x:v>
      </x:c>
      <x:c r="AD119" s="12"/>
      <x:c r="AE119" s="12" t="str">
        <x:v>SOURCE_NULL_NOT_MODELED</x:v>
      </x:c>
      <x:c r="AF119" s="12"/>
      <x:c r="AG119" s="12" t="n">
        <x:v>144.93596831587624</x:v>
      </x:c>
      <x:c r="AH119" s="12" t="str">
        <x:v>PUBLISHED_PROXY</x:v>
      </x:c>
      <x:c r="AI119" s="12" t="n">
        <x:v>2.938</x:v>
      </x:c>
      <x:c r="AJ119" s="12" t="n">
        <x:v>0</x:v>
      </x:c>
      <x:c r="AK119" s="12" t="str">
        <x:v>PUBLISHED_PROXY</x:v>
      </x:c>
      <x:c r="AL119" s="12" t="n">
        <x:v>0</x:v>
      </x:c>
      <x:c r="AM119" s="12" t="str">
        <x:v>marginalPricesOverview_2025-01@5b9daf9d82d7</x:v>
      </x:c>
      <x:c r="AN119" s="12" t="str">
        <x:v>activatedBalancingEnergyOverview_2025-01@4135ac664b2a</x:v>
      </x:c>
      <x:c r="AO119" s="12" t="str">
        <x:v>PUBLISHED_NATIVE</x:v>
      </x:c>
      <x:c r="AP119" s="12" t="n">
        <x:v>0.05876</x:v>
      </x:c>
      <x:c r="AQ119" s="12" t="n">
        <x:v>0</x:v>
      </x:c>
      <x:c r="AR119" s="12" t="n">
        <x:v>0.05876</x:v>
      </x:c>
      <x:c r="AS119" s="13" t="b">
        <x:v>1</x:v>
      </x:c>
      <x:c r="AT119" s="13" t="b">
        <x:v>1</x:v>
      </x:c>
      <x:c r="AU119" s="13" t="b">
        <x:v>1</x:v>
      </x:c>
      <x:c r="AV119" s="13" t="b">
        <x:v>1</x:v>
      </x:c>
      <x:c r="AW119" s="13" t="b">
        <x:v>1</x:v>
      </x:c>
      <x:c r="AX119" s="13" t="b">
        <x:v>0</x:v>
      </x:c>
      <x:c r="AY119" s="13" t="b">
        <x:v>0</x:v>
      </x:c>
      <x:c r="AZ119" s="13" t="b">
        <x:v>1</x:v>
      </x:c>
      <x:c r="BA119" s="12" t="str">
        <x:v>OK</x:v>
      </x:c>
      <x:c r="BB119" s="12" t="str">
        <x:v>OK</x:v>
      </x:c>
      <x:c r="BC119" s="12" t="str">
        <x:v>EUR</x:v>
      </x:c>
      <x:c r="BD119" s="12" t="n">
        <x:v>24.475395652173916</x:v>
      </x:c>
      <x:c r="BE119" s="12" t="n">
        <x:v>22.878656521739142</x:v>
      </x:c>
      <x:c r="BF119" s="12" t="n">
        <x:v>-3.282176960642576e-14</x:v>
      </x:c>
      <x:c r="BG119" s="12" t="n">
        <x:v>0</x:v>
      </x:c>
      <x:c r="BH119" s="12" t="n">
        <x:v>100</x:v>
      </x:c>
      <x:c r="BI119" s="12" t="n">
        <x:v>100</x:v>
      </x:c>
      <x:c r="BJ119" s="12" t="n">
        <x:v>1.469</x:v>
      </x:c>
      <x:c r="BK119" s="12" t="n">
        <x:v>0</x:v>
      </x:c>
      <x:c r="BL119" s="12" t="n">
        <x:v>-5.79796560097511e-13</x:v>
      </x:c>
      <x:c r="BM119" s="12" t="n">
        <x:v>0</x:v>
      </x:c>
      <x:c r="BN119" s="12" t="n">
        <x:v>342.7755774914055</x:v>
      </x:c>
      <x:c r="BO119" s="12" t="n">
        <x:v>367.7549707484771</x:v>
      </x:c>
      <x:c r="BP119" s="12" t="n">
        <x:v>212.9109374560222</x:v>
      </x:c>
      <x:c r="BQ119" s="12" t="n">
        <x:v>0</x:v>
      </x:c>
      <x:c r="BR119" s="12" t="n">
        <x:v>923.4414856959042</x:v>
      </x:c>
      <x:c r="BS119" s="12" t="n">
        <x:v>0.004435386473429971</x:v>
      </x:c>
    </x:row>
    <x:row r="120" ht="21" customHeight="1">
      <x:c r="A120" s="14" t="n">
        <x:v>45659.072916666664</x:v>
      </x:c>
      <x:c r="B120" s="14" t="n">
        <x:v>45659.083333333336</x:v>
      </x:c>
      <x:c r="C120" s="14" t="n">
        <x:v>45659.15625</x:v>
      </x:c>
      <x:c r="D120" s="15" t="n">
        <x:v>45659</x:v>
      </x:c>
      <x:c r="E120" s="12" t="n">
        <x:v>0.25</x:v>
      </x:c>
      <x:c r="F120" s="12" t="str">
        <x:v>FORMAL</x:v>
      </x:c>
      <x:c r="G120" s="14" t="n">
        <x:v>45659.041666666664</x:v>
      </x:c>
      <x:c r="H120" s="12" t="n">
        <x:v>70.66</x:v>
      </x:c>
      <x:c r="I120" s="12" t="str">
        <x:v>2025-01-02_3</x:v>
      </x:c>
      <x:c r="J120" s="12" t="n">
        <x:v>60</x:v>
      </x:c>
      <x:c r="K120" s="12" t="str">
        <x:v>DA_2025-01-02@4f6782768649</x:v>
      </x:c>
      <x:c r="L120" s="15" t="n">
        <x:v>45657</x:v>
      </x:c>
      <x:c r="M120" s="12" t="n">
        <x:v>4.9741</x:v>
      </x:c>
      <x:c r="N120" s="12" t="str">
        <x:v>BNR2024_BOUNDARY@c4397e7f9c31</x:v>
      </x:c>
      <x:c r="O120" s="12"/>
      <x:c r="P120" s="12"/>
      <x:c r="Q120" s="12"/>
      <x:c r="R120" s="12"/>
      <x:c r="S120" s="12" t="str">
        <x:v>OUT_OF_RESEARCH_COVERAGE_PRE_2025_06</x:v>
      </x:c>
      <x:c r="T120" s="12" t="n">
        <x:v>200</x:v>
      </x:c>
      <x:c r="U120" s="12" t="str">
        <x:v>aFRRUp_2025-01-02T01:00:00Z</x:v>
      </x:c>
      <x:c r="V120" s="12" t="str">
        <x:v>tenderStatistics_2025-01@c14c9dea784d</x:v>
      </x:c>
      <x:c r="W120" s="12" t="n">
        <x:v>13.71102309965622</x:v>
      </x:c>
      <x:c r="X120" s="12" t="str">
        <x:v>PUBLISHED_PROXY</x:v>
      </x:c>
      <x:c r="Y120" s="12" t="n">
        <x:v>200</x:v>
      </x:c>
      <x:c r="Z120" s="12" t="str">
        <x:v>aFRRDown_2025-01-02T01:00:00Z</x:v>
      </x:c>
      <x:c r="AA120" s="12" t="str">
        <x:v>tenderStatistics_2025-01@c14c9dea784d</x:v>
      </x:c>
      <x:c r="AB120" s="12" t="n">
        <x:v>14.710198829939085</x:v>
      </x:c>
      <x:c r="AC120" s="12" t="str">
        <x:v>PUBLISHED_PROXY</x:v>
      </x:c>
      <x:c r="AD120" s="12"/>
      <x:c r="AE120" s="12" t="str">
        <x:v>SOURCE_NULL_NOT_MODELED</x:v>
      </x:c>
      <x:c r="AF120" s="12"/>
      <x:c r="AG120" s="12" t="n">
        <x:v>136.70814820771596</x:v>
      </x:c>
      <x:c r="AH120" s="12" t="str">
        <x:v>PUBLISHED_PROXY</x:v>
      </x:c>
      <x:c r="AI120" s="12" t="n">
        <x:v>0.594</x:v>
      </x:c>
      <x:c r="AJ120" s="12" t="n">
        <x:v>29.291731167447374</x:v>
      </x:c>
      <x:c r="AK120" s="12" t="str">
        <x:v>PUBLISHED_PROXY</x:v>
      </x:c>
      <x:c r="AL120" s="12" t="n">
        <x:v>0.687</x:v>
      </x:c>
      <x:c r="AM120" s="12" t="str">
        <x:v>marginalPricesOverview_2025-01@5b9daf9d82d7</x:v>
      </x:c>
      <x:c r="AN120" s="12" t="str">
        <x:v>activatedBalancingEnergyOverview_2025-01@4135ac664b2a</x:v>
      </x:c>
      <x:c r="AO120" s="12" t="str">
        <x:v>PUBLISHED_NATIVE</x:v>
      </x:c>
      <x:c r="AP120" s="12" t="n">
        <x:v>0.01188</x:v>
      </x:c>
      <x:c r="AQ120" s="12" t="n">
        <x:v>0.01374</x:v>
      </x:c>
      <x:c r="AR120" s="12" t="n">
        <x:v>0.02562</x:v>
      </x:c>
      <x:c r="AS120" s="13" t="b">
        <x:v>1</x:v>
      </x:c>
      <x:c r="AT120" s="13" t="b">
        <x:v>1</x:v>
      </x:c>
      <x:c r="AU120" s="13" t="b">
        <x:v>1</x:v>
      </x:c>
      <x:c r="AV120" s="13" t="b">
        <x:v>1</x:v>
      </x:c>
      <x:c r="AW120" s="13" t="b">
        <x:v>1</x:v>
      </x:c>
      <x:c r="AX120" s="13" t="b">
        <x:v>0</x:v>
      </x:c>
      <x:c r="AY120" s="13" t="b">
        <x:v>0</x:v>
      </x:c>
      <x:c r="AZ120" s="13" t="b">
        <x:v>1</x:v>
      </x:c>
      <x:c r="BA120" s="12" t="str">
        <x:v>OK</x:v>
      </x:c>
      <x:c r="BB120" s="12" t="str">
        <x:v>OK</x:v>
      </x:c>
      <x:c r="BC120" s="12" t="str">
        <x:v>EUR</x:v>
      </x:c>
      <x:c r="BD120" s="12" t="n">
        <x:v>22.878656521739142</x:v>
      </x:c>
      <x:c r="BE120" s="12" t="n">
        <x:v>22.87185043478263</x:v>
      </x:c>
      <x:c r="BF120" s="12" t="n">
        <x:v>-3.282176960642576e-14</x:v>
      </x:c>
      <x:c r="BG120" s="12" t="n">
        <x:v>0</x:v>
      </x:c>
      <x:c r="BH120" s="12" t="n">
        <x:v>100</x:v>
      </x:c>
      <x:c r="BI120" s="12" t="n">
        <x:v>100</x:v>
      </x:c>
      <x:c r="BJ120" s="12" t="n">
        <x:v>0.297</x:v>
      </x:c>
      <x:c r="BK120" s="12" t="n">
        <x:v>0.3435</x:v>
      </x:c>
      <x:c r="BL120" s="12" t="n">
        <x:v>-5.79796560097511e-13</x:v>
      </x:c>
      <x:c r="BM120" s="12" t="n">
        <x:v>0</x:v>
      </x:c>
      <x:c r="BN120" s="12" t="n">
        <x:v>342.7755774914055</x:v>
      </x:c>
      <x:c r="BO120" s="12" t="n">
        <x:v>367.7549707484771</x:v>
      </x:c>
      <x:c r="BP120" s="12" t="n">
        <x:v>40.60232001769164</x:v>
      </x:c>
      <x:c r="BQ120" s="12" t="n">
        <x:v>-10.061709656018174</x:v>
      </x:c>
      <x:c r="BR120" s="12" t="n">
        <x:v>741.0711586015555</x:v>
      </x:c>
      <x:c r="BS120" s="12" t="n">
        <x:v>0.0017745724637681362</x:v>
      </x:c>
    </x:row>
    <x:row r="121" ht="21" customHeight="1">
      <x:c r="A121" s="14" t="n">
        <x:v>45659.083333333336</x:v>
      </x:c>
      <x:c r="B121" s="14" t="n">
        <x:v>45659.09375</x:v>
      </x:c>
      <x:c r="C121" s="14" t="n">
        <x:v>45659.166666666664</x:v>
      </x:c>
      <x:c r="D121" s="15" t="n">
        <x:v>45659</x:v>
      </x:c>
      <x:c r="E121" s="12" t="n">
        <x:v>0.25</x:v>
      </x:c>
      <x:c r="F121" s="12" t="str">
        <x:v>FORMAL</x:v>
      </x:c>
      <x:c r="G121" s="14" t="n">
        <x:v>45659.083333333336</x:v>
      </x:c>
      <x:c r="H121" s="12" t="n">
        <x:v>45.61</x:v>
      </x:c>
      <x:c r="I121" s="12" t="str">
        <x:v>2025-01-02_4</x:v>
      </x:c>
      <x:c r="J121" s="12" t="n">
        <x:v>60</x:v>
      </x:c>
      <x:c r="K121" s="12" t="str">
        <x:v>DA_2025-01-02@4f6782768649</x:v>
      </x:c>
      <x:c r="L121" s="15" t="n">
        <x:v>45657</x:v>
      </x:c>
      <x:c r="M121" s="12" t="n">
        <x:v>4.9741</x:v>
      </x:c>
      <x:c r="N121" s="12" t="str">
        <x:v>BNR2024_BOUNDARY@c4397e7f9c31</x:v>
      </x:c>
      <x:c r="O121" s="12"/>
      <x:c r="P121" s="12"/>
      <x:c r="Q121" s="12"/>
      <x:c r="R121" s="12"/>
      <x:c r="S121" s="12" t="str">
        <x:v>OUT_OF_RESEARCH_COVERAGE_PRE_2025_06</x:v>
      </x:c>
      <x:c r="T121" s="12" t="n">
        <x:v>200</x:v>
      </x:c>
      <x:c r="U121" s="12" t="str">
        <x:v>aFRRUp_2025-01-02T02:00:00Z</x:v>
      </x:c>
      <x:c r="V121" s="12" t="str">
        <x:v>tenderStatistics_2025-01@c14c9dea784d</x:v>
      </x:c>
      <x:c r="W121" s="12" t="n">
        <x:v>13.71102309965622</x:v>
      </x:c>
      <x:c r="X121" s="12" t="str">
        <x:v>PUBLISHED_PROXY</x:v>
      </x:c>
      <x:c r="Y121" s="12" t="n">
        <x:v>200</x:v>
      </x:c>
      <x:c r="Z121" s="12" t="str">
        <x:v>aFRRDown_2025-01-02T02:00:00Z</x:v>
      </x:c>
      <x:c r="AA121" s="12" t="str">
        <x:v>tenderStatistics_2025-01@c14c9dea784d</x:v>
      </x:c>
      <x:c r="AB121" s="12" t="n">
        <x:v>14.710198829939085</x:v>
      </x:c>
      <x:c r="AC121" s="12" t="str">
        <x:v>PUBLISHED_PROXY</x:v>
      </x:c>
      <x:c r="AD121" s="12"/>
      <x:c r="AE121" s="12" t="str">
        <x:v>SOURCE_NULL_NOT_MODELED</x:v>
      </x:c>
      <x:c r="AF121" s="12"/>
      <x:c r="AG121" s="12" t="n">
        <x:v>0</x:v>
      </x:c>
      <x:c r="AH121" s="12" t="str">
        <x:v>PUBLISHED_PROXY</x:v>
      </x:c>
      <x:c r="AI121" s="12" t="n">
        <x:v>0</x:v>
      </x:c>
      <x:c r="AJ121" s="12" t="n">
        <x:v>26.050742847952396</x:v>
      </x:c>
      <x:c r="AK121" s="12" t="str">
        <x:v>PUBLISHED_PROXY</x:v>
      </x:c>
      <x:c r="AL121" s="12" t="n">
        <x:v>3.452</x:v>
      </x:c>
      <x:c r="AM121" s="12" t="str">
        <x:v>marginalPricesOverview_2025-01@5b9daf9d82d7</x:v>
      </x:c>
      <x:c r="AN121" s="12" t="str">
        <x:v>activatedBalancingEnergyOverview_2025-01@4135ac664b2a</x:v>
      </x:c>
      <x:c r="AO121" s="12" t="str">
        <x:v>PUBLISHED_NATIVE</x:v>
      </x:c>
      <x:c r="AP121" s="12" t="n">
        <x:v>0</x:v>
      </x:c>
      <x:c r="AQ121" s="12" t="n">
        <x:v>0.06904</x:v>
      </x:c>
      <x:c r="AR121" s="12" t="n">
        <x:v>0.06904</x:v>
      </x:c>
      <x:c r="AS121" s="13" t="b">
        <x:v>1</x:v>
      </x:c>
      <x:c r="AT121" s="13" t="b">
        <x:v>1</x:v>
      </x:c>
      <x:c r="AU121" s="13" t="b">
        <x:v>1</x:v>
      </x:c>
      <x:c r="AV121" s="13" t="b">
        <x:v>1</x:v>
      </x:c>
      <x:c r="AW121" s="13" t="b">
        <x:v>1</x:v>
      </x:c>
      <x:c r="AX121" s="13" t="b">
        <x:v>0</x:v>
      </x:c>
      <x:c r="AY121" s="13" t="b">
        <x:v>0</x:v>
      </x:c>
      <x:c r="AZ121" s="13" t="b">
        <x:v>1</x:v>
      </x:c>
      <x:c r="BA121" s="12" t="str">
        <x:v>OK</x:v>
      </x:c>
      <x:c r="BB121" s="12" t="str">
        <x:v>OK</x:v>
      </x:c>
      <x:c r="BC121" s="12" t="str">
        <x:v>EUR</x:v>
      </x:c>
      <x:c r="BD121" s="12" t="n">
        <x:v>22.87185043478263</x:v>
      </x:c>
      <x:c r="BE121" s="12" t="n">
        <x:v>45.87185043478263</x:v>
      </x:c>
      <x:c r="BF121" s="12" t="n">
        <x:v>-99.99999999999999</x:v>
      </x:c>
      <x:c r="BG121" s="12" t="n">
        <x:v>0</x:v>
      </x:c>
      <x:c r="BH121" s="12" t="n">
        <x:v>100</x:v>
      </x:c>
      <x:c r="BI121" s="12" t="n">
        <x:v>0</x:v>
      </x:c>
      <x:c r="BJ121" s="12" t="n">
        <x:v>0</x:v>
      </x:c>
      <x:c r="BK121" s="12" t="n">
        <x:v>0</x:v>
      </x:c>
      <x:c r="BL121" s="12" t="n">
        <x:v>-1140.2499999999998</x:v>
      </x:c>
      <x:c r="BM121" s="12" t="n">
        <x:v>0</x:v>
      </x:c>
      <x:c r="BN121" s="12" t="n">
        <x:v>342.7755774914055</x:v>
      </x:c>
      <x:c r="BO121" s="12" t="n">
        <x:v>0</x:v>
      </x:c>
      <x:c r="BP121" s="12" t="n">
        <x:v>0</x:v>
      </x:c>
      <x:c r="BQ121" s="12" t="n">
        <x:v>0</x:v>
      </x:c>
      <x:c r="BR121" s="12" t="n">
        <x:v>-797.4744225085942</x:v>
      </x:c>
      <x:c r="BS121" s="12" t="n">
        <x:v>0.06388888888888888</x:v>
      </x:c>
    </x:row>
    <x:row r="122" ht="21" customHeight="1">
      <x:c r="A122" s="14" t="n">
        <x:v>45659.09375</x:v>
      </x:c>
      <x:c r="B122" s="14" t="n">
        <x:v>45659.104166666664</x:v>
      </x:c>
      <x:c r="C122" s="14" t="n">
        <x:v>45659.177083333336</x:v>
      </x:c>
      <x:c r="D122" s="15" t="n">
        <x:v>45659</x:v>
      </x:c>
      <x:c r="E122" s="12" t="n">
        <x:v>0.25</x:v>
      </x:c>
      <x:c r="F122" s="12" t="str">
        <x:v>FORMAL</x:v>
      </x:c>
      <x:c r="G122" s="14" t="n">
        <x:v>45659.083333333336</x:v>
      </x:c>
      <x:c r="H122" s="12" t="n">
        <x:v>45.61</x:v>
      </x:c>
      <x:c r="I122" s="12" t="str">
        <x:v>2025-01-02_4</x:v>
      </x:c>
      <x:c r="J122" s="12" t="n">
        <x:v>60</x:v>
      </x:c>
      <x:c r="K122" s="12" t="str">
        <x:v>DA_2025-01-02@4f6782768649</x:v>
      </x:c>
      <x:c r="L122" s="15" t="n">
        <x:v>45657</x:v>
      </x:c>
      <x:c r="M122" s="12" t="n">
        <x:v>4.9741</x:v>
      </x:c>
      <x:c r="N122" s="12" t="str">
        <x:v>BNR2024_BOUNDARY@c4397e7f9c31</x:v>
      </x:c>
      <x:c r="O122" s="12"/>
      <x:c r="P122" s="12"/>
      <x:c r="Q122" s="12"/>
      <x:c r="R122" s="12"/>
      <x:c r="S122" s="12" t="str">
        <x:v>OUT_OF_RESEARCH_COVERAGE_PRE_2025_06</x:v>
      </x:c>
      <x:c r="T122" s="12" t="n">
        <x:v>200</x:v>
      </x:c>
      <x:c r="U122" s="12" t="str">
        <x:v>aFRRUp_2025-01-02T02:00:00Z</x:v>
      </x:c>
      <x:c r="V122" s="12" t="str">
        <x:v>tenderStatistics_2025-01@c14c9dea784d</x:v>
      </x:c>
      <x:c r="W122" s="12" t="n">
        <x:v>13.71102309965622</x:v>
      </x:c>
      <x:c r="X122" s="12" t="str">
        <x:v>PUBLISHED_PROXY</x:v>
      </x:c>
      <x:c r="Y122" s="12" t="n">
        <x:v>200</x:v>
      </x:c>
      <x:c r="Z122" s="12" t="str">
        <x:v>aFRRDown_2025-01-02T02:00:00Z</x:v>
      </x:c>
      <x:c r="AA122" s="12" t="str">
        <x:v>tenderStatistics_2025-01@c14c9dea784d</x:v>
      </x:c>
      <x:c r="AB122" s="12" t="n">
        <x:v>14.710198829939085</x:v>
      </x:c>
      <x:c r="AC122" s="12" t="str">
        <x:v>PUBLISHED_PROXY</x:v>
      </x:c>
      <x:c r="AD122" s="12"/>
      <x:c r="AE122" s="12" t="str">
        <x:v>SOURCE_NULL_NOT_MODELED</x:v>
      </x:c>
      <x:c r="AF122" s="12"/>
      <x:c r="AG122" s="12" t="n">
        <x:v>136.08290947106008</x:v>
      </x:c>
      <x:c r="AH122" s="12" t="str">
        <x:v>PUBLISHED_PROXY</x:v>
      </x:c>
      <x:c r="AI122" s="12" t="n">
        <x:v>0.015</x:v>
      </x:c>
      <x:c r="AJ122" s="12" t="n">
        <x:v>43.924328019139146</x:v>
      </x:c>
      <x:c r="AK122" s="12" t="str">
        <x:v>PUBLISHED_PROXY</x:v>
      </x:c>
      <x:c r="AL122" s="12" t="n">
        <x:v>0.471</x:v>
      </x:c>
      <x:c r="AM122" s="12" t="str">
        <x:v>marginalPricesOverview_2025-01@5b9daf9d82d7</x:v>
      </x:c>
      <x:c r="AN122" s="12" t="str">
        <x:v>activatedBalancingEnergyOverview_2025-01@4135ac664b2a</x:v>
      </x:c>
      <x:c r="AO122" s="12" t="str">
        <x:v>PUBLISHED_NATIVE</x:v>
      </x:c>
      <x:c r="AP122" s="12" t="n">
        <x:v>0.0003</x:v>
      </x:c>
      <x:c r="AQ122" s="12" t="n">
        <x:v>0.00942</x:v>
      </x:c>
      <x:c r="AR122" s="12" t="n">
        <x:v>0.00972</x:v>
      </x:c>
      <x:c r="AS122" s="13" t="b">
        <x:v>1</x:v>
      </x:c>
      <x:c r="AT122" s="13" t="b">
        <x:v>1</x:v>
      </x:c>
      <x:c r="AU122" s="13" t="b">
        <x:v>1</x:v>
      </x:c>
      <x:c r="AV122" s="13" t="b">
        <x:v>1</x:v>
      </x:c>
      <x:c r="AW122" s="13" t="b">
        <x:v>1</x:v>
      </x:c>
      <x:c r="AX122" s="13" t="b">
        <x:v>0</x:v>
      </x:c>
      <x:c r="AY122" s="13" t="b">
        <x:v>0</x:v>
      </x:c>
      <x:c r="AZ122" s="13" t="b">
        <x:v>1</x:v>
      </x:c>
      <x:c r="BA122" s="12" t="str">
        <x:v>OK</x:v>
      </x:c>
      <x:c r="BB122" s="12" t="str">
        <x:v>OK</x:v>
      </x:c>
      <x:c r="BC122" s="12" t="str">
        <x:v>EUR</x:v>
      </x:c>
      <x:c r="BD122" s="12" t="n">
        <x:v>45.87185043478263</x:v>
      </x:c>
      <x:c r="BE122" s="12" t="n">
        <x:v>68.86495043478263</x:v>
      </x:c>
      <x:c r="BF122" s="12" t="n">
        <x:v>-99.99999999999999</x:v>
      </x:c>
      <x:c r="BG122" s="12" t="n">
        <x:v>0</x:v>
      </x:c>
      <x:c r="BH122" s="12" t="n">
        <x:v>100</x:v>
      </x:c>
      <x:c r="BI122" s="12" t="n">
        <x:v>0</x:v>
      </x:c>
      <x:c r="BJ122" s="12" t="n">
        <x:v>0.0075</x:v>
      </x:c>
      <x:c r="BK122" s="12" t="n">
        <x:v>0</x:v>
      </x:c>
      <x:c r="BL122" s="12" t="n">
        <x:v>-1140.2499999999998</x:v>
      </x:c>
      <x:c r="BM122" s="12" t="n">
        <x:v>0</x:v>
      </x:c>
      <x:c r="BN122" s="12" t="n">
        <x:v>342.7755774914055</x:v>
      </x:c>
      <x:c r="BO122" s="12" t="n">
        <x:v>0</x:v>
      </x:c>
      <x:c r="BP122" s="12" t="n">
        <x:v>1.0206218210329505</x:v>
      </x:c>
      <x:c r="BQ122" s="12" t="n">
        <x:v>0</x:v>
      </x:c>
      <x:c r="BR122" s="12" t="n">
        <x:v>-796.4538006875613</x:v>
      </x:c>
      <x:c r="BS122" s="12" t="n">
        <x:v>0.06386972222222222</x:v>
      </x:c>
    </x:row>
    <x:row r="123" ht="21" customHeight="1">
      <x:c r="A123" s="14" t="n">
        <x:v>45659.104166666664</x:v>
      </x:c>
      <x:c r="B123" s="14" t="n">
        <x:v>45659.114583333336</x:v>
      </x:c>
      <x:c r="C123" s="14" t="n">
        <x:v>45659.1875</x:v>
      </x:c>
      <x:c r="D123" s="15" t="n">
        <x:v>45659</x:v>
      </x:c>
      <x:c r="E123" s="12" t="n">
        <x:v>0.25</x:v>
      </x:c>
      <x:c r="F123" s="12" t="str">
        <x:v>FORMAL</x:v>
      </x:c>
      <x:c r="G123" s="14" t="n">
        <x:v>45659.083333333336</x:v>
      </x:c>
      <x:c r="H123" s="12" t="n">
        <x:v>45.61</x:v>
      </x:c>
      <x:c r="I123" s="12" t="str">
        <x:v>2025-01-02_4</x:v>
      </x:c>
      <x:c r="J123" s="12" t="n">
        <x:v>60</x:v>
      </x:c>
      <x:c r="K123" s="12" t="str">
        <x:v>DA_2025-01-02@4f6782768649</x:v>
      </x:c>
      <x:c r="L123" s="15" t="n">
        <x:v>45657</x:v>
      </x:c>
      <x:c r="M123" s="12" t="n">
        <x:v>4.9741</x:v>
      </x:c>
      <x:c r="N123" s="12" t="str">
        <x:v>BNR2024_BOUNDARY@c4397e7f9c31</x:v>
      </x:c>
      <x:c r="O123" s="12"/>
      <x:c r="P123" s="12"/>
      <x:c r="Q123" s="12"/>
      <x:c r="R123" s="12"/>
      <x:c r="S123" s="12" t="str">
        <x:v>OUT_OF_RESEARCH_COVERAGE_PRE_2025_06</x:v>
      </x:c>
      <x:c r="T123" s="12" t="n">
        <x:v>200</x:v>
      </x:c>
      <x:c r="U123" s="12" t="str">
        <x:v>aFRRUp_2025-01-02T02:00:00Z</x:v>
      </x:c>
      <x:c r="V123" s="12" t="str">
        <x:v>tenderStatistics_2025-01@c14c9dea784d</x:v>
      </x:c>
      <x:c r="W123" s="12" t="n">
        <x:v>13.71102309965622</x:v>
      </x:c>
      <x:c r="X123" s="12" t="str">
        <x:v>PUBLISHED_PROXY</x:v>
      </x:c>
      <x:c r="Y123" s="12" t="n">
        <x:v>200</x:v>
      </x:c>
      <x:c r="Z123" s="12" t="str">
        <x:v>aFRRDown_2025-01-02T02:00:00Z</x:v>
      </x:c>
      <x:c r="AA123" s="12" t="str">
        <x:v>tenderStatistics_2025-01@c14c9dea784d</x:v>
      </x:c>
      <x:c r="AB123" s="12" t="n">
        <x:v>14.710198829939085</x:v>
      </x:c>
      <x:c r="AC123" s="12" t="str">
        <x:v>PUBLISHED_PROXY</x:v>
      </x:c>
      <x:c r="AD123" s="12"/>
      <x:c r="AE123" s="12" t="str">
        <x:v>SOURCE_NULL_NOT_MODELED</x:v>
      </x:c>
      <x:c r="AF123" s="12"/>
      <x:c r="AG123" s="12" t="n">
        <x:v>134.56906777105405</x:v>
      </x:c>
      <x:c r="AH123" s="12" t="str">
        <x:v>PUBLISHED_PROXY</x:v>
      </x:c>
      <x:c r="AI123" s="12" t="n">
        <x:v>1.489</x:v>
      </x:c>
      <x:c r="AJ123" s="12" t="n">
        <x:v>58.3020043827024</x:v>
      </x:c>
      <x:c r="AK123" s="12" t="str">
        <x:v>PUBLISHED_PROXY</x:v>
      </x:c>
      <x:c r="AL123" s="12" t="n">
        <x:v>0.007</x:v>
      </x:c>
      <x:c r="AM123" s="12" t="str">
        <x:v>marginalPricesOverview_2025-01@5b9daf9d82d7</x:v>
      </x:c>
      <x:c r="AN123" s="12" t="str">
        <x:v>activatedBalancingEnergyOverview_2025-01@4135ac664b2a</x:v>
      </x:c>
      <x:c r="AO123" s="12" t="str">
        <x:v>PUBLISHED_NATIVE</x:v>
      </x:c>
      <x:c r="AP123" s="12" t="n">
        <x:v>0.02978</x:v>
      </x:c>
      <x:c r="AQ123" s="12" t="n">
        <x:v>0.00014</x:v>
      </x:c>
      <x:c r="AR123" s="12" t="n">
        <x:v>0.02992</x:v>
      </x:c>
      <x:c r="AS123" s="13" t="b">
        <x:v>1</x:v>
      </x:c>
      <x:c r="AT123" s="13" t="b">
        <x:v>1</x:v>
      </x:c>
      <x:c r="AU123" s="13" t="b">
        <x:v>1</x:v>
      </x:c>
      <x:c r="AV123" s="13" t="b">
        <x:v>1</x:v>
      </x:c>
      <x:c r="AW123" s="13" t="b">
        <x:v>1</x:v>
      </x:c>
      <x:c r="AX123" s="13" t="b">
        <x:v>0</x:v>
      </x:c>
      <x:c r="AY123" s="13" t="b">
        <x:v>0</x:v>
      </x:c>
      <x:c r="AZ123" s="13" t="b">
        <x:v>1</x:v>
      </x:c>
      <x:c r="BA123" s="12" t="str">
        <x:v>OK</x:v>
      </x:c>
      <x:c r="BB123" s="12" t="str">
        <x:v>OK</x:v>
      </x:c>
      <x:c r="BC123" s="12" t="str">
        <x:v>EUR</x:v>
      </x:c>
      <x:c r="BD123" s="12" t="n">
        <x:v>68.86495043478263</x:v>
      </x:c>
      <x:c r="BE123" s="12" t="n">
        <x:v>91.18001043478262</x:v>
      </x:c>
      <x:c r="BF123" s="12" t="n">
        <x:v>-99.99999999999999</x:v>
      </x:c>
      <x:c r="BG123" s="12" t="n">
        <x:v>0</x:v>
      </x:c>
      <x:c r="BH123" s="12" t="n">
        <x:v>100</x:v>
      </x:c>
      <x:c r="BI123" s="12" t="n">
        <x:v>0</x:v>
      </x:c>
      <x:c r="BJ123" s="12" t="n">
        <x:v>0.7445</x:v>
      </x:c>
      <x:c r="BK123" s="12" t="n">
        <x:v>0</x:v>
      </x:c>
      <x:c r="BL123" s="12" t="n">
        <x:v>-1140.2499999999998</x:v>
      </x:c>
      <x:c r="BM123" s="12" t="n">
        <x:v>0</x:v>
      </x:c>
      <x:c r="BN123" s="12" t="n">
        <x:v>342.7755774914055</x:v>
      </x:c>
      <x:c r="BO123" s="12" t="n">
        <x:v>0</x:v>
      </x:c>
      <x:c r="BP123" s="12" t="n">
        <x:v>100.18667095554974</x:v>
      </x:c>
      <x:c r="BQ123" s="12" t="n">
        <x:v>0</x:v>
      </x:c>
      <x:c r="BR123" s="12" t="n">
        <x:v>-697.2877515530445</x:v>
      </x:c>
      <x:c r="BS123" s="12" t="n">
        <x:v>0.061986277777777765</x:v>
      </x:c>
    </x:row>
    <x:row r="124" ht="21" customHeight="1">
      <x:c r="A124" s="14" t="n">
        <x:v>45659.114583333336</x:v>
      </x:c>
      <x:c r="B124" s="14" t="n">
        <x:v>45659.125</x:v>
      </x:c>
      <x:c r="C124" s="14" t="n">
        <x:v>45659.197916666664</x:v>
      </x:c>
      <x:c r="D124" s="15" t="n">
        <x:v>45659</x:v>
      </x:c>
      <x:c r="E124" s="12" t="n">
        <x:v>0.25</x:v>
      </x:c>
      <x:c r="F124" s="12" t="str">
        <x:v>FORMAL</x:v>
      </x:c>
      <x:c r="G124" s="14" t="n">
        <x:v>45659.083333333336</x:v>
      </x:c>
      <x:c r="H124" s="12" t="n">
        <x:v>45.61</x:v>
      </x:c>
      <x:c r="I124" s="12" t="str">
        <x:v>2025-01-02_4</x:v>
      </x:c>
      <x:c r="J124" s="12" t="n">
        <x:v>60</x:v>
      </x:c>
      <x:c r="K124" s="12" t="str">
        <x:v>DA_2025-01-02@4f6782768649</x:v>
      </x:c>
      <x:c r="L124" s="15" t="n">
        <x:v>45657</x:v>
      </x:c>
      <x:c r="M124" s="12" t="n">
        <x:v>4.9741</x:v>
      </x:c>
      <x:c r="N124" s="12" t="str">
        <x:v>BNR2024_BOUNDARY@c4397e7f9c31</x:v>
      </x:c>
      <x:c r="O124" s="12"/>
      <x:c r="P124" s="12"/>
      <x:c r="Q124" s="12"/>
      <x:c r="R124" s="12"/>
      <x:c r="S124" s="12" t="str">
        <x:v>OUT_OF_RESEARCH_COVERAGE_PRE_2025_06</x:v>
      </x:c>
      <x:c r="T124" s="12" t="n">
        <x:v>200</x:v>
      </x:c>
      <x:c r="U124" s="12" t="str">
        <x:v>aFRRUp_2025-01-02T02:00:00Z</x:v>
      </x:c>
      <x:c r="V124" s="12" t="str">
        <x:v>tenderStatistics_2025-01@c14c9dea784d</x:v>
      </x:c>
      <x:c r="W124" s="12" t="n">
        <x:v>13.71102309965622</x:v>
      </x:c>
      <x:c r="X124" s="12" t="str">
        <x:v>PUBLISHED_PROXY</x:v>
      </x:c>
      <x:c r="Y124" s="12" t="n">
        <x:v>200</x:v>
      </x:c>
      <x:c r="Z124" s="12" t="str">
        <x:v>aFRRDown_2025-01-02T02:00:00Z</x:v>
      </x:c>
      <x:c r="AA124" s="12" t="str">
        <x:v>tenderStatistics_2025-01@c14c9dea784d</x:v>
      </x:c>
      <x:c r="AB124" s="12" t="n">
        <x:v>14.710198829939085</x:v>
      </x:c>
      <x:c r="AC124" s="12" t="str">
        <x:v>PUBLISHED_PROXY</x:v>
      </x:c>
      <x:c r="AD124" s="12"/>
      <x:c r="AE124" s="12" t="str">
        <x:v>SOURCE_NULL_NOT_MODELED</x:v>
      </x:c>
      <x:c r="AF124" s="12"/>
      <x:c r="AG124" s="12" t="n">
        <x:v>136.08290947106008</x:v>
      </x:c>
      <x:c r="AH124" s="12" t="str">
        <x:v>PUBLISHED_PROXY</x:v>
      </x:c>
      <x:c r="AI124" s="12" t="n">
        <x:v>11.489</x:v>
      </x:c>
      <x:c r="AJ124" s="12" t="n">
        <x:v>0</x:v>
      </x:c>
      <x:c r="AK124" s="12" t="str">
        <x:v>PUBLISHED_PROXY</x:v>
      </x:c>
      <x:c r="AL124" s="12" t="n">
        <x:v>0</x:v>
      </x:c>
      <x:c r="AM124" s="12" t="str">
        <x:v>marginalPricesOverview_2025-01@5b9daf9d82d7</x:v>
      </x:c>
      <x:c r="AN124" s="12" t="str">
        <x:v>activatedBalancingEnergyOverview_2025-01@4135ac664b2a</x:v>
      </x:c>
      <x:c r="AO124" s="12" t="str">
        <x:v>PUBLISHED_NATIVE</x:v>
      </x:c>
      <x:c r="AP124" s="12" t="n">
        <x:v>0.22978</x:v>
      </x:c>
      <x:c r="AQ124" s="12" t="n">
        <x:v>0</x:v>
      </x:c>
      <x:c r="AR124" s="12" t="n">
        <x:v>0.22978</x:v>
      </x:c>
      <x:c r="AS124" s="13" t="b">
        <x:v>1</x:v>
      </x:c>
      <x:c r="AT124" s="13" t="b">
        <x:v>1</x:v>
      </x:c>
      <x:c r="AU124" s="13" t="b">
        <x:v>1</x:v>
      </x:c>
      <x:c r="AV124" s="13" t="b">
        <x:v>1</x:v>
      </x:c>
      <x:c r="AW124" s="13" t="b">
        <x:v>1</x:v>
      </x:c>
      <x:c r="AX124" s="13" t="b">
        <x:v>0</x:v>
      </x:c>
      <x:c r="AY124" s="13" t="b">
        <x:v>0</x:v>
      </x:c>
      <x:c r="AZ124" s="13" t="b">
        <x:v>1</x:v>
      </x:c>
      <x:c r="BA124" s="12" t="str">
        <x:v>OK</x:v>
      </x:c>
      <x:c r="BB124" s="12" t="str">
        <x:v>OK</x:v>
      </x:c>
      <x:c r="BC124" s="12" t="str">
        <x:v>EUR</x:v>
      </x:c>
      <x:c r="BD124" s="12" t="n">
        <x:v>91.18001043478262</x:v>
      </x:c>
      <x:c r="BE124" s="12" t="n">
        <x:v>108.89507043478261</x:v>
      </x:c>
      <x:c r="BF124" s="12" t="n">
        <x:v>-99.99999999999999</x:v>
      </x:c>
      <x:c r="BG124" s="12" t="n">
        <x:v>0</x:v>
      </x:c>
      <x:c r="BH124" s="12" t="n">
        <x:v>100</x:v>
      </x:c>
      <x:c r="BI124" s="12" t="n">
        <x:v>0</x:v>
      </x:c>
      <x:c r="BJ124" s="12" t="n">
        <x:v>5.7445</x:v>
      </x:c>
      <x:c r="BK124" s="12" t="n">
        <x:v>0</x:v>
      </x:c>
      <x:c r="BL124" s="12" t="n">
        <x:v>-1140.2499999999998</x:v>
      </x:c>
      <x:c r="BM124" s="12" t="n">
        <x:v>0</x:v>
      </x:c>
      <x:c r="BN124" s="12" t="n">
        <x:v>342.7755774914055</x:v>
      </x:c>
      <x:c r="BO124" s="12" t="n">
        <x:v>0</x:v>
      </x:c>
      <x:c r="BP124" s="12" t="n">
        <x:v>781.7282734565047</x:v>
      </x:c>
      <x:c r="BQ124" s="12" t="n">
        <x:v>0</x:v>
      </x:c>
      <x:c r="BR124" s="12" t="n">
        <x:v>-15.746149052089606</x:v>
      </x:c>
      <x:c r="BS124" s="12" t="n">
        <x:v>0.049208499999999995</x:v>
      </x:c>
    </x:row>
    <x:row r="125" ht="21" customHeight="1">
      <x:c r="A125" s="14" t="n">
        <x:v>45659.125</x:v>
      </x:c>
      <x:c r="B125" s="14" t="n">
        <x:v>45659.135416666664</x:v>
      </x:c>
      <x:c r="C125" s="14" t="n">
        <x:v>45659.208333333336</x:v>
      </x:c>
      <x:c r="D125" s="15" t="n">
        <x:v>45659</x:v>
      </x:c>
      <x:c r="E125" s="12" t="n">
        <x:v>0.25</x:v>
      </x:c>
      <x:c r="F125" s="12" t="str">
        <x:v>FORMAL</x:v>
      </x:c>
      <x:c r="G125" s="14" t="n">
        <x:v>45659.125</x:v>
      </x:c>
      <x:c r="H125" s="12" t="n">
        <x:v>52.68</x:v>
      </x:c>
      <x:c r="I125" s="12" t="str">
        <x:v>2025-01-02_5</x:v>
      </x:c>
      <x:c r="J125" s="12" t="n">
        <x:v>60</x:v>
      </x:c>
      <x:c r="K125" s="12" t="str">
        <x:v>DA_2025-01-02@4f6782768649</x:v>
      </x:c>
      <x:c r="L125" s="15" t="n">
        <x:v>45657</x:v>
      </x:c>
      <x:c r="M125" s="12" t="n">
        <x:v>4.9741</x:v>
      </x:c>
      <x:c r="N125" s="12" t="str">
        <x:v>BNR2024_BOUNDARY@c4397e7f9c31</x:v>
      </x:c>
      <x:c r="O125" s="12"/>
      <x:c r="P125" s="12"/>
      <x:c r="Q125" s="12"/>
      <x:c r="R125" s="12"/>
      <x:c r="S125" s="12" t="str">
        <x:v>OUT_OF_RESEARCH_COVERAGE_PRE_2025_06</x:v>
      </x:c>
      <x:c r="T125" s="12" t="n">
        <x:v>200</x:v>
      </x:c>
      <x:c r="U125" s="12" t="str">
        <x:v>aFRRUp_2025-01-02T03:00:00Z</x:v>
      </x:c>
      <x:c r="V125" s="12" t="str">
        <x:v>tenderStatistics_2025-01@c14c9dea784d</x:v>
      </x:c>
      <x:c r="W125" s="12" t="n">
        <x:v>13.71102309965622</x:v>
      </x:c>
      <x:c r="X125" s="12" t="str">
        <x:v>PUBLISHED_PROXY</x:v>
      </x:c>
      <x:c r="Y125" s="12" t="n">
        <x:v>200</x:v>
      </x:c>
      <x:c r="Z125" s="12" t="str">
        <x:v>aFRRDown_2025-01-02T03:00:00Z</x:v>
      </x:c>
      <x:c r="AA125" s="12" t="str">
        <x:v>tenderStatistics_2025-01@c14c9dea784d</x:v>
      </x:c>
      <x:c r="AB125" s="12" t="n">
        <x:v>14.173418306829376</x:v>
      </x:c>
      <x:c r="AC125" s="12" t="str">
        <x:v>PUBLISHED_PROXY</x:v>
      </x:c>
      <x:c r="AD125" s="12"/>
      <x:c r="AE125" s="12" t="str">
        <x:v>SOURCE_NULL_NOT_MODELED</x:v>
      </x:c>
      <x:c r="AF125" s="12"/>
      <x:c r="AG125" s="12" t="n">
        <x:v>135.55778934882693</x:v>
      </x:c>
      <x:c r="AH125" s="12" t="str">
        <x:v>PUBLISHED_PROXY</x:v>
      </x:c>
      <x:c r="AI125" s="12" t="n">
        <x:v>3.362</x:v>
      </x:c>
      <x:c r="AJ125" s="12" t="n">
        <x:v>0</x:v>
      </x:c>
      <x:c r="AK125" s="12" t="str">
        <x:v>PUBLISHED_PROXY</x:v>
      </x:c>
      <x:c r="AL125" s="12" t="n">
        <x:v>0</x:v>
      </x:c>
      <x:c r="AM125" s="12" t="str">
        <x:v>marginalPricesOverview_2025-01@5b9daf9d82d7</x:v>
      </x:c>
      <x:c r="AN125" s="12" t="str">
        <x:v>activatedBalancingEnergyOverview_2025-01@4135ac664b2a</x:v>
      </x:c>
      <x:c r="AO125" s="12" t="str">
        <x:v>PUBLISHED_NATIVE</x:v>
      </x:c>
      <x:c r="AP125" s="12" t="n">
        <x:v>0.06724</x:v>
      </x:c>
      <x:c r="AQ125" s="12" t="n">
        <x:v>0</x:v>
      </x:c>
      <x:c r="AR125" s="12" t="n">
        <x:v>0.06724</x:v>
      </x:c>
      <x:c r="AS125" s="13" t="b">
        <x:v>1</x:v>
      </x:c>
      <x:c r="AT125" s="13" t="b">
        <x:v>1</x:v>
      </x:c>
      <x:c r="AU125" s="13" t="b">
        <x:v>1</x:v>
      </x:c>
      <x:c r="AV125" s="13" t="b">
        <x:v>1</x:v>
      </x:c>
      <x:c r="AW125" s="13" t="b">
        <x:v>1</x:v>
      </x:c>
      <x:c r="AX125" s="13" t="b">
        <x:v>0</x:v>
      </x:c>
      <x:c r="AY125" s="13" t="b">
        <x:v>0</x:v>
      </x:c>
      <x:c r="AZ125" s="13" t="b">
        <x:v>1</x:v>
      </x:c>
      <x:c r="BA125" s="12" t="str">
        <x:v>OK</x:v>
      </x:c>
      <x:c r="BB125" s="12" t="str">
        <x:v>OK</x:v>
      </x:c>
      <x:c r="BC125" s="12" t="str">
        <x:v>EUR</x:v>
      </x:c>
      <x:c r="BD125" s="12" t="n">
        <x:v>108.89507043478261</x:v>
      </x:c>
      <x:c r="BE125" s="12" t="n">
        <x:v>126.3908392695652</x:v>
      </x:c>
      <x:c r="BF125" s="12" t="n">
        <x:v>-82.99999999999993</x:v>
      </x:c>
      <x:c r="BG125" s="12" t="n">
        <x:v>0</x:v>
      </x:c>
      <x:c r="BH125" s="12" t="n">
        <x:v>100</x:v>
      </x:c>
      <x:c r="BI125" s="12" t="n">
        <x:v>17</x:v>
      </x:c>
      <x:c r="BJ125" s="12" t="n">
        <x:v>1.6810000000000003</x:v>
      </x:c>
      <x:c r="BK125" s="12" t="n">
        <x:v>0</x:v>
      </x:c>
      <x:c r="BL125" s="12" t="n">
        <x:v>-1093.109999999999</x:v>
      </x:c>
      <x:c r="BM125" s="12" t="n">
        <x:v>0</x:v>
      </x:c>
      <x:c r="BN125" s="12" t="n">
        <x:v>342.7755774914055</x:v>
      </x:c>
      <x:c r="BO125" s="12" t="n">
        <x:v>60.23702780402485</x:v>
      </x:c>
      <x:c r="BP125" s="12" t="n">
        <x:v>227.8726438953781</x:v>
      </x:c>
      <x:c r="BQ125" s="12" t="n">
        <x:v>0</x:v>
      </x:c>
      <x:c r="BR125" s="12" t="n">
        <x:v>-462.22475080919054</x:v>
      </x:c>
      <x:c r="BS125" s="12" t="n">
        <x:v>0.05032502212560383</x:v>
      </x:c>
    </x:row>
    <x:row r="126" ht="21" customHeight="1">
      <x:c r="A126" s="14" t="n">
        <x:v>45659.135416666664</x:v>
      </x:c>
      <x:c r="B126" s="14" t="n">
        <x:v>45659.145833333336</x:v>
      </x:c>
      <x:c r="C126" s="14" t="n">
        <x:v>45659.21875</x:v>
      </x:c>
      <x:c r="D126" s="15" t="n">
        <x:v>45659</x:v>
      </x:c>
      <x:c r="E126" s="12" t="n">
        <x:v>0.25</x:v>
      </x:c>
      <x:c r="F126" s="12" t="str">
        <x:v>FORMAL</x:v>
      </x:c>
      <x:c r="G126" s="14" t="n">
        <x:v>45659.125</x:v>
      </x:c>
      <x:c r="H126" s="12" t="n">
        <x:v>52.68</x:v>
      </x:c>
      <x:c r="I126" s="12" t="str">
        <x:v>2025-01-02_5</x:v>
      </x:c>
      <x:c r="J126" s="12" t="n">
        <x:v>60</x:v>
      </x:c>
      <x:c r="K126" s="12" t="str">
        <x:v>DA_2025-01-02@4f6782768649</x:v>
      </x:c>
      <x:c r="L126" s="15" t="n">
        <x:v>45657</x:v>
      </x:c>
      <x:c r="M126" s="12" t="n">
        <x:v>4.9741</x:v>
      </x:c>
      <x:c r="N126" s="12" t="str">
        <x:v>BNR2024_BOUNDARY@c4397e7f9c31</x:v>
      </x:c>
      <x:c r="O126" s="12"/>
      <x:c r="P126" s="12"/>
      <x:c r="Q126" s="12"/>
      <x:c r="R126" s="12"/>
      <x:c r="S126" s="12" t="str">
        <x:v>OUT_OF_RESEARCH_COVERAGE_PRE_2025_06</x:v>
      </x:c>
      <x:c r="T126" s="12" t="n">
        <x:v>200</x:v>
      </x:c>
      <x:c r="U126" s="12" t="str">
        <x:v>aFRRUp_2025-01-02T03:00:00Z</x:v>
      </x:c>
      <x:c r="V126" s="12" t="str">
        <x:v>tenderStatistics_2025-01@c14c9dea784d</x:v>
      </x:c>
      <x:c r="W126" s="12" t="n">
        <x:v>13.71102309965622</x:v>
      </x:c>
      <x:c r="X126" s="12" t="str">
        <x:v>PUBLISHED_PROXY</x:v>
      </x:c>
      <x:c r="Y126" s="12" t="n">
        <x:v>200</x:v>
      </x:c>
      <x:c r="Z126" s="12" t="str">
        <x:v>aFRRDown_2025-01-02T03:00:00Z</x:v>
      </x:c>
      <x:c r="AA126" s="12" t="str">
        <x:v>tenderStatistics_2025-01@c14c9dea784d</x:v>
      </x:c>
      <x:c r="AB126" s="12" t="n">
        <x:v>14.173418306829376</x:v>
      </x:c>
      <x:c r="AC126" s="12" t="str">
        <x:v>PUBLISHED_PROXY</x:v>
      </x:c>
      <x:c r="AD126" s="12"/>
      <x:c r="AE126" s="12" t="str">
        <x:v>SOURCE_NULL_NOT_MODELED</x:v>
      </x:c>
      <x:c r="AF126" s="12"/>
      <x:c r="AG126" s="12" t="n">
        <x:v>134.58796566212982</x:v>
      </x:c>
      <x:c r="AH126" s="12" t="str">
        <x:v>PUBLISHED_PROXY</x:v>
      </x:c>
      <x:c r="AI126" s="12" t="n">
        <x:v>1.411</x:v>
      </x:c>
      <x:c r="AJ126" s="12" t="n">
        <x:v>58.3020043827024</x:v>
      </x:c>
      <x:c r="AK126" s="12" t="str">
        <x:v>PUBLISHED_PROXY</x:v>
      </x:c>
      <x:c r="AL126" s="12" t="n">
        <x:v>0.008</x:v>
      </x:c>
      <x:c r="AM126" s="12" t="str">
        <x:v>marginalPricesOverview_2025-01@5b9daf9d82d7</x:v>
      </x:c>
      <x:c r="AN126" s="12" t="str">
        <x:v>activatedBalancingEnergyOverview_2025-01@4135ac664b2a</x:v>
      </x:c>
      <x:c r="AO126" s="12" t="str">
        <x:v>PUBLISHED_NATIVE</x:v>
      </x:c>
      <x:c r="AP126" s="12" t="n">
        <x:v>0.02822</x:v>
      </x:c>
      <x:c r="AQ126" s="12" t="n">
        <x:v>0.00016</x:v>
      </x:c>
      <x:c r="AR126" s="12" t="n">
        <x:v>0.02838</x:v>
      </x:c>
      <x:c r="AS126" s="13" t="b">
        <x:v>1</x:v>
      </x:c>
      <x:c r="AT126" s="13" t="b">
        <x:v>1</x:v>
      </x:c>
      <x:c r="AU126" s="13" t="b">
        <x:v>1</x:v>
      </x:c>
      <x:c r="AV126" s="13" t="b">
        <x:v>1</x:v>
      </x:c>
      <x:c r="AW126" s="13" t="b">
        <x:v>1</x:v>
      </x:c>
      <x:c r="AX126" s="13" t="b">
        <x:v>0</x:v>
      </x:c>
      <x:c r="AY126" s="13" t="b">
        <x:v>0</x:v>
      </x:c>
      <x:c r="AZ126" s="13" t="b">
        <x:v>1</x:v>
      </x:c>
      <x:c r="BA126" s="12" t="str">
        <x:v>OK</x:v>
      </x:c>
      <x:c r="BB126" s="12" t="str">
        <x:v>OK</x:v>
      </x:c>
      <x:c r="BC126" s="12" t="str">
        <x:v>EUR</x:v>
      </x:c>
      <x:c r="BD126" s="12" t="n">
        <x:v>126.3908392695652</x:v>
      </x:c>
      <x:c r="BE126" s="12" t="n">
        <x:v>144.8123809391304</x:v>
      </x:c>
      <x:c r="BF126" s="12" t="n">
        <x:v>-82.99999999999993</x:v>
      </x:c>
      <x:c r="BG126" s="12" t="n">
        <x:v>0</x:v>
      </x:c>
      <x:c r="BH126" s="12" t="n">
        <x:v>100</x:v>
      </x:c>
      <x:c r="BI126" s="12" t="n">
        <x:v>17</x:v>
      </x:c>
      <x:c r="BJ126" s="12" t="n">
        <x:v>0.7055</x:v>
      </x:c>
      <x:c r="BK126" s="12" t="n">
        <x:v>0.00068</x:v>
      </x:c>
      <x:c r="BL126" s="12" t="n">
        <x:v>-1093.109999999999</x:v>
      </x:c>
      <x:c r="BM126" s="12" t="n">
        <x:v>0</x:v>
      </x:c>
      <x:c r="BN126" s="12" t="n">
        <x:v>342.7755774914055</x:v>
      </x:c>
      <x:c r="BO126" s="12" t="n">
        <x:v>60.23702780402485</x:v>
      </x:c>
      <x:c r="BP126" s="12" t="n">
        <x:v>94.9518097746326</x:v>
      </x:c>
      <x:c r="BQ126" s="12" t="n">
        <x:v>-0.03964536298023764</x:v>
      </x:c>
      <x:c r="BR126" s="12" t="n">
        <x:v>-595.1852302929162</x:v>
      </x:c>
      <x:c r="BS126" s="12" t="n">
        <x:v>0.051895194251207685</x:v>
      </x:c>
    </x:row>
    <x:row r="127" ht="21" customHeight="1">
      <x:c r="A127" s="14" t="n">
        <x:v>45659.145833333336</x:v>
      </x:c>
      <x:c r="B127" s="14" t="n">
        <x:v>45659.15625</x:v>
      </x:c>
      <x:c r="C127" s="14" t="n">
        <x:v>45659.229166666664</x:v>
      </x:c>
      <x:c r="D127" s="15" t="n">
        <x:v>45659</x:v>
      </x:c>
      <x:c r="E127" s="12" t="n">
        <x:v>0.25</x:v>
      </x:c>
      <x:c r="F127" s="12" t="str">
        <x:v>FORMAL</x:v>
      </x:c>
      <x:c r="G127" s="14" t="n">
        <x:v>45659.125</x:v>
      </x:c>
      <x:c r="H127" s="12" t="n">
        <x:v>52.68</x:v>
      </x:c>
      <x:c r="I127" s="12" t="str">
        <x:v>2025-01-02_5</x:v>
      </x:c>
      <x:c r="J127" s="12" t="n">
        <x:v>60</x:v>
      </x:c>
      <x:c r="K127" s="12" t="str">
        <x:v>DA_2025-01-02@4f6782768649</x:v>
      </x:c>
      <x:c r="L127" s="15" t="n">
        <x:v>45657</x:v>
      </x:c>
      <x:c r="M127" s="12" t="n">
        <x:v>4.9741</x:v>
      </x:c>
      <x:c r="N127" s="12" t="str">
        <x:v>BNR2024_BOUNDARY@c4397e7f9c31</x:v>
      </x:c>
      <x:c r="O127" s="12"/>
      <x:c r="P127" s="12"/>
      <x:c r="Q127" s="12"/>
      <x:c r="R127" s="12"/>
      <x:c r="S127" s="12" t="str">
        <x:v>OUT_OF_RESEARCH_COVERAGE_PRE_2025_06</x:v>
      </x:c>
      <x:c r="T127" s="12" t="n">
        <x:v>200</x:v>
      </x:c>
      <x:c r="U127" s="12" t="str">
        <x:v>aFRRUp_2025-01-02T03:00:00Z</x:v>
      </x:c>
      <x:c r="V127" s="12" t="str">
        <x:v>tenderStatistics_2025-01@c14c9dea784d</x:v>
      </x:c>
      <x:c r="W127" s="12" t="n">
        <x:v>13.71102309965622</x:v>
      </x:c>
      <x:c r="X127" s="12" t="str">
        <x:v>PUBLISHED_PROXY</x:v>
      </x:c>
      <x:c r="Y127" s="12" t="n">
        <x:v>200</x:v>
      </x:c>
      <x:c r="Z127" s="12" t="str">
        <x:v>aFRRDown_2025-01-02T03:00:00Z</x:v>
      </x:c>
      <x:c r="AA127" s="12" t="str">
        <x:v>tenderStatistics_2025-01@c14c9dea784d</x:v>
      </x:c>
      <x:c r="AB127" s="12" t="n">
        <x:v>14.173418306829376</x:v>
      </x:c>
      <x:c r="AC127" s="12" t="str">
        <x:v>PUBLISHED_PROXY</x:v>
      </x:c>
      <x:c r="AD127" s="12"/>
      <x:c r="AE127" s="12" t="str">
        <x:v>SOURCE_NULL_NOT_MODELED</x:v>
      </x:c>
      <x:c r="AF127" s="12"/>
      <x:c r="AG127" s="12" t="n">
        <x:v>136.70814820771596</x:v>
      </x:c>
      <x:c r="AH127" s="12" t="str">
        <x:v>PUBLISHED_PROXY</x:v>
      </x:c>
      <x:c r="AI127" s="12" t="n">
        <x:v>2.091</x:v>
      </x:c>
      <x:c r="AJ127" s="12" t="n">
        <x:v>0</x:v>
      </x:c>
      <x:c r="AK127" s="12" t="str">
        <x:v>PUBLISHED_PROXY</x:v>
      </x:c>
      <x:c r="AL127" s="12" t="n">
        <x:v>0</x:v>
      </x:c>
      <x:c r="AM127" s="12" t="str">
        <x:v>marginalPricesOverview_2025-01@5b9daf9d82d7</x:v>
      </x:c>
      <x:c r="AN127" s="12" t="str">
        <x:v>activatedBalancingEnergyOverview_2025-01@4135ac664b2a</x:v>
      </x:c>
      <x:c r="AO127" s="12" t="str">
        <x:v>PUBLISHED_NATIVE</x:v>
      </x:c>
      <x:c r="AP127" s="12" t="n">
        <x:v>0.04182</x:v>
      </x:c>
      <x:c r="AQ127" s="12" t="n">
        <x:v>0</x:v>
      </x:c>
      <x:c r="AR127" s="12" t="n">
        <x:v>0.04182</x:v>
      </x:c>
      <x:c r="AS127" s="13" t="b">
        <x:v>1</x:v>
      </x:c>
      <x:c r="AT127" s="13" t="b">
        <x:v>1</x:v>
      </x:c>
      <x:c r="AU127" s="13" t="b">
        <x:v>1</x:v>
      </x:c>
      <x:c r="AV127" s="13" t="b">
        <x:v>1</x:v>
      </x:c>
      <x:c r="AW127" s="13" t="b">
        <x:v>1</x:v>
      </x:c>
      <x:c r="AX127" s="13" t="b">
        <x:v>0</x:v>
      </x:c>
      <x:c r="AY127" s="13" t="b">
        <x:v>0</x:v>
      </x:c>
      <x:c r="AZ127" s="13" t="b">
        <x:v>1</x:v>
      </x:c>
      <x:c r="BA127" s="12" t="str">
        <x:v>OK</x:v>
      </x:c>
      <x:c r="BB127" s="12" t="str">
        <x:v>OK</x:v>
      </x:c>
      <x:c r="BC127" s="12" t="str">
        <x:v>EUR</x:v>
      </x:c>
      <x:c r="BD127" s="12" t="n">
        <x:v>144.8123809391304</x:v>
      </x:c>
      <x:c r="BE127" s="12" t="n">
        <x:v>162.91084692173908</x:v>
      </x:c>
      <x:c r="BF127" s="12" t="n">
        <x:v>-82.99999999999993</x:v>
      </x:c>
      <x:c r="BG127" s="12" t="n">
        <x:v>0</x:v>
      </x:c>
      <x:c r="BH127" s="12" t="n">
        <x:v>100</x:v>
      </x:c>
      <x:c r="BI127" s="12" t="n">
        <x:v>17</x:v>
      </x:c>
      <x:c r="BJ127" s="12" t="n">
        <x:v>1.0455</x:v>
      </x:c>
      <x:c r="BK127" s="12" t="n">
        <x:v>0</x:v>
      </x:c>
      <x:c r="BL127" s="12" t="n">
        <x:v>-1093.109999999999</x:v>
      </x:c>
      <x:c r="BM127" s="12" t="n">
        <x:v>0</x:v>
      </x:c>
      <x:c r="BN127" s="12" t="n">
        <x:v>342.7755774914055</x:v>
      </x:c>
      <x:c r="BO127" s="12" t="n">
        <x:v>60.23702780402485</x:v>
      </x:c>
      <x:c r="BP127" s="12" t="n">
        <x:v>142.92836895116704</x:v>
      </x:c>
      <x:c r="BQ127" s="12" t="n">
        <x:v>0</x:v>
      </x:c>
      <x:c r="BR127" s="12" t="n">
        <x:v>-547.1690257534016</x:v>
      </x:c>
      <x:c r="BS127" s="12" t="n">
        <x:v>0.051346795603864695</x:v>
      </x:c>
    </x:row>
    <x:row r="128" ht="21" customHeight="1">
      <x:c r="A128" s="14" t="n">
        <x:v>45659.15625</x:v>
      </x:c>
      <x:c r="B128" s="14" t="n">
        <x:v>45659.166666666664</x:v>
      </x:c>
      <x:c r="C128" s="14" t="n">
        <x:v>45659.239583333336</x:v>
      </x:c>
      <x:c r="D128" s="15" t="n">
        <x:v>45659</x:v>
      </x:c>
      <x:c r="E128" s="12" t="n">
        <x:v>0.25</x:v>
      </x:c>
      <x:c r="F128" s="12" t="str">
        <x:v>FORMAL</x:v>
      </x:c>
      <x:c r="G128" s="14" t="n">
        <x:v>45659.125</x:v>
      </x:c>
      <x:c r="H128" s="12" t="n">
        <x:v>52.68</x:v>
      </x:c>
      <x:c r="I128" s="12" t="str">
        <x:v>2025-01-02_5</x:v>
      </x:c>
      <x:c r="J128" s="12" t="n">
        <x:v>60</x:v>
      </x:c>
      <x:c r="K128" s="12" t="str">
        <x:v>DA_2025-01-02@4f6782768649</x:v>
      </x:c>
      <x:c r="L128" s="15" t="n">
        <x:v>45657</x:v>
      </x:c>
      <x:c r="M128" s="12" t="n">
        <x:v>4.9741</x:v>
      </x:c>
      <x:c r="N128" s="12" t="str">
        <x:v>BNR2024_BOUNDARY@c4397e7f9c31</x:v>
      </x:c>
      <x:c r="O128" s="12"/>
      <x:c r="P128" s="12"/>
      <x:c r="Q128" s="12"/>
      <x:c r="R128" s="12"/>
      <x:c r="S128" s="12" t="str">
        <x:v>OUT_OF_RESEARCH_COVERAGE_PRE_2025_06</x:v>
      </x:c>
      <x:c r="T128" s="12" t="n">
        <x:v>200</x:v>
      </x:c>
      <x:c r="U128" s="12" t="str">
        <x:v>aFRRUp_2025-01-02T03:00:00Z</x:v>
      </x:c>
      <x:c r="V128" s="12" t="str">
        <x:v>tenderStatistics_2025-01@c14c9dea784d</x:v>
      </x:c>
      <x:c r="W128" s="12" t="n">
        <x:v>13.71102309965622</x:v>
      </x:c>
      <x:c r="X128" s="12" t="str">
        <x:v>PUBLISHED_PROXY</x:v>
      </x:c>
      <x:c r="Y128" s="12" t="n">
        <x:v>200</x:v>
      </x:c>
      <x:c r="Z128" s="12" t="str">
        <x:v>aFRRDown_2025-01-02T03:00:00Z</x:v>
      </x:c>
      <x:c r="AA128" s="12" t="str">
        <x:v>tenderStatistics_2025-01@c14c9dea784d</x:v>
      </x:c>
      <x:c r="AB128" s="12" t="n">
        <x:v>14.173418306829376</x:v>
      </x:c>
      <x:c r="AC128" s="12" t="str">
        <x:v>PUBLISHED_PROXY</x:v>
      </x:c>
      <x:c r="AD128" s="12"/>
      <x:c r="AE128" s="12" t="str">
        <x:v>SOURCE_NULL_NOT_MODELED</x:v>
      </x:c>
      <x:c r="AF128" s="12"/>
      <x:c r="AG128" s="12" t="n">
        <x:v>132.66982971793894</x:v>
      </x:c>
      <x:c r="AH128" s="12" t="str">
        <x:v>PUBLISHED_PROXY</x:v>
      </x:c>
      <x:c r="AI128" s="12" t="n">
        <x:v>2.734</x:v>
      </x:c>
      <x:c r="AJ128" s="12" t="n">
        <x:v>37.93108300999176</x:v>
      </x:c>
      <x:c r="AK128" s="12" t="str">
        <x:v>PUBLISHED_PROXY</x:v>
      </x:c>
      <x:c r="AL128" s="12" t="n">
        <x:v>0.153</x:v>
      </x:c>
      <x:c r="AM128" s="12" t="str">
        <x:v>marginalPricesOverview_2025-01@5b9daf9d82d7</x:v>
      </x:c>
      <x:c r="AN128" s="12" t="str">
        <x:v>activatedBalancingEnergyOverview_2025-01@4135ac664b2a</x:v>
      </x:c>
      <x:c r="AO128" s="12" t="str">
        <x:v>PUBLISHED_NATIVE</x:v>
      </x:c>
      <x:c r="AP128" s="12" t="n">
        <x:v>0.05468</x:v>
      </x:c>
      <x:c r="AQ128" s="12" t="n">
        <x:v>0.00306</x:v>
      </x:c>
      <x:c r="AR128" s="12" t="n">
        <x:v>0.05774</x:v>
      </x:c>
      <x:c r="AS128" s="13" t="b">
        <x:v>1</x:v>
      </x:c>
      <x:c r="AT128" s="13" t="b">
        <x:v>1</x:v>
      </x:c>
      <x:c r="AU128" s="13" t="b">
        <x:v>1</x:v>
      </x:c>
      <x:c r="AV128" s="13" t="b">
        <x:v>1</x:v>
      </x:c>
      <x:c r="AW128" s="13" t="b">
        <x:v>1</x:v>
      </x:c>
      <x:c r="AX128" s="13" t="b">
        <x:v>0</x:v>
      </x:c>
      <x:c r="AY128" s="13" t="b">
        <x:v>0</x:v>
      </x:c>
      <x:c r="AZ128" s="13" t="b">
        <x:v>1</x:v>
      </x:c>
      <x:c r="BA128" s="12" t="str">
        <x:v>OK</x:v>
      </x:c>
      <x:c r="BB128" s="12" t="str">
        <x:v>OK</x:v>
      </x:c>
      <x:c r="BC128" s="12" t="str">
        <x:v>EUR</x:v>
      </x:c>
      <x:c r="BD128" s="12" t="n">
        <x:v>162.91084692173908</x:v>
      </x:c>
      <x:c r="BE128" s="12" t="n">
        <x:v>180.71637249565208</x:v>
      </x:c>
      <x:c r="BF128" s="12" t="n">
        <x:v>-82.99999999999993</x:v>
      </x:c>
      <x:c r="BG128" s="12" t="n">
        <x:v>0</x:v>
      </x:c>
      <x:c r="BH128" s="12" t="n">
        <x:v>100</x:v>
      </x:c>
      <x:c r="BI128" s="12" t="n">
        <x:v>17</x:v>
      </x:c>
      <x:c r="BJ128" s="12" t="n">
        <x:v>1.367</x:v>
      </x:c>
      <x:c r="BK128" s="12" t="n">
        <x:v>0.013005</x:v>
      </x:c>
      <x:c r="BL128" s="12" t="n">
        <x:v>-1093.109999999999</x:v>
      </x:c>
      <x:c r="BM128" s="12" t="n">
        <x:v>0</x:v>
      </x:c>
      <x:c r="BN128" s="12" t="n">
        <x:v>342.7755774914055</x:v>
      </x:c>
      <x:c r="BO128" s="12" t="n">
        <x:v>60.23702780402485</x:v>
      </x:c>
      <x:c r="BP128" s="12" t="n">
        <x:v>181.35965722442253</x:v>
      </x:c>
      <x:c r="BQ128" s="12" t="n">
        <x:v>-0.4932937345449428</x:v>
      </x:c>
      <x:c r="BR128" s="12" t="n">
        <x:v>-509.23103121469103</x:v>
      </x:c>
      <x:c r="BS128" s="12" t="n">
        <x:v>0.05086311451690817</x:v>
      </x:c>
    </x:row>
    <x:row r="129" ht="21" customHeight="1">
      <x:c r="A129" s="14" t="n">
        <x:v>45659.166666666664</x:v>
      </x:c>
      <x:c r="B129" s="14" t="n">
        <x:v>45659.177083333336</x:v>
      </x:c>
      <x:c r="C129" s="14" t="n">
        <x:v>45659.25</x:v>
      </x:c>
      <x:c r="D129" s="15" t="n">
        <x:v>45659</x:v>
      </x:c>
      <x:c r="E129" s="12" t="n">
        <x:v>0.25</x:v>
      </x:c>
      <x:c r="F129" s="12" t="str">
        <x:v>FORMAL</x:v>
      </x:c>
      <x:c r="G129" s="14" t="n">
        <x:v>45659.166666666664</x:v>
      </x:c>
      <x:c r="H129" s="12" t="n">
        <x:v>72.84</x:v>
      </x:c>
      <x:c r="I129" s="12" t="str">
        <x:v>2025-01-02_6</x:v>
      </x:c>
      <x:c r="J129" s="12" t="n">
        <x:v>60</x:v>
      </x:c>
      <x:c r="K129" s="12" t="str">
        <x:v>DA_2025-01-02@4f6782768649</x:v>
      </x:c>
      <x:c r="L129" s="15" t="n">
        <x:v>45657</x:v>
      </x:c>
      <x:c r="M129" s="12" t="n">
        <x:v>4.9741</x:v>
      </x:c>
      <x:c r="N129" s="12" t="str">
        <x:v>BNR2024_BOUNDARY@c4397e7f9c31</x:v>
      </x:c>
      <x:c r="O129" s="12"/>
      <x:c r="P129" s="12"/>
      <x:c r="Q129" s="12"/>
      <x:c r="R129" s="12"/>
      <x:c r="S129" s="12" t="str">
        <x:v>OUT_OF_RESEARCH_COVERAGE_PRE_2025_06</x:v>
      </x:c>
      <x:c r="T129" s="12" t="n">
        <x:v>193</x:v>
      </x:c>
      <x:c r="U129" s="12" t="str">
        <x:v>aFRRUp_2025-01-02T04:00:00Z</x:v>
      </x:c>
      <x:c r="V129" s="12" t="str">
        <x:v>tenderStatistics_2025-01@c14c9dea784d</x:v>
      </x:c>
      <x:c r="W129" s="12" t="n">
        <x:v>13.831647936310086</x:v>
      </x:c>
      <x:c r="X129" s="12" t="str">
        <x:v>PUBLISHED_PROXY</x:v>
      </x:c>
      <x:c r="Y129" s="12" t="n">
        <x:v>200</x:v>
      </x:c>
      <x:c r="Z129" s="12" t="str">
        <x:v>aFRRDown_2025-01-02T04:00:00Z</x:v>
      </x:c>
      <x:c r="AA129" s="12" t="str">
        <x:v>tenderStatistics_2025-01@c14c9dea784d</x:v>
      </x:c>
      <x:c r="AB129" s="12" t="n">
        <x:v>14.710198829939085</x:v>
      </x:c>
      <x:c r="AC129" s="12" t="str">
        <x:v>PUBLISHED_PROXY</x:v>
      </x:c>
      <x:c r="AD129" s="12"/>
      <x:c r="AE129" s="12" t="str">
        <x:v>SOURCE_NULL_NOT_MODELED</x:v>
      </x:c>
      <x:c r="AF129" s="12"/>
      <x:c r="AG129" s="12" t="n">
        <x:v>0</x:v>
      </x:c>
      <x:c r="AH129" s="12" t="str">
        <x:v>PUBLISHED_PROXY</x:v>
      </x:c>
      <x:c r="AI129" s="12" t="n">
        <x:v>0</x:v>
      </x:c>
      <x:c r="AJ129" s="12" t="n">
        <x:v>20.596288775858948</x:v>
      </x:c>
      <x:c r="AK129" s="12" t="str">
        <x:v>PUBLISHED_PROXY</x:v>
      </x:c>
      <x:c r="AL129" s="12" t="n">
        <x:v>8.924</x:v>
      </x:c>
      <x:c r="AM129" s="12" t="str">
        <x:v>marginalPricesOverview_2025-01@5b9daf9d82d7</x:v>
      </x:c>
      <x:c r="AN129" s="12" t="str">
        <x:v>activatedBalancingEnergyOverview_2025-01@4135ac664b2a</x:v>
      </x:c>
      <x:c r="AO129" s="12" t="str">
        <x:v>PUBLISHED_NATIVE</x:v>
      </x:c>
      <x:c r="AP129" s="12" t="n">
        <x:v>0</x:v>
      </x:c>
      <x:c r="AQ129" s="12" t="n">
        <x:v>0.17848</x:v>
      </x:c>
      <x:c r="AR129" s="12" t="n">
        <x:v>0.17848</x:v>
      </x:c>
      <x:c r="AS129" s="13" t="b">
        <x:v>1</x:v>
      </x:c>
      <x:c r="AT129" s="13" t="b">
        <x:v>1</x:v>
      </x:c>
      <x:c r="AU129" s="13" t="b">
        <x:v>1</x:v>
      </x:c>
      <x:c r="AV129" s="13" t="b">
        <x:v>1</x:v>
      </x:c>
      <x:c r="AW129" s="13" t="b">
        <x:v>1</x:v>
      </x:c>
      <x:c r="AX129" s="13" t="b">
        <x:v>0</x:v>
      </x:c>
      <x:c r="AY129" s="13" t="b">
        <x:v>0</x:v>
      </x:c>
      <x:c r="AZ129" s="13" t="b">
        <x:v>1</x:v>
      </x:c>
      <x:c r="BA129" s="12" t="str">
        <x:v>OK</x:v>
      </x:c>
      <x:c r="BB129" s="12" t="str">
        <x:v>OK</x:v>
      </x:c>
      <x:c r="BC129" s="12" t="str">
        <x:v>EUR</x:v>
      </x:c>
      <x:c r="BD129" s="12" t="n">
        <x:v>180.71637249565208</x:v>
      </x:c>
      <x:c r="BE129" s="12" t="n">
        <x:v>184.82141249565208</x:v>
      </x:c>
      <x:c r="BF129" s="12" t="n">
        <x:v>0</x:v>
      </x:c>
      <x:c r="BG129" s="12" t="n">
        <x:v>0</x:v>
      </x:c>
      <x:c r="BH129" s="12" t="n">
        <x:v>100</x:v>
      </x:c>
      <x:c r="BI129" s="12" t="n">
        <x:v>100</x:v>
      </x:c>
      <x:c r="BJ129" s="12" t="n">
        <x:v>0</x:v>
      </x:c>
      <x:c r="BK129" s="12" t="n">
        <x:v>4.462</x:v>
      </x:c>
      <x:c r="BL129" s="12" t="n">
        <x:v>0</x:v>
      </x:c>
      <x:c r="BM129" s="12" t="n">
        <x:v>0</x:v>
      </x:c>
      <x:c r="BN129" s="12" t="n">
        <x:v>345.7911984077521</x:v>
      </x:c>
      <x:c r="BO129" s="12" t="n">
        <x:v>367.7549707484771</x:v>
      </x:c>
      <x:c r="BP129" s="12" t="n">
        <x:v>0</x:v>
      </x:c>
      <x:c r="BQ129" s="12" t="n">
        <x:v>-91.90064051788262</x:v>
      </x:c>
      <x:c r="BR129" s="12" t="n">
        <x:v>621.6455286383466</x:v>
      </x:c>
      <x:c r="BS129" s="12" t="n">
        <x:v>0.011402888888888888</x:v>
      </x:c>
    </x:row>
    <x:row r="130" ht="21" customHeight="1">
      <x:c r="A130" s="14" t="n">
        <x:v>45659.177083333336</x:v>
      </x:c>
      <x:c r="B130" s="14" t="n">
        <x:v>45659.1875</x:v>
      </x:c>
      <x:c r="C130" s="14" t="n">
        <x:v>45659.260416666664</x:v>
      </x:c>
      <x:c r="D130" s="15" t="n">
        <x:v>45659</x:v>
      </x:c>
      <x:c r="E130" s="12" t="n">
        <x:v>0.25</x:v>
      </x:c>
      <x:c r="F130" s="12" t="str">
        <x:v>FORMAL</x:v>
      </x:c>
      <x:c r="G130" s="14" t="n">
        <x:v>45659.166666666664</x:v>
      </x:c>
      <x:c r="H130" s="12" t="n">
        <x:v>72.84</x:v>
      </x:c>
      <x:c r="I130" s="12" t="str">
        <x:v>2025-01-02_6</x:v>
      </x:c>
      <x:c r="J130" s="12" t="n">
        <x:v>60</x:v>
      </x:c>
      <x:c r="K130" s="12" t="str">
        <x:v>DA_2025-01-02@4f6782768649</x:v>
      </x:c>
      <x:c r="L130" s="15" t="n">
        <x:v>45657</x:v>
      </x:c>
      <x:c r="M130" s="12" t="n">
        <x:v>4.9741</x:v>
      </x:c>
      <x:c r="N130" s="12" t="str">
        <x:v>BNR2024_BOUNDARY@c4397e7f9c31</x:v>
      </x:c>
      <x:c r="O130" s="12"/>
      <x:c r="P130" s="12"/>
      <x:c r="Q130" s="12"/>
      <x:c r="R130" s="12"/>
      <x:c r="S130" s="12" t="str">
        <x:v>OUT_OF_RESEARCH_COVERAGE_PRE_2025_06</x:v>
      </x:c>
      <x:c r="T130" s="12" t="n">
        <x:v>193</x:v>
      </x:c>
      <x:c r="U130" s="12" t="str">
        <x:v>aFRRUp_2025-01-02T04:00:00Z</x:v>
      </x:c>
      <x:c r="V130" s="12" t="str">
        <x:v>tenderStatistics_2025-01@c14c9dea784d</x:v>
      </x:c>
      <x:c r="W130" s="12" t="n">
        <x:v>13.831647936310086</x:v>
      </x:c>
      <x:c r="X130" s="12" t="str">
        <x:v>PUBLISHED_PROXY</x:v>
      </x:c>
      <x:c r="Y130" s="12" t="n">
        <x:v>200</x:v>
      </x:c>
      <x:c r="Z130" s="12" t="str">
        <x:v>aFRRDown_2025-01-02T04:00:00Z</x:v>
      </x:c>
      <x:c r="AA130" s="12" t="str">
        <x:v>tenderStatistics_2025-01@c14c9dea784d</x:v>
      </x:c>
      <x:c r="AB130" s="12" t="n">
        <x:v>14.710198829939085</x:v>
      </x:c>
      <x:c r="AC130" s="12" t="str">
        <x:v>PUBLISHED_PROXY</x:v>
      </x:c>
      <x:c r="AD130" s="12"/>
      <x:c r="AE130" s="12" t="str">
        <x:v>SOURCE_NULL_NOT_MODELED</x:v>
      </x:c>
      <x:c r="AF130" s="12"/>
      <x:c r="AG130" s="12" t="n">
        <x:v>0</x:v>
      </x:c>
      <x:c r="AH130" s="12" t="str">
        <x:v>PUBLISHED_PROXY</x:v>
      </x:c>
      <x:c r="AI130" s="12" t="n">
        <x:v>0</x:v>
      </x:c>
      <x:c r="AJ130" s="12" t="n">
        <x:v>16.782734565046944</x:v>
      </x:c>
      <x:c r="AK130" s="12" t="str">
        <x:v>PUBLISHED_PROXY</x:v>
      </x:c>
      <x:c r="AL130" s="12" t="n">
        <x:v>9.842</x:v>
      </x:c>
      <x:c r="AM130" s="12" t="str">
        <x:v>marginalPricesOverview_2025-01@5b9daf9d82d7</x:v>
      </x:c>
      <x:c r="AN130" s="12" t="str">
        <x:v>activatedBalancingEnergyOverview_2025-01@4135ac664b2a</x:v>
      </x:c>
      <x:c r="AO130" s="12" t="str">
        <x:v>PUBLISHED_NATIVE</x:v>
      </x:c>
      <x:c r="AP130" s="12" t="n">
        <x:v>0</x:v>
      </x:c>
      <x:c r="AQ130" s="12" t="n">
        <x:v>0.19684</x:v>
      </x:c>
      <x:c r="AR130" s="12" t="n">
        <x:v>0.19684</x:v>
      </x:c>
      <x:c r="AS130" s="13" t="b">
        <x:v>1</x:v>
      </x:c>
      <x:c r="AT130" s="13" t="b">
        <x:v>1</x:v>
      </x:c>
      <x:c r="AU130" s="13" t="b">
        <x:v>1</x:v>
      </x:c>
      <x:c r="AV130" s="13" t="b">
        <x:v>1</x:v>
      </x:c>
      <x:c r="AW130" s="13" t="b">
        <x:v>1</x:v>
      </x:c>
      <x:c r="AX130" s="13" t="b">
        <x:v>0</x:v>
      </x:c>
      <x:c r="AY130" s="13" t="b">
        <x:v>0</x:v>
      </x:c>
      <x:c r="AZ130" s="13" t="b">
        <x:v>1</x:v>
      </x:c>
      <x:c r="BA130" s="12" t="str">
        <x:v>OK</x:v>
      </x:c>
      <x:c r="BB130" s="12" t="str">
        <x:v>OK</x:v>
      </x:c>
      <x:c r="BC130" s="12" t="str">
        <x:v>EUR</x:v>
      </x:c>
      <x:c r="BD130" s="12" t="n">
        <x:v>184.82141249565208</x:v>
      </x:c>
      <x:c r="BE130" s="12" t="n">
        <x:v>189.3487324956521</x:v>
      </x:c>
      <x:c r="BF130" s="12" t="n">
        <x:v>0</x:v>
      </x:c>
      <x:c r="BG130" s="12" t="n">
        <x:v>0</x:v>
      </x:c>
      <x:c r="BH130" s="12" t="n">
        <x:v>100</x:v>
      </x:c>
      <x:c r="BI130" s="12" t="n">
        <x:v>100</x:v>
      </x:c>
      <x:c r="BJ130" s="12" t="n">
        <x:v>0</x:v>
      </x:c>
      <x:c r="BK130" s="12" t="n">
        <x:v>4.921</x:v>
      </x:c>
      <x:c r="BL130" s="12" t="n">
        <x:v>0</x:v>
      </x:c>
      <x:c r="BM130" s="12" t="n">
        <x:v>0</x:v>
      </x:c>
      <x:c r="BN130" s="12" t="n">
        <x:v>345.7911984077521</x:v>
      </x:c>
      <x:c r="BO130" s="12" t="n">
        <x:v>367.7549707484771</x:v>
      </x:c>
      <x:c r="BP130" s="12" t="n">
        <x:v>0</x:v>
      </x:c>
      <x:c r="BQ130" s="12" t="n">
        <x:v>-82.58783679459602</x:v>
      </x:c>
      <x:c r="BR130" s="12" t="n">
        <x:v>630.9583323616332</x:v>
      </x:c>
      <x:c r="BS130" s="12" t="n">
        <x:v>0.01257588888888889</x:v>
      </x:c>
    </x:row>
    <x:row r="131" ht="21" customHeight="1">
      <x:c r="A131" s="14" t="n">
        <x:v>45659.1875</x:v>
      </x:c>
      <x:c r="B131" s="14" t="n">
        <x:v>45659.197916666664</x:v>
      </x:c>
      <x:c r="C131" s="14" t="n">
        <x:v>45659.270833333336</x:v>
      </x:c>
      <x:c r="D131" s="15" t="n">
        <x:v>45659</x:v>
      </x:c>
      <x:c r="E131" s="12" t="n">
        <x:v>0.25</x:v>
      </x:c>
      <x:c r="F131" s="12" t="str">
        <x:v>FORMAL</x:v>
      </x:c>
      <x:c r="G131" s="14" t="n">
        <x:v>45659.166666666664</x:v>
      </x:c>
      <x:c r="H131" s="12" t="n">
        <x:v>72.84</x:v>
      </x:c>
      <x:c r="I131" s="12" t="str">
        <x:v>2025-01-02_6</x:v>
      </x:c>
      <x:c r="J131" s="12" t="n">
        <x:v>60</x:v>
      </x:c>
      <x:c r="K131" s="12" t="str">
        <x:v>DA_2025-01-02@4f6782768649</x:v>
      </x:c>
      <x:c r="L131" s="15" t="n">
        <x:v>45657</x:v>
      </x:c>
      <x:c r="M131" s="12" t="n">
        <x:v>4.9741</x:v>
      </x:c>
      <x:c r="N131" s="12" t="str">
        <x:v>BNR2024_BOUNDARY@c4397e7f9c31</x:v>
      </x:c>
      <x:c r="O131" s="12"/>
      <x:c r="P131" s="12"/>
      <x:c r="Q131" s="12"/>
      <x:c r="R131" s="12"/>
      <x:c r="S131" s="12" t="str">
        <x:v>OUT_OF_RESEARCH_COVERAGE_PRE_2025_06</x:v>
      </x:c>
      <x:c r="T131" s="12" t="n">
        <x:v>193</x:v>
      </x:c>
      <x:c r="U131" s="12" t="str">
        <x:v>aFRRUp_2025-01-02T04:00:00Z</x:v>
      </x:c>
      <x:c r="V131" s="12" t="str">
        <x:v>tenderStatistics_2025-01@c14c9dea784d</x:v>
      </x:c>
      <x:c r="W131" s="12" t="n">
        <x:v>13.831647936310086</x:v>
      </x:c>
      <x:c r="X131" s="12" t="str">
        <x:v>PUBLISHED_PROXY</x:v>
      </x:c>
      <x:c r="Y131" s="12" t="n">
        <x:v>200</x:v>
      </x:c>
      <x:c r="Z131" s="12" t="str">
        <x:v>aFRRDown_2025-01-02T04:00:00Z</x:v>
      </x:c>
      <x:c r="AA131" s="12" t="str">
        <x:v>tenderStatistics_2025-01@c14c9dea784d</x:v>
      </x:c>
      <x:c r="AB131" s="12" t="n">
        <x:v>14.710198829939085</x:v>
      </x:c>
      <x:c r="AC131" s="12" t="str">
        <x:v>PUBLISHED_PROXY</x:v>
      </x:c>
      <x:c r="AD131" s="12"/>
      <x:c r="AE131" s="12" t="str">
        <x:v>SOURCE_NULL_NOT_MODELED</x:v>
      </x:c>
      <x:c r="AF131" s="12"/>
      <x:c r="AG131" s="12" t="n">
        <x:v>0</x:v>
      </x:c>
      <x:c r="AH131" s="12" t="str">
        <x:v>PUBLISHED_PROXY</x:v>
      </x:c>
      <x:c r="AI131" s="12" t="n">
        <x:v>0</x:v>
      </x:c>
      <x:c r="AJ131" s="12" t="n">
        <x:v>31.880943286222635</x:v>
      </x:c>
      <x:c r="AK131" s="12" t="str">
        <x:v>PUBLISHED_PROXY</x:v>
      </x:c>
      <x:c r="AL131" s="12" t="n">
        <x:v>1.177</x:v>
      </x:c>
      <x:c r="AM131" s="12" t="str">
        <x:v>marginalPricesOverview_2025-01@5b9daf9d82d7</x:v>
      </x:c>
      <x:c r="AN131" s="12" t="str">
        <x:v>activatedBalancingEnergyOverview_2025-01@4135ac664b2a</x:v>
      </x:c>
      <x:c r="AO131" s="12" t="str">
        <x:v>PUBLISHED_NATIVE</x:v>
      </x:c>
      <x:c r="AP131" s="12" t="n">
        <x:v>0</x:v>
      </x:c>
      <x:c r="AQ131" s="12" t="n">
        <x:v>0.02354</x:v>
      </x:c>
      <x:c r="AR131" s="12" t="n">
        <x:v>0.02354</x:v>
      </x:c>
      <x:c r="AS131" s="13" t="b">
        <x:v>1</x:v>
      </x:c>
      <x:c r="AT131" s="13" t="b">
        <x:v>1</x:v>
      </x:c>
      <x:c r="AU131" s="13" t="b">
        <x:v>1</x:v>
      </x:c>
      <x:c r="AV131" s="13" t="b">
        <x:v>1</x:v>
      </x:c>
      <x:c r="AW131" s="13" t="b">
        <x:v>1</x:v>
      </x:c>
      <x:c r="AX131" s="13" t="b">
        <x:v>0</x:v>
      </x:c>
      <x:c r="AY131" s="13" t="b">
        <x:v>0</x:v>
      </x:c>
      <x:c r="AZ131" s="13" t="b">
        <x:v>1</x:v>
      </x:c>
      <x:c r="BA131" s="12" t="str">
        <x:v>OK</x:v>
      </x:c>
      <x:c r="BB131" s="12" t="str">
        <x:v>OK</x:v>
      </x:c>
      <x:c r="BC131" s="12" t="str">
        <x:v>EUR</x:v>
      </x:c>
      <x:c r="BD131" s="12" t="n">
        <x:v>189.3487324956521</x:v>
      </x:c>
      <x:c r="BE131" s="12" t="n">
        <x:v>189.89015249565207</x:v>
      </x:c>
      <x:c r="BF131" s="12" t="n">
        <x:v>0</x:v>
      </x:c>
      <x:c r="BG131" s="12" t="n">
        <x:v>0</x:v>
      </x:c>
      <x:c r="BH131" s="12" t="n">
        <x:v>100</x:v>
      </x:c>
      <x:c r="BI131" s="12" t="n">
        <x:v>100</x:v>
      </x:c>
      <x:c r="BJ131" s="12" t="n">
        <x:v>0</x:v>
      </x:c>
      <x:c r="BK131" s="12" t="n">
        <x:v>0.5885</x:v>
      </x:c>
      <x:c r="BL131" s="12" t="n">
        <x:v>0</x:v>
      </x:c>
      <x:c r="BM131" s="12" t="n">
        <x:v>0</x:v>
      </x:c>
      <x:c r="BN131" s="12" t="n">
        <x:v>345.7911984077521</x:v>
      </x:c>
      <x:c r="BO131" s="12" t="n">
        <x:v>367.7549707484771</x:v>
      </x:c>
      <x:c r="BP131" s="12" t="n">
        <x:v>0</x:v>
      </x:c>
      <x:c r="BQ131" s="12" t="n">
        <x:v>-18.76193512394202</x:v>
      </x:c>
      <x:c r="BR131" s="12" t="n">
        <x:v>694.7842340322871</x:v>
      </x:c>
      <x:c r="BS131" s="12" t="n">
        <x:v>0.0015039444444444445</x:v>
      </x:c>
    </x:row>
    <x:row r="132" ht="21" customHeight="1">
      <x:c r="A132" s="14" t="n">
        <x:v>45659.197916666664</x:v>
      </x:c>
      <x:c r="B132" s="14" t="n">
        <x:v>45659.208333333336</x:v>
      </x:c>
      <x:c r="C132" s="14" t="n">
        <x:v>45659.28125</x:v>
      </x:c>
      <x:c r="D132" s="15" t="n">
        <x:v>45659</x:v>
      </x:c>
      <x:c r="E132" s="12" t="n">
        <x:v>0.25</x:v>
      </x:c>
      <x:c r="F132" s="12" t="str">
        <x:v>FORMAL</x:v>
      </x:c>
      <x:c r="G132" s="14" t="n">
        <x:v>45659.166666666664</x:v>
      </x:c>
      <x:c r="H132" s="12" t="n">
        <x:v>72.84</x:v>
      </x:c>
      <x:c r="I132" s="12" t="str">
        <x:v>2025-01-02_6</x:v>
      </x:c>
      <x:c r="J132" s="12" t="n">
        <x:v>60</x:v>
      </x:c>
      <x:c r="K132" s="12" t="str">
        <x:v>DA_2025-01-02@4f6782768649</x:v>
      </x:c>
      <x:c r="L132" s="15" t="n">
        <x:v>45657</x:v>
      </x:c>
      <x:c r="M132" s="12" t="n">
        <x:v>4.9741</x:v>
      </x:c>
      <x:c r="N132" s="12" t="str">
        <x:v>BNR2024_BOUNDARY@c4397e7f9c31</x:v>
      </x:c>
      <x:c r="O132" s="12"/>
      <x:c r="P132" s="12"/>
      <x:c r="Q132" s="12"/>
      <x:c r="R132" s="12"/>
      <x:c r="S132" s="12" t="str">
        <x:v>OUT_OF_RESEARCH_COVERAGE_PRE_2025_06</x:v>
      </x:c>
      <x:c r="T132" s="12" t="n">
        <x:v>193</x:v>
      </x:c>
      <x:c r="U132" s="12" t="str">
        <x:v>aFRRUp_2025-01-02T04:00:00Z</x:v>
      </x:c>
      <x:c r="V132" s="12" t="str">
        <x:v>tenderStatistics_2025-01@c14c9dea784d</x:v>
      </x:c>
      <x:c r="W132" s="12" t="n">
        <x:v>13.831647936310086</x:v>
      </x:c>
      <x:c r="X132" s="12" t="str">
        <x:v>PUBLISHED_PROXY</x:v>
      </x:c>
      <x:c r="Y132" s="12" t="n">
        <x:v>200</x:v>
      </x:c>
      <x:c r="Z132" s="12" t="str">
        <x:v>aFRRDown_2025-01-02T04:00:00Z</x:v>
      </x:c>
      <x:c r="AA132" s="12" t="str">
        <x:v>tenderStatistics_2025-01@c14c9dea784d</x:v>
      </x:c>
      <x:c r="AB132" s="12" t="n">
        <x:v>14.710198829939085</x:v>
      </x:c>
      <x:c r="AC132" s="12" t="str">
        <x:v>PUBLISHED_PROXY</x:v>
      </x:c>
      <x:c r="AD132" s="12"/>
      <x:c r="AE132" s="12" t="str">
        <x:v>SOURCE_NULL_NOT_MODELED</x:v>
      </x:c>
      <x:c r="AF132" s="12"/>
      <x:c r="AG132" s="12" t="n">
        <x:v>139.16788966848276</x:v>
      </x:c>
      <x:c r="AH132" s="12" t="str">
        <x:v>PUBLISHED_PROXY</x:v>
      </x:c>
      <x:c r="AI132" s="12" t="n">
        <x:v>4.05</x:v>
      </x:c>
      <x:c r="AJ132" s="12" t="n">
        <x:v>58.3020043827024</x:v>
      </x:c>
      <x:c r="AK132" s="12" t="str">
        <x:v>PUBLISHED_PROXY</x:v>
      </x:c>
      <x:c r="AL132" s="12" t="n">
        <x:v>0.048</x:v>
      </x:c>
      <x:c r="AM132" s="12" t="str">
        <x:v>marginalPricesOverview_2025-01@5b9daf9d82d7</x:v>
      </x:c>
      <x:c r="AN132" s="12" t="str">
        <x:v>activatedBalancingEnergyOverview_2025-01@4135ac664b2a</x:v>
      </x:c>
      <x:c r="AO132" s="12" t="str">
        <x:v>PUBLISHED_NATIVE</x:v>
      </x:c>
      <x:c r="AP132" s="12" t="n">
        <x:v>0.0839378238341968</x:v>
      </x:c>
      <x:c r="AQ132" s="12" t="n">
        <x:v>0.00096</x:v>
      </x:c>
      <x:c r="AR132" s="12" t="n">
        <x:v>0.0848978238341968</x:v>
      </x:c>
      <x:c r="AS132" s="13" t="b">
        <x:v>1</x:v>
      </x:c>
      <x:c r="AT132" s="13" t="b">
        <x:v>1</x:v>
      </x:c>
      <x:c r="AU132" s="13" t="b">
        <x:v>1</x:v>
      </x:c>
      <x:c r="AV132" s="13" t="b">
        <x:v>1</x:v>
      </x:c>
      <x:c r="AW132" s="13" t="b">
        <x:v>1</x:v>
      </x:c>
      <x:c r="AX132" s="13" t="b">
        <x:v>0</x:v>
      </x:c>
      <x:c r="AY132" s="13" t="b">
        <x:v>0</x:v>
      </x:c>
      <x:c r="AZ132" s="13" t="b">
        <x:v>1</x:v>
      </x:c>
      <x:c r="BA132" s="12" t="str">
        <x:v>OK</x:v>
      </x:c>
      <x:c r="BB132" s="12" t="str">
        <x:v>OK</x:v>
      </x:c>
      <x:c r="BC132" s="12" t="str">
        <x:v>EUR</x:v>
      </x:c>
      <x:c r="BD132" s="12" t="n">
        <x:v>189.89015249565207</x:v>
      </x:c>
      <x:c r="BE132" s="12" t="n">
        <x:v>187.6313133697228</x:v>
      </x:c>
      <x:c r="BF132" s="12" t="n">
        <x:v>0</x:v>
      </x:c>
      <x:c r="BG132" s="12" t="n">
        <x:v>0</x:v>
      </x:c>
      <x:c r="BH132" s="12" t="n">
        <x:v>100</x:v>
      </x:c>
      <x:c r="BI132" s="12" t="n">
        <x:v>100</x:v>
      </x:c>
      <x:c r="BJ132" s="12" t="n">
        <x:v>2.098445595854922</x:v>
      </x:c>
      <x:c r="BK132" s="12" t="n">
        <x:v>0.024</x:v>
      </x:c>
      <x:c r="BL132" s="12" t="n">
        <x:v>0</x:v>
      </x:c>
      <x:c r="BM132" s="12" t="n">
        <x:v>0</x:v>
      </x:c>
      <x:c r="BN132" s="12" t="n">
        <x:v>345.7911984077521</x:v>
      </x:c>
      <x:c r="BO132" s="12" t="n">
        <x:v>367.7549707484771</x:v>
      </x:c>
      <x:c r="BP132" s="12" t="n">
        <x:v>292.0362451592514</x:v>
      </x:c>
      <x:c r="BQ132" s="12" t="n">
        <x:v>-1.3992481051848575</x:v>
      </x:c>
      <x:c r="BR132" s="12" t="n">
        <x:v>1004.1831662102958</x:v>
      </x:c>
      <x:c r="BS132" s="12" t="n">
        <x:v>0.006397219794247953</x:v>
      </x:c>
    </x:row>
    <x:row r="133" ht="21" customHeight="1">
      <x:c r="A133" s="14" t="n">
        <x:v>45659.208333333336</x:v>
      </x:c>
      <x:c r="B133" s="14" t="n">
        <x:v>45659.21875</x:v>
      </x:c>
      <x:c r="C133" s="14" t="n">
        <x:v>45659.291666666664</x:v>
      </x:c>
      <x:c r="D133" s="15" t="n">
        <x:v>45659</x:v>
      </x:c>
      <x:c r="E133" s="12" t="n">
        <x:v>0.25</x:v>
      </x:c>
      <x:c r="F133" s="12" t="str">
        <x:v>FORMAL</x:v>
      </x:c>
      <x:c r="G133" s="14" t="n">
        <x:v>45659.208333333336</x:v>
      </x:c>
      <x:c r="H133" s="12" t="n">
        <x:v>114.75</x:v>
      </x:c>
      <x:c r="I133" s="12" t="str">
        <x:v>2025-01-02_7</x:v>
      </x:c>
      <x:c r="J133" s="12" t="n">
        <x:v>60</x:v>
      </x:c>
      <x:c r="K133" s="12" t="str">
        <x:v>DA_2025-01-02@4f6782768649</x:v>
      </x:c>
      <x:c r="L133" s="15" t="n">
        <x:v>45657</x:v>
      </x:c>
      <x:c r="M133" s="12" t="n">
        <x:v>4.9741</x:v>
      </x:c>
      <x:c r="N133" s="12" t="str">
        <x:v>BNR2024_BOUNDARY@c4397e7f9c31</x:v>
      </x:c>
      <x:c r="O133" s="12"/>
      <x:c r="P133" s="12"/>
      <x:c r="Q133" s="12"/>
      <x:c r="R133" s="12"/>
      <x:c r="S133" s="12" t="str">
        <x:v>OUT_OF_RESEARCH_COVERAGE_PRE_2025_06</x:v>
      </x:c>
      <x:c r="T133" s="12" t="n">
        <x:v>200</x:v>
      </x:c>
      <x:c r="U133" s="12" t="str">
        <x:v>aFRRUp_2025-01-02T05:00:00Z</x:v>
      </x:c>
      <x:c r="V133" s="12" t="str">
        <x:v>tenderStatistics_2025-01@c14c9dea784d</x:v>
      </x:c>
      <x:c r="W133" s="12" t="n">
        <x:v>13.831647936310086</x:v>
      </x:c>
      <x:c r="X133" s="12" t="str">
        <x:v>PUBLISHED_PROXY</x:v>
      </x:c>
      <x:c r="Y133" s="12" t="n">
        <x:v>200</x:v>
      </x:c>
      <x:c r="Z133" s="12" t="str">
        <x:v>aFRRDown_2025-01-02T05:00:00Z</x:v>
      </x:c>
      <x:c r="AA133" s="12" t="str">
        <x:v>tenderStatistics_2025-01@c14c9dea784d</x:v>
      </x:c>
      <x:c r="AB133" s="12" t="n">
        <x:v>14.710198829939085</x:v>
      </x:c>
      <x:c r="AC133" s="12" t="str">
        <x:v>PUBLISHED_PROXY</x:v>
      </x:c>
      <x:c r="AD133" s="12"/>
      <x:c r="AE133" s="12" t="str">
        <x:v>SOURCE_NULL_NOT_MODELED</x:v>
      </x:c>
      <x:c r="AF133" s="12"/>
      <x:c r="AG133" s="12" t="n">
        <x:v>134.6512937013731</x:v>
      </x:c>
      <x:c r="AH133" s="12" t="str">
        <x:v>PUBLISHED_PROXY</x:v>
      </x:c>
      <x:c r="AI133" s="12" t="n">
        <x:v>0.173</x:v>
      </x:c>
      <x:c r="AJ133" s="12" t="n">
        <x:v>19.651997346253594</x:v>
      </x:c>
      <x:c r="AK133" s="12" t="str">
        <x:v>PUBLISHED_PROXY</x:v>
      </x:c>
      <x:c r="AL133" s="12" t="n">
        <x:v>5.148</x:v>
      </x:c>
      <x:c r="AM133" s="12" t="str">
        <x:v>marginalPricesOverview_2025-01@5b9daf9d82d7</x:v>
      </x:c>
      <x:c r="AN133" s="12" t="str">
        <x:v>activatedBalancingEnergyOverview_2025-01@4135ac664b2a</x:v>
      </x:c>
      <x:c r="AO133" s="12" t="str">
        <x:v>PUBLISHED_NATIVE</x:v>
      </x:c>
      <x:c r="AP133" s="12" t="n">
        <x:v>0.0034599999999999</x:v>
      </x:c>
      <x:c r="AQ133" s="12" t="n">
        <x:v>0.10296</x:v>
      </x:c>
      <x:c r="AR133" s="12" t="n">
        <x:v>0.10642</x:v>
      </x:c>
      <x:c r="AS133" s="13" t="b">
        <x:v>1</x:v>
      </x:c>
      <x:c r="AT133" s="13" t="b">
        <x:v>1</x:v>
      </x:c>
      <x:c r="AU133" s="13" t="b">
        <x:v>1</x:v>
      </x:c>
      <x:c r="AV133" s="13" t="b">
        <x:v>1</x:v>
      </x:c>
      <x:c r="AW133" s="13" t="b">
        <x:v>1</x:v>
      </x:c>
      <x:c r="AX133" s="13" t="b">
        <x:v>0</x:v>
      </x:c>
      <x:c r="AY133" s="13" t="b">
        <x:v>0</x:v>
      </x:c>
      <x:c r="AZ133" s="13" t="b">
        <x:v>1</x:v>
      </x:c>
      <x:c r="BA133" s="12" t="str">
        <x:v>OK</x:v>
      </x:c>
      <x:c r="BB133" s="12" t="str">
        <x:v>OK</x:v>
      </x:c>
      <x:c r="BC133" s="12" t="str">
        <x:v>EUR</x:v>
      </x:c>
      <x:c r="BD133" s="12" t="n">
        <x:v>187.6313133697228</x:v>
      </x:c>
      <x:c r="BE133" s="12" t="n">
        <x:v>186.32943861525854</x:v>
      </x:c>
      <x:c r="BF133" s="12" t="n">
        <x:v>13.420107886130486</x:v>
      </x:c>
      <x:c r="BG133" s="12" t="n">
        <x:v>0</x:v>
      </x:c>
      <x:c r="BH133" s="12" t="n">
        <x:v>86</x:v>
      </x:c>
      <x:c r="BI133" s="12" t="n">
        <x:v>100</x:v>
      </x:c>
      <x:c r="BJ133" s="12" t="n">
        <x:v>0.07438999999999998</x:v>
      </x:c>
      <x:c r="BK133" s="12" t="n">
        <x:v>2.574</x:v>
      </x:c>
      <x:c r="BL133" s="12" t="n">
        <x:v>384.9893449833683</x:v>
      </x:c>
      <x:c r="BM133" s="12" t="n">
        <x:v>0</x:v>
      </x:c>
      <x:c r="BN133" s="12" t="n">
        <x:v>297.38043063066686</x:v>
      </x:c>
      <x:c r="BO133" s="12" t="n">
        <x:v>367.7549707484771</x:v>
      </x:c>
      <x:c r="BP133" s="12" t="n">
        <x:v>10.016709738445144</x:v>
      </x:c>
      <x:c r="BQ133" s="12" t="n">
        <x:v>-50.58424116925675</x:v>
      </x:c>
      <x:c r="BR133" s="12" t="n">
        <x:v>1009.5572149317006</x:v>
      </x:c>
      <x:c r="BS133" s="12" t="n">
        <x:v>0.015006769368901371</x:v>
      </x:c>
    </x:row>
    <x:row r="134" ht="21" customHeight="1">
      <x:c r="A134" s="14" t="n">
        <x:v>45659.21875</x:v>
      </x:c>
      <x:c r="B134" s="14" t="n">
        <x:v>45659.229166666664</x:v>
      </x:c>
      <x:c r="C134" s="14" t="n">
        <x:v>45659.302083333336</x:v>
      </x:c>
      <x:c r="D134" s="15" t="n">
        <x:v>45659</x:v>
      </x:c>
      <x:c r="E134" s="12" t="n">
        <x:v>0.25</x:v>
      </x:c>
      <x:c r="F134" s="12" t="str">
        <x:v>FORMAL</x:v>
      </x:c>
      <x:c r="G134" s="14" t="n">
        <x:v>45659.208333333336</x:v>
      </x:c>
      <x:c r="H134" s="12" t="n">
        <x:v>114.75</x:v>
      </x:c>
      <x:c r="I134" s="12" t="str">
        <x:v>2025-01-02_7</x:v>
      </x:c>
      <x:c r="J134" s="12" t="n">
        <x:v>60</x:v>
      </x:c>
      <x:c r="K134" s="12" t="str">
        <x:v>DA_2025-01-02@4f6782768649</x:v>
      </x:c>
      <x:c r="L134" s="15" t="n">
        <x:v>45657</x:v>
      </x:c>
      <x:c r="M134" s="12" t="n">
        <x:v>4.9741</x:v>
      </x:c>
      <x:c r="N134" s="12" t="str">
        <x:v>BNR2024_BOUNDARY@c4397e7f9c31</x:v>
      </x:c>
      <x:c r="O134" s="12"/>
      <x:c r="P134" s="12"/>
      <x:c r="Q134" s="12"/>
      <x:c r="R134" s="12"/>
      <x:c r="S134" s="12" t="str">
        <x:v>OUT_OF_RESEARCH_COVERAGE_PRE_2025_06</x:v>
      </x:c>
      <x:c r="T134" s="12" t="n">
        <x:v>200</x:v>
      </x:c>
      <x:c r="U134" s="12" t="str">
        <x:v>aFRRUp_2025-01-02T05:00:00Z</x:v>
      </x:c>
      <x:c r="V134" s="12" t="str">
        <x:v>tenderStatistics_2025-01@c14c9dea784d</x:v>
      </x:c>
      <x:c r="W134" s="12" t="n">
        <x:v>13.831647936310086</x:v>
      </x:c>
      <x:c r="X134" s="12" t="str">
        <x:v>PUBLISHED_PROXY</x:v>
      </x:c>
      <x:c r="Y134" s="12" t="n">
        <x:v>200</x:v>
      </x:c>
      <x:c r="Z134" s="12" t="str">
        <x:v>aFRRDown_2025-01-02T05:00:00Z</x:v>
      </x:c>
      <x:c r="AA134" s="12" t="str">
        <x:v>tenderStatistics_2025-01@c14c9dea784d</x:v>
      </x:c>
      <x:c r="AB134" s="12" t="n">
        <x:v>14.710198829939085</x:v>
      </x:c>
      <x:c r="AC134" s="12" t="str">
        <x:v>PUBLISHED_PROXY</x:v>
      </x:c>
      <x:c r="AD134" s="12"/>
      <x:c r="AE134" s="12" t="str">
        <x:v>SOURCE_NULL_NOT_MODELED</x:v>
      </x:c>
      <x:c r="AF134" s="12"/>
      <x:c r="AG134" s="12" t="n">
        <x:v>0</x:v>
      </x:c>
      <x:c r="AH134" s="12" t="str">
        <x:v>PUBLISHED_PROXY</x:v>
      </x:c>
      <x:c r="AI134" s="12" t="n">
        <x:v>0</x:v>
      </x:c>
      <x:c r="AJ134" s="12" t="n">
        <x:v>22.712651534951046</x:v>
      </x:c>
      <x:c r="AK134" s="12" t="str">
        <x:v>PUBLISHED_PROXY</x:v>
      </x:c>
      <x:c r="AL134" s="12" t="n">
        <x:v>1.819</x:v>
      </x:c>
      <x:c r="AM134" s="12" t="str">
        <x:v>marginalPricesOverview_2025-01@5b9daf9d82d7</x:v>
      </x:c>
      <x:c r="AN134" s="12" t="str">
        <x:v>activatedBalancingEnergyOverview_2025-01@4135ac664b2a</x:v>
      </x:c>
      <x:c r="AO134" s="12" t="str">
        <x:v>PUBLISHED_NATIVE</x:v>
      </x:c>
      <x:c r="AP134" s="12" t="n">
        <x:v>0</x:v>
      </x:c>
      <x:c r="AQ134" s="12" t="n">
        <x:v>0.0363799999999999</x:v>
      </x:c>
      <x:c r="AR134" s="12" t="n">
        <x:v>0.0363799999999999</x:v>
      </x:c>
      <x:c r="AS134" s="13" t="b">
        <x:v>1</x:v>
      </x:c>
      <x:c r="AT134" s="13" t="b">
        <x:v>1</x:v>
      </x:c>
      <x:c r="AU134" s="13" t="b">
        <x:v>1</x:v>
      </x:c>
      <x:c r="AV134" s="13" t="b">
        <x:v>1</x:v>
      </x:c>
      <x:c r="AW134" s="13" t="b">
        <x:v>1</x:v>
      </x:c>
      <x:c r="AX134" s="13" t="b">
        <x:v>0</x:v>
      </x:c>
      <x:c r="AY134" s="13" t="b">
        <x:v>0</x:v>
      </x:c>
      <x:c r="AZ134" s="13" t="b">
        <x:v>1</x:v>
      </x:c>
      <x:c r="BA134" s="12" t="str">
        <x:v>OK</x:v>
      </x:c>
      <x:c r="BB134" s="12" t="str">
        <x:v>OK</x:v>
      </x:c>
      <x:c r="BC134" s="12" t="str">
        <x:v>EUR</x:v>
      </x:c>
      <x:c r="BD134" s="12" t="n">
        <x:v>186.32943861525854</x:v>
      </x:c>
      <x:c r="BE134" s="12" t="n">
        <x:v>183.53978819332747</x:v>
      </x:c>
      <x:c r="BF134" s="12" t="n">
        <x:v>13.420107886130486</x:v>
      </x:c>
      <x:c r="BG134" s="12" t="n">
        <x:v>0</x:v>
      </x:c>
      <x:c r="BH134" s="12" t="n">
        <x:v>86</x:v>
      </x:c>
      <x:c r="BI134" s="12" t="n">
        <x:v>100</x:v>
      </x:c>
      <x:c r="BJ134" s="12" t="n">
        <x:v>0</x:v>
      </x:c>
      <x:c r="BK134" s="12" t="n">
        <x:v>0.9094999999999999</x:v>
      </x:c>
      <x:c r="BL134" s="12" t="n">
        <x:v>384.9893449833683</x:v>
      </x:c>
      <x:c r="BM134" s="12" t="n">
        <x:v>0</x:v>
      </x:c>
      <x:c r="BN134" s="12" t="n">
        <x:v>297.38043063066686</x:v>
      </x:c>
      <x:c r="BO134" s="12" t="n">
        <x:v>367.7549707484771</x:v>
      </x:c>
      <x:c r="BP134" s="12" t="n">
        <x:v>0</x:v>
      </x:c>
      <x:c r="BQ134" s="12" t="n">
        <x:v>-20.657156571037973</x:v>
      </x:c>
      <x:c r="BR134" s="12" t="n">
        <x:v>1029.4675897914742</x:v>
      </x:c>
      <x:c r="BS134" s="12" t="n">
        <x:v>0.011773743334661742</x:v>
      </x:c>
    </x:row>
    <x:row r="135" ht="21" customHeight="1">
      <x:c r="A135" s="14" t="n">
        <x:v>45659.229166666664</x:v>
      </x:c>
      <x:c r="B135" s="14" t="n">
        <x:v>45659.239583333336</x:v>
      </x:c>
      <x:c r="C135" s="14" t="n">
        <x:v>45659.3125</x:v>
      </x:c>
      <x:c r="D135" s="15" t="n">
        <x:v>45659</x:v>
      </x:c>
      <x:c r="E135" s="12" t="n">
        <x:v>0.25</x:v>
      </x:c>
      <x:c r="F135" s="12" t="str">
        <x:v>FORMAL</x:v>
      </x:c>
      <x:c r="G135" s="14" t="n">
        <x:v>45659.208333333336</x:v>
      </x:c>
      <x:c r="H135" s="12" t="n">
        <x:v>114.75</x:v>
      </x:c>
      <x:c r="I135" s="12" t="str">
        <x:v>2025-01-02_7</x:v>
      </x:c>
      <x:c r="J135" s="12" t="n">
        <x:v>60</x:v>
      </x:c>
      <x:c r="K135" s="12" t="str">
        <x:v>DA_2025-01-02@4f6782768649</x:v>
      </x:c>
      <x:c r="L135" s="15" t="n">
        <x:v>45657</x:v>
      </x:c>
      <x:c r="M135" s="12" t="n">
        <x:v>4.9741</x:v>
      </x:c>
      <x:c r="N135" s="12" t="str">
        <x:v>BNR2024_BOUNDARY@c4397e7f9c31</x:v>
      </x:c>
      <x:c r="O135" s="12"/>
      <x:c r="P135" s="12"/>
      <x:c r="Q135" s="12"/>
      <x:c r="R135" s="12"/>
      <x:c r="S135" s="12" t="str">
        <x:v>OUT_OF_RESEARCH_COVERAGE_PRE_2025_06</x:v>
      </x:c>
      <x:c r="T135" s="12" t="n">
        <x:v>200</x:v>
      </x:c>
      <x:c r="U135" s="12" t="str">
        <x:v>aFRRUp_2025-01-02T05:00:00Z</x:v>
      </x:c>
      <x:c r="V135" s="12" t="str">
        <x:v>tenderStatistics_2025-01@c14c9dea784d</x:v>
      </x:c>
      <x:c r="W135" s="12" t="n">
        <x:v>13.831647936310086</x:v>
      </x:c>
      <x:c r="X135" s="12" t="str">
        <x:v>PUBLISHED_PROXY</x:v>
      </x:c>
      <x:c r="Y135" s="12" t="n">
        <x:v>200</x:v>
      </x:c>
      <x:c r="Z135" s="12" t="str">
        <x:v>aFRRDown_2025-01-02T05:00:00Z</x:v>
      </x:c>
      <x:c r="AA135" s="12" t="str">
        <x:v>tenderStatistics_2025-01@c14c9dea784d</x:v>
      </x:c>
      <x:c r="AB135" s="12" t="n">
        <x:v>14.710198829939085</x:v>
      </x:c>
      <x:c r="AC135" s="12" t="str">
        <x:v>PUBLISHED_PROXY</x:v>
      </x:c>
      <x:c r="AD135" s="12"/>
      <x:c r="AE135" s="12" t="str">
        <x:v>SOURCE_NULL_NOT_MODELED</x:v>
      </x:c>
      <x:c r="AF135" s="12"/>
      <x:c r="AG135" s="12" t="n">
        <x:v>0</x:v>
      </x:c>
      <x:c r="AH135" s="12" t="str">
        <x:v>PUBLISHED_PROXY</x:v>
      </x:c>
      <x:c r="AI135" s="12" t="n">
        <x:v>0</x:v>
      </x:c>
      <x:c r="AJ135" s="12" t="n">
        <x:v>21.76172573932973</x:v>
      </x:c>
      <x:c r="AK135" s="12" t="str">
        <x:v>PUBLISHED_PROXY</x:v>
      </x:c>
      <x:c r="AL135" s="12" t="n">
        <x:v>5.003</x:v>
      </x:c>
      <x:c r="AM135" s="12" t="str">
        <x:v>marginalPricesOverview_2025-01@5b9daf9d82d7</x:v>
      </x:c>
      <x:c r="AN135" s="12" t="str">
        <x:v>activatedBalancingEnergyOverview_2025-01@4135ac664b2a</x:v>
      </x:c>
      <x:c r="AO135" s="12" t="str">
        <x:v>PUBLISHED_NATIVE</x:v>
      </x:c>
      <x:c r="AP135" s="12" t="n">
        <x:v>0</x:v>
      </x:c>
      <x:c r="AQ135" s="12" t="n">
        <x:v>0.10006</x:v>
      </x:c>
      <x:c r="AR135" s="12" t="n">
        <x:v>0.10006</x:v>
      </x:c>
      <x:c r="AS135" s="13" t="b">
        <x:v>1</x:v>
      </x:c>
      <x:c r="AT135" s="13" t="b">
        <x:v>1</x:v>
      </x:c>
      <x:c r="AU135" s="13" t="b">
        <x:v>1</x:v>
      </x:c>
      <x:c r="AV135" s="13" t="b">
        <x:v>1</x:v>
      </x:c>
      <x:c r="AW135" s="13" t="b">
        <x:v>1</x:v>
      </x:c>
      <x:c r="AX135" s="13" t="b">
        <x:v>0</x:v>
      </x:c>
      <x:c r="AY135" s="13" t="b">
        <x:v>0</x:v>
      </x:c>
      <x:c r="AZ135" s="13" t="b">
        <x:v>1</x:v>
      </x:c>
      <x:c r="BA135" s="12" t="str">
        <x:v>OK</x:v>
      </x:c>
      <x:c r="BB135" s="12" t="str">
        <x:v>OK</x:v>
      </x:c>
      <x:c r="BC135" s="12" t="str">
        <x:v>EUR</x:v>
      </x:c>
      <x:c r="BD135" s="12" t="n">
        <x:v>183.53978819332747</x:v>
      </x:c>
      <x:c r="BE135" s="12" t="n">
        <x:v>182.2504477179782</x:v>
      </x:c>
      <x:c r="BF135" s="12" t="n">
        <x:v>13.420107886130486</x:v>
      </x:c>
      <x:c r="BG135" s="12" t="n">
        <x:v>0</x:v>
      </x:c>
      <x:c r="BH135" s="12" t="n">
        <x:v>86</x:v>
      </x:c>
      <x:c r="BI135" s="12" t="n">
        <x:v>100</x:v>
      </x:c>
      <x:c r="BJ135" s="12" t="n">
        <x:v>0</x:v>
      </x:c>
      <x:c r="BK135" s="12" t="n">
        <x:v>2.5015</x:v>
      </x:c>
      <x:c r="BL135" s="12" t="n">
        <x:v>384.9893449833683</x:v>
      </x:c>
      <x:c r="BM135" s="12" t="n">
        <x:v>0</x:v>
      </x:c>
      <x:c r="BN135" s="12" t="n">
        <x:v>297.38043063066686</x:v>
      </x:c>
      <x:c r="BO135" s="12" t="n">
        <x:v>367.7549707484771</x:v>
      </x:c>
      <x:c r="BP135" s="12" t="n">
        <x:v>0</x:v>
      </x:c>
      <x:c r="BQ135" s="12" t="n">
        <x:v>-54.43695693693332</x:v>
      </x:c>
      <x:c r="BR135" s="12" t="n">
        <x:v>995.6877894255789</x:v>
      </x:c>
      <x:c r="BS135" s="12" t="n">
        <x:v>0.014651125326693309</x:v>
      </x:c>
    </x:row>
    <x:row r="136" ht="21" customHeight="1">
      <x:c r="A136" s="14" t="n">
        <x:v>45659.239583333336</x:v>
      </x:c>
      <x:c r="B136" s="14" t="n">
        <x:v>45659.25</x:v>
      </x:c>
      <x:c r="C136" s="14" t="n">
        <x:v>45659.322916666664</x:v>
      </x:c>
      <x:c r="D136" s="15" t="n">
        <x:v>45659</x:v>
      </x:c>
      <x:c r="E136" s="12" t="n">
        <x:v>0.25</x:v>
      </x:c>
      <x:c r="F136" s="12" t="str">
        <x:v>FORMAL</x:v>
      </x:c>
      <x:c r="G136" s="14" t="n">
        <x:v>45659.208333333336</x:v>
      </x:c>
      <x:c r="H136" s="12" t="n">
        <x:v>114.75</x:v>
      </x:c>
      <x:c r="I136" s="12" t="str">
        <x:v>2025-01-02_7</x:v>
      </x:c>
      <x:c r="J136" s="12" t="n">
        <x:v>60</x:v>
      </x:c>
      <x:c r="K136" s="12" t="str">
        <x:v>DA_2025-01-02@4f6782768649</x:v>
      </x:c>
      <x:c r="L136" s="15" t="n">
        <x:v>45657</x:v>
      </x:c>
      <x:c r="M136" s="12" t="n">
        <x:v>4.9741</x:v>
      </x:c>
      <x:c r="N136" s="12" t="str">
        <x:v>BNR2024_BOUNDARY@c4397e7f9c31</x:v>
      </x:c>
      <x:c r="O136" s="12"/>
      <x:c r="P136" s="12"/>
      <x:c r="Q136" s="12"/>
      <x:c r="R136" s="12"/>
      <x:c r="S136" s="12" t="str">
        <x:v>OUT_OF_RESEARCH_COVERAGE_PRE_2025_06</x:v>
      </x:c>
      <x:c r="T136" s="12" t="n">
        <x:v>200</x:v>
      </x:c>
      <x:c r="U136" s="12" t="str">
        <x:v>aFRRUp_2025-01-02T05:00:00Z</x:v>
      </x:c>
      <x:c r="V136" s="12" t="str">
        <x:v>tenderStatistics_2025-01@c14c9dea784d</x:v>
      </x:c>
      <x:c r="W136" s="12" t="n">
        <x:v>13.831647936310086</x:v>
      </x:c>
      <x:c r="X136" s="12" t="str">
        <x:v>PUBLISHED_PROXY</x:v>
      </x:c>
      <x:c r="Y136" s="12" t="n">
        <x:v>200</x:v>
      </x:c>
      <x:c r="Z136" s="12" t="str">
        <x:v>aFRRDown_2025-01-02T05:00:00Z</x:v>
      </x:c>
      <x:c r="AA136" s="12" t="str">
        <x:v>tenderStatistics_2025-01@c14c9dea784d</x:v>
      </x:c>
      <x:c r="AB136" s="12" t="n">
        <x:v>14.710198829939085</x:v>
      </x:c>
      <x:c r="AC136" s="12" t="str">
        <x:v>PUBLISHED_PROXY</x:v>
      </x:c>
      <x:c r="AD136" s="12"/>
      <x:c r="AE136" s="12" t="str">
        <x:v>SOURCE_NULL_NOT_MODELED</x:v>
      </x:c>
      <x:c r="AF136" s="12"/>
      <x:c r="AG136" s="12" t="n">
        <x:v>0</x:v>
      </x:c>
      <x:c r="AH136" s="12" t="str">
        <x:v>PUBLISHED_PROXY</x:v>
      </x:c>
      <x:c r="AI136" s="12" t="n">
        <x:v>0</x:v>
      </x:c>
      <x:c r="AJ136" s="12" t="n">
        <x:v>12.849962807342033</x:v>
      </x:c>
      <x:c r="AK136" s="12" t="str">
        <x:v>PUBLISHED_PROXY</x:v>
      </x:c>
      <x:c r="AL136" s="12" t="n">
        <x:v>13.258</x:v>
      </x:c>
      <x:c r="AM136" s="12" t="str">
        <x:v>marginalPricesOverview_2025-01@5b9daf9d82d7</x:v>
      </x:c>
      <x:c r="AN136" s="12" t="str">
        <x:v>activatedBalancingEnergyOverview_2025-01@4135ac664b2a</x:v>
      </x:c>
      <x:c r="AO136" s="12" t="str">
        <x:v>PUBLISHED_NATIVE</x:v>
      </x:c>
      <x:c r="AP136" s="12" t="n">
        <x:v>0</x:v>
      </x:c>
      <x:c r="AQ136" s="12" t="n">
        <x:v>0.26516</x:v>
      </x:c>
      <x:c r="AR136" s="12" t="n">
        <x:v>0.26516</x:v>
      </x:c>
      <x:c r="AS136" s="13" t="b">
        <x:v>1</x:v>
      </x:c>
      <x:c r="AT136" s="13" t="b">
        <x:v>1</x:v>
      </x:c>
      <x:c r="AU136" s="13" t="b">
        <x:v>1</x:v>
      </x:c>
      <x:c r="AV136" s="13" t="b">
        <x:v>1</x:v>
      </x:c>
      <x:c r="AW136" s="13" t="b">
        <x:v>1</x:v>
      </x:c>
      <x:c r="AX136" s="13" t="b">
        <x:v>0</x:v>
      </x:c>
      <x:c r="AY136" s="13" t="b">
        <x:v>0</x:v>
      </x:c>
      <x:c r="AZ136" s="13" t="b">
        <x:v>1</x:v>
      </x:c>
      <x:c r="BA136" s="12" t="str">
        <x:v>OK</x:v>
      </x:c>
      <x:c r="BB136" s="12" t="str">
        <x:v>OK</x:v>
      </x:c>
      <x:c r="BC136" s="12" t="str">
        <x:v>EUR</x:v>
      </x:c>
      <x:c r="BD136" s="12" t="n">
        <x:v>182.2504477179782</x:v>
      </x:c>
      <x:c r="BE136" s="12" t="n">
        <x:v>184.85088695652112</x:v>
      </x:c>
      <x:c r="BF136" s="12" t="n">
        <x:v>13.420107886130486</x:v>
      </x:c>
      <x:c r="BG136" s="12" t="n">
        <x:v>0</x:v>
      </x:c>
      <x:c r="BH136" s="12" t="n">
        <x:v>86</x:v>
      </x:c>
      <x:c r="BI136" s="12" t="n">
        <x:v>100</x:v>
      </x:c>
      <x:c r="BJ136" s="12" t="n">
        <x:v>0</x:v>
      </x:c>
      <x:c r="BK136" s="12" t="n">
        <x:v>6.6290000000000004</x:v>
      </x:c>
      <x:c r="BL136" s="12" t="n">
        <x:v>384.9893449833683</x:v>
      </x:c>
      <x:c r="BM136" s="12" t="n">
        <x:v>0</x:v>
      </x:c>
      <x:c r="BN136" s="12" t="n">
        <x:v>297.38043063066686</x:v>
      </x:c>
      <x:c r="BO136" s="12" t="n">
        <x:v>367.7549707484771</x:v>
      </x:c>
      <x:c r="BP136" s="12" t="n">
        <x:v>0</x:v>
      </x:c>
      <x:c r="BQ136" s="12" t="n">
        <x:v>-85.18240344987034</x:v>
      </x:c>
      <x:c r="BR136" s="12" t="n">
        <x:v>964.942342912642</x:v>
      </x:c>
      <x:c r="BS136" s="12" t="n">
        <x:v>0.02211117191721485</x:v>
      </x:c>
    </x:row>
    <x:row r="137" ht="21" customHeight="1">
      <x:c r="A137" s="14" t="n">
        <x:v>45659.25</x:v>
      </x:c>
      <x:c r="B137" s="14" t="n">
        <x:v>45659.260416666664</x:v>
      </x:c>
      <x:c r="C137" s="14" t="n">
        <x:v>45659.333333333336</x:v>
      </x:c>
      <x:c r="D137" s="15" t="n">
        <x:v>45659</x:v>
      </x:c>
      <x:c r="E137" s="12" t="n">
        <x:v>0.25</x:v>
      </x:c>
      <x:c r="F137" s="12" t="str">
        <x:v>FORMAL</x:v>
      </x:c>
      <x:c r="G137" s="14" t="n">
        <x:v>45659.25</x:v>
      </x:c>
      <x:c r="H137" s="12" t="n">
        <x:v>139</x:v>
      </x:c>
      <x:c r="I137" s="12" t="str">
        <x:v>2025-01-02_8</x:v>
      </x:c>
      <x:c r="J137" s="12" t="n">
        <x:v>60</x:v>
      </x:c>
      <x:c r="K137" s="12" t="str">
        <x:v>DA_2025-01-02@4f6782768649</x:v>
      </x:c>
      <x:c r="L137" s="15" t="n">
        <x:v>45657</x:v>
      </x:c>
      <x:c r="M137" s="12" t="n">
        <x:v>4.9741</x:v>
      </x:c>
      <x:c r="N137" s="12" t="str">
        <x:v>BNR2024_BOUNDARY@c4397e7f9c31</x:v>
      </x:c>
      <x:c r="O137" s="12"/>
      <x:c r="P137" s="12"/>
      <x:c r="Q137" s="12"/>
      <x:c r="R137" s="12"/>
      <x:c r="S137" s="12" t="str">
        <x:v>OUT_OF_RESEARCH_COVERAGE_PRE_2025_06</x:v>
      </x:c>
      <x:c r="T137" s="12" t="n">
        <x:v>200</x:v>
      </x:c>
      <x:c r="U137" s="12" t="str">
        <x:v>aFRRUp_2025-01-02T06:00:00Z</x:v>
      </x:c>
      <x:c r="V137" s="12" t="str">
        <x:v>tenderStatistics_2025-01@c14c9dea784d</x:v>
      </x:c>
      <x:c r="W137" s="12" t="n">
        <x:v>13.831647936310086</x:v>
      </x:c>
      <x:c r="X137" s="12" t="str">
        <x:v>PUBLISHED_PROXY</x:v>
      </x:c>
      <x:c r="Y137" s="12" t="n">
        <x:v>200</x:v>
      </x:c>
      <x:c r="Z137" s="12" t="str">
        <x:v>aFRRDown_2025-01-02T06:00:00Z</x:v>
      </x:c>
      <x:c r="AA137" s="12" t="str">
        <x:v>tenderStatistics_2025-01@c14c9dea784d</x:v>
      </x:c>
      <x:c r="AB137" s="12" t="n">
        <x:v>14.676021792887155</x:v>
      </x:c>
      <x:c r="AC137" s="12" t="str">
        <x:v>PUBLISHED_PROXY</x:v>
      </x:c>
      <x:c r="AD137" s="12"/>
      <x:c r="AE137" s="12" t="str">
        <x:v>SOURCE_NULL_NOT_MODELED</x:v>
      </x:c>
      <x:c r="AF137" s="12"/>
      <x:c r="AG137" s="12" t="n">
        <x:v>0</x:v>
      </x:c>
      <x:c r="AH137" s="12" t="str">
        <x:v>PUBLISHED_PROXY</x:v>
      </x:c>
      <x:c r="AI137" s="12" t="n">
        <x:v>0</x:v>
      </x:c>
      <x:c r="AJ137" s="12" t="n">
        <x:v>0.20365493255061215</x:v>
      </x:c>
      <x:c r="AK137" s="12" t="str">
        <x:v>PUBLISHED_PROXY</x:v>
      </x:c>
      <x:c r="AL137" s="12" t="n">
        <x:v>21.759</x:v>
      </x:c>
      <x:c r="AM137" s="12" t="str">
        <x:v>marginalPricesOverview_2025-01@5b9daf9d82d7</x:v>
      </x:c>
      <x:c r="AN137" s="12" t="str">
        <x:v>activatedBalancingEnergyOverview_2025-01@4135ac664b2a</x:v>
      </x:c>
      <x:c r="AO137" s="12" t="str">
        <x:v>PUBLISHED_NATIVE</x:v>
      </x:c>
      <x:c r="AP137" s="12" t="n">
        <x:v>0</x:v>
      </x:c>
      <x:c r="AQ137" s="12" t="n">
        <x:v>0.43518</x:v>
      </x:c>
      <x:c r="AR137" s="12" t="n">
        <x:v>0.43518</x:v>
      </x:c>
      <x:c r="AS137" s="13" t="b">
        <x:v>1</x:v>
      </x:c>
      <x:c r="AT137" s="13" t="b">
        <x:v>1</x:v>
      </x:c>
      <x:c r="AU137" s="13" t="b">
        <x:v>1</x:v>
      </x:c>
      <x:c r="AV137" s="13" t="b">
        <x:v>1</x:v>
      </x:c>
      <x:c r="AW137" s="13" t="b">
        <x:v>1</x:v>
      </x:c>
      <x:c r="AX137" s="13" t="b">
        <x:v>0</x:v>
      </x:c>
      <x:c r="AY137" s="13" t="b">
        <x:v>0</x:v>
      </x:c>
      <x:c r="AZ137" s="13" t="b">
        <x:v>1</x:v>
      </x:c>
      <x:c r="BA137" s="12" t="str">
        <x:v>OK</x:v>
      </x:c>
      <x:c r="BB137" s="12" t="str">
        <x:v>OK</x:v>
      </x:c>
      <x:c r="BC137" s="12" t="str">
        <x:v>EUR</x:v>
      </x:c>
      <x:c r="BD137" s="12" t="n">
        <x:v>184.85088695652112</x:v>
      </x:c>
      <x:c r="BE137" s="12" t="n">
        <x:v>182.18127217391242</x:v>
      </x:c>
      <x:c r="BF137" s="12" t="n">
        <x:v>49.999999999999986</x:v>
      </x:c>
      <x:c r="BG137" s="12" t="n">
        <x:v>0</x:v>
      </x:c>
      <x:c r="BH137" s="12" t="n">
        <x:v>50</x:v>
      </x:c>
      <x:c r="BI137" s="12" t="n">
        <x:v>100</x:v>
      </x:c>
      <x:c r="BJ137" s="12" t="n">
        <x:v>0</x:v>
      </x:c>
      <x:c r="BK137" s="12" t="n">
        <x:v>10.8795</x:v>
      </x:c>
      <x:c r="BL137" s="12" t="n">
        <x:v>1737.4999999999995</x:v>
      </x:c>
      <x:c r="BM137" s="12" t="n">
        <x:v>0</x:v>
      </x:c>
      <x:c r="BN137" s="12" t="n">
        <x:v>172.89559920387606</x:v>
      </x:c>
      <x:c r="BO137" s="12" t="n">
        <x:v>366.90054482217886</x:v>
      </x:c>
      <x:c r="BP137" s="12" t="n">
        <x:v>0</x:v>
      </x:c>
      <x:c r="BQ137" s="12" t="n">
        <x:v>-2.2156638386843848</x:v>
      </x:c>
      <x:c r="BR137" s="12" t="n">
        <x:v>2275.08048018737</x:v>
      </x:c>
      <x:c r="BS137" s="12" t="n">
        <x:v>0.03521876328502416</x:v>
      </x:c>
    </x:row>
    <x:row r="138" ht="21" customHeight="1">
      <x:c r="A138" s="14" t="n">
        <x:v>45659.260416666664</x:v>
      </x:c>
      <x:c r="B138" s="14" t="n">
        <x:v>45659.270833333336</x:v>
      </x:c>
      <x:c r="C138" s="14" t="n">
        <x:v>45659.34375</x:v>
      </x:c>
      <x:c r="D138" s="15" t="n">
        <x:v>45659</x:v>
      </x:c>
      <x:c r="E138" s="12" t="n">
        <x:v>0.25</x:v>
      </x:c>
      <x:c r="F138" s="12" t="str">
        <x:v>FORMAL</x:v>
      </x:c>
      <x:c r="G138" s="14" t="n">
        <x:v>45659.25</x:v>
      </x:c>
      <x:c r="H138" s="12" t="n">
        <x:v>139</x:v>
      </x:c>
      <x:c r="I138" s="12" t="str">
        <x:v>2025-01-02_8</x:v>
      </x:c>
      <x:c r="J138" s="12" t="n">
        <x:v>60</x:v>
      </x:c>
      <x:c r="K138" s="12" t="str">
        <x:v>DA_2025-01-02@4f6782768649</x:v>
      </x:c>
      <x:c r="L138" s="15" t="n">
        <x:v>45657</x:v>
      </x:c>
      <x:c r="M138" s="12" t="n">
        <x:v>4.9741</x:v>
      </x:c>
      <x:c r="N138" s="12" t="str">
        <x:v>BNR2024_BOUNDARY@c4397e7f9c31</x:v>
      </x:c>
      <x:c r="O138" s="12"/>
      <x:c r="P138" s="12"/>
      <x:c r="Q138" s="12"/>
      <x:c r="R138" s="12"/>
      <x:c r="S138" s="12" t="str">
        <x:v>OUT_OF_RESEARCH_COVERAGE_PRE_2025_06</x:v>
      </x:c>
      <x:c r="T138" s="12" t="n">
        <x:v>200</x:v>
      </x:c>
      <x:c r="U138" s="12" t="str">
        <x:v>aFRRUp_2025-01-02T06:00:00Z</x:v>
      </x:c>
      <x:c r="V138" s="12" t="str">
        <x:v>tenderStatistics_2025-01@c14c9dea784d</x:v>
      </x:c>
      <x:c r="W138" s="12" t="n">
        <x:v>13.831647936310086</x:v>
      </x:c>
      <x:c r="X138" s="12" t="str">
        <x:v>PUBLISHED_PROXY</x:v>
      </x:c>
      <x:c r="Y138" s="12" t="n">
        <x:v>200</x:v>
      </x:c>
      <x:c r="Z138" s="12" t="str">
        <x:v>aFRRDown_2025-01-02T06:00:00Z</x:v>
      </x:c>
      <x:c r="AA138" s="12" t="str">
        <x:v>tenderStatistics_2025-01@c14c9dea784d</x:v>
      </x:c>
      <x:c r="AB138" s="12" t="n">
        <x:v>14.676021792887155</x:v>
      </x:c>
      <x:c r="AC138" s="12" t="str">
        <x:v>PUBLISHED_PROXY</x:v>
      </x:c>
      <x:c r="AD138" s="12"/>
      <x:c r="AE138" s="12" t="str">
        <x:v>SOURCE_NULL_NOT_MODELED</x:v>
      </x:c>
      <x:c r="AF138" s="12"/>
      <x:c r="AG138" s="12" t="n">
        <x:v>0</x:v>
      </x:c>
      <x:c r="AH138" s="12" t="str">
        <x:v>PUBLISHED_PROXY</x:v>
      </x:c>
      <x:c r="AI138" s="12" t="n">
        <x:v>0</x:v>
      </x:c>
      <x:c r="AJ138" s="12" t="n">
        <x:v>5.414044751814399</x:v>
      </x:c>
      <x:c r="AK138" s="12" t="str">
        <x:v>PUBLISHED_PROXY</x:v>
      </x:c>
      <x:c r="AL138" s="12" t="n">
        <x:v>13.896</x:v>
      </x:c>
      <x:c r="AM138" s="12" t="str">
        <x:v>marginalPricesOverview_2025-01@5b9daf9d82d7</x:v>
      </x:c>
      <x:c r="AN138" s="12" t="str">
        <x:v>activatedBalancingEnergyOverview_2025-01@4135ac664b2a</x:v>
      </x:c>
      <x:c r="AO138" s="12" t="str">
        <x:v>PUBLISHED_NATIVE</x:v>
      </x:c>
      <x:c r="AP138" s="12" t="n">
        <x:v>0</x:v>
      </x:c>
      <x:c r="AQ138" s="12" t="n">
        <x:v>0.27792</x:v>
      </x:c>
      <x:c r="AR138" s="12" t="n">
        <x:v>0.27792</x:v>
      </x:c>
      <x:c r="AS138" s="13" t="b">
        <x:v>1</x:v>
      </x:c>
      <x:c r="AT138" s="13" t="b">
        <x:v>1</x:v>
      </x:c>
      <x:c r="AU138" s="13" t="b">
        <x:v>1</x:v>
      </x:c>
      <x:c r="AV138" s="13" t="b">
        <x:v>1</x:v>
      </x:c>
      <x:c r="AW138" s="13" t="b">
        <x:v>1</x:v>
      </x:c>
      <x:c r="AX138" s="13" t="b">
        <x:v>0</x:v>
      </x:c>
      <x:c r="AY138" s="13" t="b">
        <x:v>0</x:v>
      </x:c>
      <x:c r="AZ138" s="13" t="b">
        <x:v>1</x:v>
      </x:c>
      <x:c r="BA138" s="12" t="str">
        <x:v>OK</x:v>
      </x:c>
      <x:c r="BB138" s="12" t="str">
        <x:v>OK</x:v>
      </x:c>
      <x:c r="BC138" s="12" t="str">
        <x:v>EUR</x:v>
      </x:c>
      <x:c r="BD138" s="12" t="n">
        <x:v>182.18127217391242</x:v>
      </x:c>
      <x:c r="BE138" s="12" t="n">
        <x:v>175.56648260869503</x:v>
      </x:c>
      <x:c r="BF138" s="12" t="n">
        <x:v>49.999999999999986</x:v>
      </x:c>
      <x:c r="BG138" s="12" t="n">
        <x:v>0</x:v>
      </x:c>
      <x:c r="BH138" s="12" t="n">
        <x:v>50</x:v>
      </x:c>
      <x:c r="BI138" s="12" t="n">
        <x:v>100</x:v>
      </x:c>
      <x:c r="BJ138" s="12" t="n">
        <x:v>0</x:v>
      </x:c>
      <x:c r="BK138" s="12" t="n">
        <x:v>6.948</x:v>
      </x:c>
      <x:c r="BL138" s="12" t="n">
        <x:v>1737.4999999999995</x:v>
      </x:c>
      <x:c r="BM138" s="12" t="n">
        <x:v>0</x:v>
      </x:c>
      <x:c r="BN138" s="12" t="n">
        <x:v>172.89559920387606</x:v>
      </x:c>
      <x:c r="BO138" s="12" t="n">
        <x:v>366.90054482217886</x:v>
      </x:c>
      <x:c r="BP138" s="12" t="n">
        <x:v>0</x:v>
      </x:c>
      <x:c r="BQ138" s="12" t="n">
        <x:v>-37.616782935606444</x:v>
      </x:c>
      <x:c r="BR138" s="12" t="n">
        <x:v>2239.679361090448</x:v>
      </x:c>
      <x:c r="BS138" s="12" t="n">
        <x:v>0.03613041545893719</x:v>
      </x:c>
    </x:row>
    <x:row r="139" ht="21" customHeight="1">
      <x:c r="A139" s="14" t="n">
        <x:v>45659.270833333336</x:v>
      </x:c>
      <x:c r="B139" s="14" t="n">
        <x:v>45659.28125</x:v>
      </x:c>
      <x:c r="C139" s="14" t="n">
        <x:v>45659.354166666664</x:v>
      </x:c>
      <x:c r="D139" s="15" t="n">
        <x:v>45659</x:v>
      </x:c>
      <x:c r="E139" s="12" t="n">
        <x:v>0.25</x:v>
      </x:c>
      <x:c r="F139" s="12" t="str">
        <x:v>FORMAL</x:v>
      </x:c>
      <x:c r="G139" s="14" t="n">
        <x:v>45659.25</x:v>
      </x:c>
      <x:c r="H139" s="12" t="n">
        <x:v>139</x:v>
      </x:c>
      <x:c r="I139" s="12" t="str">
        <x:v>2025-01-02_8</x:v>
      </x:c>
      <x:c r="J139" s="12" t="n">
        <x:v>60</x:v>
      </x:c>
      <x:c r="K139" s="12" t="str">
        <x:v>DA_2025-01-02@4f6782768649</x:v>
      </x:c>
      <x:c r="L139" s="15" t="n">
        <x:v>45657</x:v>
      </x:c>
      <x:c r="M139" s="12" t="n">
        <x:v>4.9741</x:v>
      </x:c>
      <x:c r="N139" s="12" t="str">
        <x:v>BNR2024_BOUNDARY@c4397e7f9c31</x:v>
      </x:c>
      <x:c r="O139" s="12"/>
      <x:c r="P139" s="12"/>
      <x:c r="Q139" s="12"/>
      <x:c r="R139" s="12"/>
      <x:c r="S139" s="12" t="str">
        <x:v>OUT_OF_RESEARCH_COVERAGE_PRE_2025_06</x:v>
      </x:c>
      <x:c r="T139" s="12" t="n">
        <x:v>200</x:v>
      </x:c>
      <x:c r="U139" s="12" t="str">
        <x:v>aFRRUp_2025-01-02T06:00:00Z</x:v>
      </x:c>
      <x:c r="V139" s="12" t="str">
        <x:v>tenderStatistics_2025-01@c14c9dea784d</x:v>
      </x:c>
      <x:c r="W139" s="12" t="n">
        <x:v>13.831647936310086</x:v>
      </x:c>
      <x:c r="X139" s="12" t="str">
        <x:v>PUBLISHED_PROXY</x:v>
      </x:c>
      <x:c r="Y139" s="12" t="n">
        <x:v>200</x:v>
      </x:c>
      <x:c r="Z139" s="12" t="str">
        <x:v>aFRRDown_2025-01-02T06:00:00Z</x:v>
      </x:c>
      <x:c r="AA139" s="12" t="str">
        <x:v>tenderStatistics_2025-01@c14c9dea784d</x:v>
      </x:c>
      <x:c r="AB139" s="12" t="n">
        <x:v>14.676021792887155</x:v>
      </x:c>
      <x:c r="AC139" s="12" t="str">
        <x:v>PUBLISHED_PROXY</x:v>
      </x:c>
      <x:c r="AD139" s="12"/>
      <x:c r="AE139" s="12" t="str">
        <x:v>SOURCE_NULL_NOT_MODELED</x:v>
      </x:c>
      <x:c r="AF139" s="12"/>
      <x:c r="AG139" s="12" t="n">
        <x:v>0</x:v>
      </x:c>
      <x:c r="AH139" s="12" t="str">
        <x:v>PUBLISHED_PROXY</x:v>
      </x:c>
      <x:c r="AI139" s="12" t="n">
        <x:v>0</x:v>
      </x:c>
      <x:c r="AJ139" s="12" t="n">
        <x:v>21.846565207776283</x:v>
      </x:c>
      <x:c r="AK139" s="12" t="str">
        <x:v>PUBLISHED_PROXY</x:v>
      </x:c>
      <x:c r="AL139" s="12" t="n">
        <x:v>3.097</x:v>
      </x:c>
      <x:c r="AM139" s="12" t="str">
        <x:v>marginalPricesOverview_2025-01@5b9daf9d82d7</x:v>
      </x:c>
      <x:c r="AN139" s="12" t="str">
        <x:v>activatedBalancingEnergyOverview_2025-01@4135ac664b2a</x:v>
      </x:c>
      <x:c r="AO139" s="12" t="str">
        <x:v>PUBLISHED_NATIVE</x:v>
      </x:c>
      <x:c r="AP139" s="12" t="n">
        <x:v>0</x:v>
      </x:c>
      <x:c r="AQ139" s="12" t="n">
        <x:v>0.06194</x:v>
      </x:c>
      <x:c r="AR139" s="12" t="n">
        <x:v>0.06194</x:v>
      </x:c>
      <x:c r="AS139" s="13" t="b">
        <x:v>1</x:v>
      </x:c>
      <x:c r="AT139" s="13" t="b">
        <x:v>1</x:v>
      </x:c>
      <x:c r="AU139" s="13" t="b">
        <x:v>1</x:v>
      </x:c>
      <x:c r="AV139" s="13" t="b">
        <x:v>1</x:v>
      </x:c>
      <x:c r="AW139" s="13" t="b">
        <x:v>1</x:v>
      </x:c>
      <x:c r="AX139" s="13" t="b">
        <x:v>0</x:v>
      </x:c>
      <x:c r="AY139" s="13" t="b">
        <x:v>0</x:v>
      </x:c>
      <x:c r="AZ139" s="13" t="b">
        <x:v>1</x:v>
      </x:c>
      <x:c r="BA139" s="12" t="str">
        <x:v>OK</x:v>
      </x:c>
      <x:c r="BB139" s="12" t="str">
        <x:v>OK</x:v>
      </x:c>
      <x:c r="BC139" s="12" t="str">
        <x:v>EUR</x:v>
      </x:c>
      <x:c r="BD139" s="12" t="n">
        <x:v>175.56648260869503</x:v>
      </x:c>
      <x:c r="BE139" s="12" t="n">
        <x:v>163.53341217391244</x:v>
      </x:c>
      <x:c r="BF139" s="12" t="n">
        <x:v>49.999999999999986</x:v>
      </x:c>
      <x:c r="BG139" s="12" t="n">
        <x:v>0</x:v>
      </x:c>
      <x:c r="BH139" s="12" t="n">
        <x:v>50</x:v>
      </x:c>
      <x:c r="BI139" s="12" t="n">
        <x:v>100</x:v>
      </x:c>
      <x:c r="BJ139" s="12" t="n">
        <x:v>0</x:v>
      </x:c>
      <x:c r="BK139" s="12" t="n">
        <x:v>1.5485</x:v>
      </x:c>
      <x:c r="BL139" s="12" t="n">
        <x:v>1737.4999999999995</x:v>
      </x:c>
      <x:c r="BM139" s="12" t="n">
        <x:v>0</x:v>
      </x:c>
      <x:c r="BN139" s="12" t="n">
        <x:v>172.89559920387606</x:v>
      </x:c>
      <x:c r="BO139" s="12" t="n">
        <x:v>366.90054482217886</x:v>
      </x:c>
      <x:c r="BP139" s="12" t="n">
        <x:v>0</x:v>
      </x:c>
      <x:c r="BQ139" s="12" t="n">
        <x:v>-33.82940622424157</x:v>
      </x:c>
      <x:c r="BR139" s="12" t="n">
        <x:v>2243.466737801813</x:v>
      </x:c>
      <x:c r="BS139" s="12" t="n">
        <x:v>0.03738247342995168</x:v>
      </x:c>
    </x:row>
    <x:row r="140" ht="21" customHeight="1">
      <x:c r="A140" s="14" t="n">
        <x:v>45659.28125</x:v>
      </x:c>
      <x:c r="B140" s="14" t="n">
        <x:v>45659.291666666664</x:v>
      </x:c>
      <x:c r="C140" s="14" t="n">
        <x:v>45659.364583333336</x:v>
      </x:c>
      <x:c r="D140" s="15" t="n">
        <x:v>45659</x:v>
      </x:c>
      <x:c r="E140" s="12" t="n">
        <x:v>0.25</x:v>
      </x:c>
      <x:c r="F140" s="12" t="str">
        <x:v>FORMAL</x:v>
      </x:c>
      <x:c r="G140" s="14" t="n">
        <x:v>45659.25</x:v>
      </x:c>
      <x:c r="H140" s="12" t="n">
        <x:v>139</x:v>
      </x:c>
      <x:c r="I140" s="12" t="str">
        <x:v>2025-01-02_8</x:v>
      </x:c>
      <x:c r="J140" s="12" t="n">
        <x:v>60</x:v>
      </x:c>
      <x:c r="K140" s="12" t="str">
        <x:v>DA_2025-01-02@4f6782768649</x:v>
      </x:c>
      <x:c r="L140" s="15" t="n">
        <x:v>45657</x:v>
      </x:c>
      <x:c r="M140" s="12" t="n">
        <x:v>4.9741</x:v>
      </x:c>
      <x:c r="N140" s="12" t="str">
        <x:v>BNR2024_BOUNDARY@c4397e7f9c31</x:v>
      </x:c>
      <x:c r="O140" s="12"/>
      <x:c r="P140" s="12"/>
      <x:c r="Q140" s="12"/>
      <x:c r="R140" s="12"/>
      <x:c r="S140" s="12" t="str">
        <x:v>OUT_OF_RESEARCH_COVERAGE_PRE_2025_06</x:v>
      </x:c>
      <x:c r="T140" s="12" t="n">
        <x:v>200</x:v>
      </x:c>
      <x:c r="U140" s="12" t="str">
        <x:v>aFRRUp_2025-01-02T06:00:00Z</x:v>
      </x:c>
      <x:c r="V140" s="12" t="str">
        <x:v>tenderStatistics_2025-01@c14c9dea784d</x:v>
      </x:c>
      <x:c r="W140" s="12" t="n">
        <x:v>13.831647936310086</x:v>
      </x:c>
      <x:c r="X140" s="12" t="str">
        <x:v>PUBLISHED_PROXY</x:v>
      </x:c>
      <x:c r="Y140" s="12" t="n">
        <x:v>200</x:v>
      </x:c>
      <x:c r="Z140" s="12" t="str">
        <x:v>aFRRDown_2025-01-02T06:00:00Z</x:v>
      </x:c>
      <x:c r="AA140" s="12" t="str">
        <x:v>tenderStatistics_2025-01@c14c9dea784d</x:v>
      </x:c>
      <x:c r="AB140" s="12" t="n">
        <x:v>14.676021792887155</x:v>
      </x:c>
      <x:c r="AC140" s="12" t="str">
        <x:v>PUBLISHED_PROXY</x:v>
      </x:c>
      <x:c r="AD140" s="12"/>
      <x:c r="AE140" s="12" t="str">
        <x:v>SOURCE_NULL_NOT_MODELED</x:v>
      </x:c>
      <x:c r="AF140" s="12"/>
      <x:c r="AG140" s="12" t="n">
        <x:v>90.02191351199212</x:v>
      </x:c>
      <x:c r="AH140" s="12" t="str">
        <x:v>PUBLISHED_PROXY</x:v>
      </x:c>
      <x:c r="AI140" s="12" t="n">
        <x:v>0.018</x:v>
      </x:c>
      <x:c r="AJ140" s="12" t="n">
        <x:v>37.77768842604692</x:v>
      </x:c>
      <x:c r="AK140" s="12" t="str">
        <x:v>PUBLISHED_PROXY</x:v>
      </x:c>
      <x:c r="AL140" s="12" t="n">
        <x:v>0.301</x:v>
      </x:c>
      <x:c r="AM140" s="12" t="str">
        <x:v>marginalPricesOverview_2025-01@5b9daf9d82d7</x:v>
      </x:c>
      <x:c r="AN140" s="12" t="str">
        <x:v>activatedBalancingEnergyOverview_2025-01@4135ac664b2a</x:v>
      </x:c>
      <x:c r="AO140" s="12" t="str">
        <x:v>PUBLISHED_NATIVE</x:v>
      </x:c>
      <x:c r="AP140" s="12" t="n">
        <x:v>0.0003599999999999</x:v>
      </x:c>
      <x:c r="AQ140" s="12" t="n">
        <x:v>0.00602</x:v>
      </x:c>
      <x:c r="AR140" s="12" t="n">
        <x:v>0.00638</x:v>
      </x:c>
      <x:c r="AS140" s="13" t="b">
        <x:v>1</x:v>
      </x:c>
      <x:c r="AT140" s="13" t="b">
        <x:v>1</x:v>
      </x:c>
      <x:c r="AU140" s="13" t="b">
        <x:v>1</x:v>
      </x:c>
      <x:c r="AV140" s="13" t="b">
        <x:v>1</x:v>
      </x:c>
      <x:c r="AW140" s="13" t="b">
        <x:v>1</x:v>
      </x:c>
      <x:c r="AX140" s="13" t="b">
        <x:v>0</x:v>
      </x:c>
      <x:c r="AY140" s="13" t="b">
        <x:v>0</x:v>
      </x:c>
      <x:c r="AZ140" s="13" t="b">
        <x:v>1</x:v>
      </x:c>
      <x:c r="BA140" s="12" t="str">
        <x:v>OK</x:v>
      </x:c>
      <x:c r="BB140" s="12" t="str">
        <x:v>OK</x:v>
      </x:c>
      <x:c r="BC140" s="12" t="str">
        <x:v>EUR</x:v>
      </x:c>
      <x:c r="BD140" s="12" t="n">
        <x:v>163.53341217391244</x:v>
      </x:c>
      <x:c r="BE140" s="12" t="n">
        <x:v>150.09258782608637</x:v>
      </x:c>
      <x:c r="BF140" s="12" t="n">
        <x:v>49.999999999999986</x:v>
      </x:c>
      <x:c r="BG140" s="12" t="n">
        <x:v>0</x:v>
      </x:c>
      <x:c r="BH140" s="12" t="n">
        <x:v>50</x:v>
      </x:c>
      <x:c r="BI140" s="12" t="n">
        <x:v>100</x:v>
      </x:c>
      <x:c r="BJ140" s="12" t="n">
        <x:v>0.0045</x:v>
      </x:c>
      <x:c r="BK140" s="12" t="n">
        <x:v>0.1505</x:v>
      </x:c>
      <x:c r="BL140" s="12" t="n">
        <x:v>1737.4999999999995</x:v>
      </x:c>
      <x:c r="BM140" s="12" t="n">
        <x:v>0</x:v>
      </x:c>
      <x:c r="BN140" s="12" t="n">
        <x:v>172.89559920387606</x:v>
      </x:c>
      <x:c r="BO140" s="12" t="n">
        <x:v>366.90054482217886</x:v>
      </x:c>
      <x:c r="BP140" s="12" t="n">
        <x:v>0.40509861080396453</x:v>
      </x:c>
      <x:c r="BQ140" s="12" t="n">
        <x:v>-5.685542108120061</x:v>
      </x:c>
      <x:c r="BR140" s="12" t="n">
        <x:v>2272.0157005287383</x:v>
      </x:c>
      <x:c r="BS140" s="12" t="n">
        <x:v>0.037720234299516896</x:v>
      </x:c>
    </x:row>
    <x:row r="141" ht="21" customHeight="1">
      <x:c r="A141" s="14" t="n">
        <x:v>45659.291666666664</x:v>
      </x:c>
      <x:c r="B141" s="14" t="n">
        <x:v>45659.302083333336</x:v>
      </x:c>
      <x:c r="C141" s="14" t="n">
        <x:v>45659.375</x:v>
      </x:c>
      <x:c r="D141" s="15" t="n">
        <x:v>45659</x:v>
      </x:c>
      <x:c r="E141" s="12" t="n">
        <x:v>0.25</x:v>
      </x:c>
      <x:c r="F141" s="12" t="str">
        <x:v>FORMAL</x:v>
      </x:c>
      <x:c r="G141" s="14" t="n">
        <x:v>45659.291666666664</x:v>
      </x:c>
      <x:c r="H141" s="12" t="n">
        <x:v>129.07</x:v>
      </x:c>
      <x:c r="I141" s="12" t="str">
        <x:v>2025-01-02_9</x:v>
      </x:c>
      <x:c r="J141" s="12" t="n">
        <x:v>60</x:v>
      </x:c>
      <x:c r="K141" s="12" t="str">
        <x:v>DA_2025-01-02@4f6782768649</x:v>
      </x:c>
      <x:c r="L141" s="15" t="n">
        <x:v>45657</x:v>
      </x:c>
      <x:c r="M141" s="12" t="n">
        <x:v>4.9741</x:v>
      </x:c>
      <x:c r="N141" s="12" t="str">
        <x:v>BNR2024_BOUNDARY@c4397e7f9c31</x:v>
      </x:c>
      <x:c r="O141" s="12"/>
      <x:c r="P141" s="12"/>
      <x:c r="Q141" s="12"/>
      <x:c r="R141" s="12"/>
      <x:c r="S141" s="12" t="str">
        <x:v>OUT_OF_RESEARCH_COVERAGE_PRE_2025_06</x:v>
      </x:c>
      <x:c r="T141" s="12" t="n">
        <x:v>200</x:v>
      </x:c>
      <x:c r="U141" s="12" t="str">
        <x:v>aFRRUp_2025-01-02T07:00:00Z</x:v>
      </x:c>
      <x:c r="V141" s="12" t="str">
        <x:v>tenderStatistics_2025-01@c14c9dea784d</x:v>
      </x:c>
      <x:c r="W141" s="12" t="n">
        <x:v>13.831647936310086</x:v>
      </x:c>
      <x:c r="X141" s="12" t="str">
        <x:v>PUBLISHED_PROXY</x:v>
      </x:c>
      <x:c r="Y141" s="12" t="n">
        <x:v>200</x:v>
      </x:c>
      <x:c r="Z141" s="12" t="str">
        <x:v>aFRRDown_2025-01-02T07:00:00Z</x:v>
      </x:c>
      <x:c r="AA141" s="12" t="str">
        <x:v>tenderStatistics_2025-01@c14c9dea784d</x:v>
      </x:c>
      <x:c r="AB141" s="12" t="n">
        <x:v>14.676021792887155</x:v>
      </x:c>
      <x:c r="AC141" s="12" t="str">
        <x:v>PUBLISHED_PROXY</x:v>
      </x:c>
      <x:c r="AD141" s="12"/>
      <x:c r="AE141" s="12" t="str">
        <x:v>SOURCE_NULL_NOT_MODELED</x:v>
      </x:c>
      <x:c r="AF141" s="12"/>
      <x:c r="AG141" s="12" t="n">
        <x:v>121.58420618805413</x:v>
      </x:c>
      <x:c r="AH141" s="12" t="str">
        <x:v>PUBLISHED_PROXY</x:v>
      </x:c>
      <x:c r="AI141" s="12" t="n">
        <x:v>0.197</x:v>
      </x:c>
      <x:c r="AJ141" s="12" t="n">
        <x:v>58.3020043827024</x:v>
      </x:c>
      <x:c r="AK141" s="12" t="str">
        <x:v>PUBLISHED_PROXY</x:v>
      </x:c>
      <x:c r="AL141" s="12" t="n">
        <x:v>0.065</x:v>
      </x:c>
      <x:c r="AM141" s="12" t="str">
        <x:v>marginalPricesOverview_2025-01@5b9daf9d82d7</x:v>
      </x:c>
      <x:c r="AN141" s="12" t="str">
        <x:v>activatedBalancingEnergyOverview_2025-01@4135ac664b2a</x:v>
      </x:c>
      <x:c r="AO141" s="12" t="str">
        <x:v>PUBLISHED_NATIVE</x:v>
      </x:c>
      <x:c r="AP141" s="12" t="n">
        <x:v>0.00394</x:v>
      </x:c>
      <x:c r="AQ141" s="12" t="n">
        <x:v>0.0013</x:v>
      </x:c>
      <x:c r="AR141" s="12" t="n">
        <x:v>0.00524</x:v>
      </x:c>
      <x:c r="AS141" s="13" t="b">
        <x:v>1</x:v>
      </x:c>
      <x:c r="AT141" s="13" t="b">
        <x:v>1</x:v>
      </x:c>
      <x:c r="AU141" s="13" t="b">
        <x:v>1</x:v>
      </x:c>
      <x:c r="AV141" s="13" t="b">
        <x:v>1</x:v>
      </x:c>
      <x:c r="AW141" s="13" t="b">
        <x:v>1</x:v>
      </x:c>
      <x:c r="AX141" s="13" t="b">
        <x:v>0</x:v>
      </x:c>
      <x:c r="AY141" s="13" t="b">
        <x:v>0</x:v>
      </x:c>
      <x:c r="AZ141" s="13" t="b">
        <x:v>1</x:v>
      </x:c>
      <x:c r="BA141" s="12" t="str">
        <x:v>OK</x:v>
      </x:c>
      <x:c r="BB141" s="12" t="str">
        <x:v>OK</x:v>
      </x:c>
      <x:c r="BC141" s="12" t="str">
        <x:v>EUR</x:v>
      </x:c>
      <x:c r="BD141" s="12" t="n">
        <x:v>150.09258782608637</x:v>
      </x:c>
      <x:c r="BE141" s="12" t="n">
        <x:v>150.01542260869508</x:v>
      </x:c>
      <x:c r="BF141" s="12" t="n">
        <x:v>0</x:v>
      </x:c>
      <x:c r="BG141" s="12" t="n">
        <x:v>0</x:v>
      </x:c>
      <x:c r="BH141" s="12" t="n">
        <x:v>100</x:v>
      </x:c>
      <x:c r="BI141" s="12" t="n">
        <x:v>100</x:v>
      </x:c>
      <x:c r="BJ141" s="12" t="n">
        <x:v>0.0985</x:v>
      </x:c>
      <x:c r="BK141" s="12" t="n">
        <x:v>0.0325</x:v>
      </x:c>
      <x:c r="BL141" s="12" t="n">
        <x:v>0</x:v>
      </x:c>
      <x:c r="BM141" s="12" t="n">
        <x:v>0</x:v>
      </x:c>
      <x:c r="BN141" s="12" t="n">
        <x:v>345.7911984077521</x:v>
      </x:c>
      <x:c r="BO141" s="12" t="n">
        <x:v>366.90054482217886</x:v>
      </x:c>
      <x:c r="BP141" s="12" t="n">
        <x:v>11.976044309523331</x:v>
      </x:c>
      <x:c r="BQ141" s="12" t="n">
        <x:v>-1.8948151424378281</x:v>
      </x:c>
      <x:c r="BR141" s="12" t="n">
        <x:v>722.7729723970165</x:v>
      </x:c>
      <x:c r="BS141" s="12" t="n">
        <x:v>0.00038045893719806766</x:v>
      </x:c>
    </x:row>
    <x:row r="142" ht="21" customHeight="1">
      <x:c r="A142" s="14" t="n">
        <x:v>45659.302083333336</x:v>
      </x:c>
      <x:c r="B142" s="14" t="n">
        <x:v>45659.3125</x:v>
      </x:c>
      <x:c r="C142" s="14" t="n">
        <x:v>45659.385416666664</x:v>
      </x:c>
      <x:c r="D142" s="15" t="n">
        <x:v>45659</x:v>
      </x:c>
      <x:c r="E142" s="12" t="n">
        <x:v>0.25</x:v>
      </x:c>
      <x:c r="F142" s="12" t="str">
        <x:v>FORMAL</x:v>
      </x:c>
      <x:c r="G142" s="14" t="n">
        <x:v>45659.291666666664</x:v>
      </x:c>
      <x:c r="H142" s="12" t="n">
        <x:v>129.07</x:v>
      </x:c>
      <x:c r="I142" s="12" t="str">
        <x:v>2025-01-02_9</x:v>
      </x:c>
      <x:c r="J142" s="12" t="n">
        <x:v>60</x:v>
      </x:c>
      <x:c r="K142" s="12" t="str">
        <x:v>DA_2025-01-02@4f6782768649</x:v>
      </x:c>
      <x:c r="L142" s="15" t="n">
        <x:v>45657</x:v>
      </x:c>
      <x:c r="M142" s="12" t="n">
        <x:v>4.9741</x:v>
      </x:c>
      <x:c r="N142" s="12" t="str">
        <x:v>BNR2024_BOUNDARY@c4397e7f9c31</x:v>
      </x:c>
      <x:c r="O142" s="12"/>
      <x:c r="P142" s="12"/>
      <x:c r="Q142" s="12"/>
      <x:c r="R142" s="12"/>
      <x:c r="S142" s="12" t="str">
        <x:v>OUT_OF_RESEARCH_COVERAGE_PRE_2025_06</x:v>
      </x:c>
      <x:c r="T142" s="12" t="n">
        <x:v>200</x:v>
      </x:c>
      <x:c r="U142" s="12" t="str">
        <x:v>aFRRUp_2025-01-02T07:00:00Z</x:v>
      </x:c>
      <x:c r="V142" s="12" t="str">
        <x:v>tenderStatistics_2025-01@c14c9dea784d</x:v>
      </x:c>
      <x:c r="W142" s="12" t="n">
        <x:v>13.831647936310086</x:v>
      </x:c>
      <x:c r="X142" s="12" t="str">
        <x:v>PUBLISHED_PROXY</x:v>
      </x:c>
      <x:c r="Y142" s="12" t="n">
        <x:v>200</x:v>
      </x:c>
      <x:c r="Z142" s="12" t="str">
        <x:v>aFRRDown_2025-01-02T07:00:00Z</x:v>
      </x:c>
      <x:c r="AA142" s="12" t="str">
        <x:v>tenderStatistics_2025-01@c14c9dea784d</x:v>
      </x:c>
      <x:c r="AB142" s="12" t="n">
        <x:v>14.676021792887155</x:v>
      </x:c>
      <x:c r="AC142" s="12" t="str">
        <x:v>PUBLISHED_PROXY</x:v>
      </x:c>
      <x:c r="AD142" s="12"/>
      <x:c r="AE142" s="12" t="str">
        <x:v>SOURCE_NULL_NOT_MODELED</x:v>
      </x:c>
      <x:c r="AF142" s="12"/>
      <x:c r="AG142" s="12" t="n">
        <x:v>84.7590518887839</x:v>
      </x:c>
      <x:c r="AH142" s="12" t="str">
        <x:v>PUBLISHED_PROXY</x:v>
      </x:c>
      <x:c r="AI142" s="12" t="n">
        <x:v>0.075</x:v>
      </x:c>
      <x:c r="AJ142" s="12" t="n">
        <x:v>47.90233409058925</x:v>
      </x:c>
      <x:c r="AK142" s="12" t="str">
        <x:v>PUBLISHED_PROXY</x:v>
      </x:c>
      <x:c r="AL142" s="12" t="n">
        <x:v>0.218</x:v>
      </x:c>
      <x:c r="AM142" s="12" t="str">
        <x:v>marginalPricesOverview_2025-01@5b9daf9d82d7</x:v>
      </x:c>
      <x:c r="AN142" s="12" t="str">
        <x:v>activatedBalancingEnergyOverview_2025-01@4135ac664b2a</x:v>
      </x:c>
      <x:c r="AO142" s="12" t="str">
        <x:v>PUBLISHED_NATIVE</x:v>
      </x:c>
      <x:c r="AP142" s="12" t="n">
        <x:v>0.0015</x:v>
      </x:c>
      <x:c r="AQ142" s="12" t="n">
        <x:v>0.00436</x:v>
      </x:c>
      <x:c r="AR142" s="12" t="n">
        <x:v>0.00586</x:v>
      </x:c>
      <x:c r="AS142" s="13" t="b">
        <x:v>1</x:v>
      </x:c>
      <x:c r="AT142" s="13" t="b">
        <x:v>1</x:v>
      </x:c>
      <x:c r="AU142" s="13" t="b">
        <x:v>1</x:v>
      </x:c>
      <x:c r="AV142" s="13" t="b">
        <x:v>1</x:v>
      </x:c>
      <x:c r="AW142" s="13" t="b">
        <x:v>1</x:v>
      </x:c>
      <x:c r="AX142" s="13" t="b">
        <x:v>0</x:v>
      </x:c>
      <x:c r="AY142" s="13" t="b">
        <x:v>0</x:v>
      </x:c>
      <x:c r="AZ142" s="13" t="b">
        <x:v>1</x:v>
      </x:c>
      <x:c r="BA142" s="12" t="str">
        <x:v>OK</x:v>
      </x:c>
      <x:c r="BB142" s="12" t="str">
        <x:v>OK</x:v>
      </x:c>
      <x:c r="BC142" s="12" t="str">
        <x:v>EUR</x:v>
      </x:c>
      <x:c r="BD142" s="12" t="n">
        <x:v>150.01542260869508</x:v>
      </x:c>
      <x:c r="BE142" s="12" t="n">
        <x:v>150.07494173912986</x:v>
      </x:c>
      <x:c r="BF142" s="12" t="n">
        <x:v>0</x:v>
      </x:c>
      <x:c r="BG142" s="12" t="n">
        <x:v>0</x:v>
      </x:c>
      <x:c r="BH142" s="12" t="n">
        <x:v>100</x:v>
      </x:c>
      <x:c r="BI142" s="12" t="n">
        <x:v>100</x:v>
      </x:c>
      <x:c r="BJ142" s="12" t="n">
        <x:v>0.0375</x:v>
      </x:c>
      <x:c r="BK142" s="12" t="n">
        <x:v>0.109</x:v>
      </x:c>
      <x:c r="BL142" s="12" t="n">
        <x:v>0</x:v>
      </x:c>
      <x:c r="BM142" s="12" t="n">
        <x:v>0</x:v>
      </x:c>
      <x:c r="BN142" s="12" t="n">
        <x:v>345.7911984077521</x:v>
      </x:c>
      <x:c r="BO142" s="12" t="n">
        <x:v>366.90054482217886</x:v>
      </x:c>
      <x:c r="BP142" s="12" t="n">
        <x:v>3.178464445829396</x:v>
      </x:c>
      <x:c r="BQ142" s="12" t="n">
        <x:v>-5.221354415874228</x:v>
      </x:c>
      <x:c r="BR142" s="12" t="n">
        <x:v>710.6488532598861</x:v>
      </x:c>
      <x:c r="BS142" s="12" t="n">
        <x:v>0.00039178019323671503</x:v>
      </x:c>
    </x:row>
    <x:row r="143" ht="21" customHeight="1">
      <x:c r="A143" s="14" t="n">
        <x:v>45659.3125</x:v>
      </x:c>
      <x:c r="B143" s="14" t="n">
        <x:v>45659.322916666664</x:v>
      </x:c>
      <x:c r="C143" s="14" t="n">
        <x:v>45659.395833333336</x:v>
      </x:c>
      <x:c r="D143" s="15" t="n">
        <x:v>45659</x:v>
      </x:c>
      <x:c r="E143" s="12" t="n">
        <x:v>0.25</x:v>
      </x:c>
      <x:c r="F143" s="12" t="str">
        <x:v>FORMAL</x:v>
      </x:c>
      <x:c r="G143" s="14" t="n">
        <x:v>45659.291666666664</x:v>
      </x:c>
      <x:c r="H143" s="12" t="n">
        <x:v>129.07</x:v>
      </x:c>
      <x:c r="I143" s="12" t="str">
        <x:v>2025-01-02_9</x:v>
      </x:c>
      <x:c r="J143" s="12" t="n">
        <x:v>60</x:v>
      </x:c>
      <x:c r="K143" s="12" t="str">
        <x:v>DA_2025-01-02@4f6782768649</x:v>
      </x:c>
      <x:c r="L143" s="15" t="n">
        <x:v>45657</x:v>
      </x:c>
      <x:c r="M143" s="12" t="n">
        <x:v>4.9741</x:v>
      </x:c>
      <x:c r="N143" s="12" t="str">
        <x:v>BNR2024_BOUNDARY@c4397e7f9c31</x:v>
      </x:c>
      <x:c r="O143" s="12"/>
      <x:c r="P143" s="12"/>
      <x:c r="Q143" s="12"/>
      <x:c r="R143" s="12"/>
      <x:c r="S143" s="12" t="str">
        <x:v>OUT_OF_RESEARCH_COVERAGE_PRE_2025_06</x:v>
      </x:c>
      <x:c r="T143" s="12" t="n">
        <x:v>200</x:v>
      </x:c>
      <x:c r="U143" s="12" t="str">
        <x:v>aFRRUp_2025-01-02T07:00:00Z</x:v>
      </x:c>
      <x:c r="V143" s="12" t="str">
        <x:v>tenderStatistics_2025-01@c14c9dea784d</x:v>
      </x:c>
      <x:c r="W143" s="12" t="n">
        <x:v>13.831647936310086</x:v>
      </x:c>
      <x:c r="X143" s="12" t="str">
        <x:v>PUBLISHED_PROXY</x:v>
      </x:c>
      <x:c r="Y143" s="12" t="n">
        <x:v>200</x:v>
      </x:c>
      <x:c r="Z143" s="12" t="str">
        <x:v>aFRRDown_2025-01-02T07:00:00Z</x:v>
      </x:c>
      <x:c r="AA143" s="12" t="str">
        <x:v>tenderStatistics_2025-01@c14c9dea784d</x:v>
      </x:c>
      <x:c r="AB143" s="12" t="n">
        <x:v>14.676021792887155</x:v>
      </x:c>
      <x:c r="AC143" s="12" t="str">
        <x:v>PUBLISHED_PROXY</x:v>
      </x:c>
      <x:c r="AD143" s="12"/>
      <x:c r="AE143" s="12" t="str">
        <x:v>SOURCE_NULL_NOT_MODELED</x:v>
      </x:c>
      <x:c r="AF143" s="12"/>
      <x:c r="AG143" s="12" t="n">
        <x:v>0</x:v>
      </x:c>
      <x:c r="AH143" s="12" t="str">
        <x:v>PUBLISHED_PROXY</x:v>
      </x:c>
      <x:c r="AI143" s="12" t="n">
        <x:v>0</x:v>
      </x:c>
      <x:c r="AJ143" s="12" t="n">
        <x:v>3.4633401017269456</x:v>
      </x:c>
      <x:c r="AK143" s="12" t="str">
        <x:v>PUBLISHED_PROXY</x:v>
      </x:c>
      <x:c r="AL143" s="12" t="n">
        <x:v>12.741</x:v>
      </x:c>
      <x:c r="AM143" s="12" t="str">
        <x:v>marginalPricesOverview_2025-01@5b9daf9d82d7</x:v>
      </x:c>
      <x:c r="AN143" s="12" t="str">
        <x:v>activatedBalancingEnergyOverview_2025-01@4135ac664b2a</x:v>
      </x:c>
      <x:c r="AO143" s="12" t="str">
        <x:v>PUBLISHED_NATIVE</x:v>
      </x:c>
      <x:c r="AP143" s="12" t="n">
        <x:v>0</x:v>
      </x:c>
      <x:c r="AQ143" s="12" t="n">
        <x:v>0.25482</x:v>
      </x:c>
      <x:c r="AR143" s="12" t="n">
        <x:v>0.25482</x:v>
      </x:c>
      <x:c r="AS143" s="13" t="b">
        <x:v>1</x:v>
      </x:c>
      <x:c r="AT143" s="13" t="b">
        <x:v>1</x:v>
      </x:c>
      <x:c r="AU143" s="13" t="b">
        <x:v>1</x:v>
      </x:c>
      <x:c r="AV143" s="13" t="b">
        <x:v>1</x:v>
      </x:c>
      <x:c r="AW143" s="13" t="b">
        <x:v>1</x:v>
      </x:c>
      <x:c r="AX143" s="13" t="b">
        <x:v>0</x:v>
      </x:c>
      <x:c r="AY143" s="13" t="b">
        <x:v>0</x:v>
      </x:c>
      <x:c r="AZ143" s="13" t="b">
        <x:v>1</x:v>
      </x:c>
      <x:c r="BA143" s="12" t="str">
        <x:v>OK</x:v>
      </x:c>
      <x:c r="BB143" s="12" t="str">
        <x:v>OK</x:v>
      </x:c>
      <x:c r="BC143" s="12" t="str">
        <x:v>EUR</x:v>
      </x:c>
      <x:c r="BD143" s="12" t="n">
        <x:v>150.07494173912986</x:v>
      </x:c>
      <x:c r="BE143" s="12" t="n">
        <x:v>155.93580173912986</x:v>
      </x:c>
      <x:c r="BF143" s="12" t="n">
        <x:v>0</x:v>
      </x:c>
      <x:c r="BG143" s="12" t="n">
        <x:v>0</x:v>
      </x:c>
      <x:c r="BH143" s="12" t="n">
        <x:v>100</x:v>
      </x:c>
      <x:c r="BI143" s="12" t="n">
        <x:v>100</x:v>
      </x:c>
      <x:c r="BJ143" s="12" t="n">
        <x:v>0</x:v>
      </x:c>
      <x:c r="BK143" s="12" t="n">
        <x:v>6.3705</x:v>
      </x:c>
      <x:c r="BL143" s="12" t="n">
        <x:v>0</x:v>
      </x:c>
      <x:c r="BM143" s="12" t="n">
        <x:v>0</x:v>
      </x:c>
      <x:c r="BN143" s="12" t="n">
        <x:v>345.7911984077521</x:v>
      </x:c>
      <x:c r="BO143" s="12" t="n">
        <x:v>366.90054482217886</x:v>
      </x:c>
      <x:c r="BP143" s="12" t="n">
        <x:v>0</x:v>
      </x:c>
      <x:c r="BQ143" s="12" t="n">
        <x:v>-22.063208118051506</x:v>
      </x:c>
      <x:c r="BR143" s="12" t="n">
        <x:v>690.6285351118795</x:v>
      </x:c>
      <x:c r="BS143" s="12" t="n">
        <x:v>0.016280166666666665</x:v>
      </x:c>
    </x:row>
    <x:row r="144" ht="21" customHeight="1">
      <x:c r="A144" s="14" t="n">
        <x:v>45659.322916666664</x:v>
      </x:c>
      <x:c r="B144" s="14" t="n">
        <x:v>45659.333333333336</x:v>
      </x:c>
      <x:c r="C144" s="14" t="n">
        <x:v>45659.40625</x:v>
      </x:c>
      <x:c r="D144" s="15" t="n">
        <x:v>45659</x:v>
      </x:c>
      <x:c r="E144" s="12" t="n">
        <x:v>0.25</x:v>
      </x:c>
      <x:c r="F144" s="12" t="str">
        <x:v>FORMAL</x:v>
      </x:c>
      <x:c r="G144" s="14" t="n">
        <x:v>45659.291666666664</x:v>
      </x:c>
      <x:c r="H144" s="12" t="n">
        <x:v>129.07</x:v>
      </x:c>
      <x:c r="I144" s="12" t="str">
        <x:v>2025-01-02_9</x:v>
      </x:c>
      <x:c r="J144" s="12" t="n">
        <x:v>60</x:v>
      </x:c>
      <x:c r="K144" s="12" t="str">
        <x:v>DA_2025-01-02@4f6782768649</x:v>
      </x:c>
      <x:c r="L144" s="15" t="n">
        <x:v>45657</x:v>
      </x:c>
      <x:c r="M144" s="12" t="n">
        <x:v>4.9741</x:v>
      </x:c>
      <x:c r="N144" s="12" t="str">
        <x:v>BNR2024_BOUNDARY@c4397e7f9c31</x:v>
      </x:c>
      <x:c r="O144" s="12"/>
      <x:c r="P144" s="12"/>
      <x:c r="Q144" s="12"/>
      <x:c r="R144" s="12"/>
      <x:c r="S144" s="12" t="str">
        <x:v>OUT_OF_RESEARCH_COVERAGE_PRE_2025_06</x:v>
      </x:c>
      <x:c r="T144" s="12" t="n">
        <x:v>200</x:v>
      </x:c>
      <x:c r="U144" s="12" t="str">
        <x:v>aFRRUp_2025-01-02T07:00:00Z</x:v>
      </x:c>
      <x:c r="V144" s="12" t="str">
        <x:v>tenderStatistics_2025-01@c14c9dea784d</x:v>
      </x:c>
      <x:c r="W144" s="12" t="n">
        <x:v>13.831647936310086</x:v>
      </x:c>
      <x:c r="X144" s="12" t="str">
        <x:v>PUBLISHED_PROXY</x:v>
      </x:c>
      <x:c r="Y144" s="12" t="n">
        <x:v>200</x:v>
      </x:c>
      <x:c r="Z144" s="12" t="str">
        <x:v>aFRRDown_2025-01-02T07:00:00Z</x:v>
      </x:c>
      <x:c r="AA144" s="12" t="str">
        <x:v>tenderStatistics_2025-01@c14c9dea784d</x:v>
      </x:c>
      <x:c r="AB144" s="12" t="n">
        <x:v>14.676021792887155</x:v>
      </x:c>
      <x:c r="AC144" s="12" t="str">
        <x:v>PUBLISHED_PROXY</x:v>
      </x:c>
      <x:c r="AD144" s="12"/>
      <x:c r="AE144" s="12" t="str">
        <x:v>SOURCE_NULL_NOT_MODELED</x:v>
      </x:c>
      <x:c r="AF144" s="12"/>
      <x:c r="AG144" s="12" t="n">
        <x:v>0</x:v>
      </x:c>
      <x:c r="AH144" s="12" t="str">
        <x:v>PUBLISHED_PROXY</x:v>
      </x:c>
      <x:c r="AI144" s="12" t="n">
        <x:v>0</x:v>
      </x:c>
      <x:c r="AJ144" s="12" t="n">
        <x:v>-52.10269194427132</x:v>
      </x:c>
      <x:c r="AK144" s="12" t="str">
        <x:v>PUBLISHED_PROXY</x:v>
      </x:c>
      <x:c r="AL144" s="12" t="n">
        <x:v>32.123</x:v>
      </x:c>
      <x:c r="AM144" s="12" t="str">
        <x:v>marginalPricesOverview_2025-01@5b9daf9d82d7</x:v>
      </x:c>
      <x:c r="AN144" s="12" t="str">
        <x:v>activatedBalancingEnergyOverview_2025-01@4135ac664b2a</x:v>
      </x:c>
      <x:c r="AO144" s="12" t="str">
        <x:v>PUBLISHED_NATIVE</x:v>
      </x:c>
      <x:c r="AP144" s="12" t="n">
        <x:v>0</x:v>
      </x:c>
      <x:c r="AQ144" s="12" t="n">
        <x:v>0.6424599999999999</x:v>
      </x:c>
      <x:c r="AR144" s="12" t="n">
        <x:v>0.6424599999999999</x:v>
      </x:c>
      <x:c r="AS144" s="13" t="b">
        <x:v>1</x:v>
      </x:c>
      <x:c r="AT144" s="13" t="b">
        <x:v>1</x:v>
      </x:c>
      <x:c r="AU144" s="13" t="b">
        <x:v>1</x:v>
      </x:c>
      <x:c r="AV144" s="13" t="b">
        <x:v>1</x:v>
      </x:c>
      <x:c r="AW144" s="13" t="b">
        <x:v>1</x:v>
      </x:c>
      <x:c r="AX144" s="13" t="b">
        <x:v>0</x:v>
      </x:c>
      <x:c r="AY144" s="13" t="b">
        <x:v>0</x:v>
      </x:c>
      <x:c r="AZ144" s="13" t="b">
        <x:v>1</x:v>
      </x:c>
      <x:c r="BA144" s="12" t="str">
        <x:v>OK</x:v>
      </x:c>
      <x:c r="BB144" s="12" t="str">
        <x:v>OK</x:v>
      </x:c>
      <x:c r="BC144" s="12" t="str">
        <x:v>EUR</x:v>
      </x:c>
      <x:c r="BD144" s="12" t="n">
        <x:v>155.93580173912986</x:v>
      </x:c>
      <x:c r="BE144" s="12" t="n">
        <x:v>170.71238173912985</x:v>
      </x:c>
      <x:c r="BF144" s="12" t="n">
        <x:v>0</x:v>
      </x:c>
      <x:c r="BG144" s="12" t="n">
        <x:v>0</x:v>
      </x:c>
      <x:c r="BH144" s="12" t="n">
        <x:v>100</x:v>
      </x:c>
      <x:c r="BI144" s="12" t="n">
        <x:v>100</x:v>
      </x:c>
      <x:c r="BJ144" s="12" t="n">
        <x:v>0</x:v>
      </x:c>
      <x:c r="BK144" s="12" t="n">
        <x:v>16.0615</x:v>
      </x:c>
      <x:c r="BL144" s="12" t="n">
        <x:v>0</x:v>
      </x:c>
      <x:c r="BM144" s="12" t="n">
        <x:v>0</x:v>
      </x:c>
      <x:c r="BN144" s="12" t="n">
        <x:v>345.7911984077521</x:v>
      </x:c>
      <x:c r="BO144" s="12" t="n">
        <x:v>366.90054482217886</x:v>
      </x:c>
      <x:c r="BP144" s="12" t="n">
        <x:v>0</x:v>
      </x:c>
      <x:c r="BQ144" s="12" t="n">
        <x:v>836.8473866629138</x:v>
      </x:c>
      <x:c r="BR144" s="12" t="n">
        <x:v>1549.5391298928448</x:v>
      </x:c>
      <x:c r="BS144" s="12" t="n">
        <x:v>0.04104605555555555</x:v>
      </x:c>
    </x:row>
    <x:row r="145" ht="21" customHeight="1">
      <x:c r="A145" s="14" t="n">
        <x:v>45659.333333333336</x:v>
      </x:c>
      <x:c r="B145" s="14" t="n">
        <x:v>45659.34375</x:v>
      </x:c>
      <x:c r="C145" s="14" t="n">
        <x:v>45659.416666666664</x:v>
      </x:c>
      <x:c r="D145" s="15" t="n">
        <x:v>45659</x:v>
      </x:c>
      <x:c r="E145" s="12" t="n">
        <x:v>0.25</x:v>
      </x:c>
      <x:c r="F145" s="12" t="str">
        <x:v>FORMAL</x:v>
      </x:c>
      <x:c r="G145" s="14" t="n">
        <x:v>45659.333333333336</x:v>
      </x:c>
      <x:c r="H145" s="12" t="n">
        <x:v>129.78</x:v>
      </x:c>
      <x:c r="I145" s="12" t="str">
        <x:v>2025-01-02_10</x:v>
      </x:c>
      <x:c r="J145" s="12" t="n">
        <x:v>60</x:v>
      </x:c>
      <x:c r="K145" s="12" t="str">
        <x:v>DA_2025-01-02@4f6782768649</x:v>
      </x:c>
      <x:c r="L145" s="15" t="n">
        <x:v>45657</x:v>
      </x:c>
      <x:c r="M145" s="12" t="n">
        <x:v>4.9741</x:v>
      </x:c>
      <x:c r="N145" s="12" t="str">
        <x:v>BNR2024_BOUNDARY@c4397e7f9c31</x:v>
      </x:c>
      <x:c r="O145" s="12"/>
      <x:c r="P145" s="12"/>
      <x:c r="Q145" s="12"/>
      <x:c r="R145" s="12"/>
      <x:c r="S145" s="12" t="str">
        <x:v>OUT_OF_RESEARCH_COVERAGE_PRE_2025_06</x:v>
      </x:c>
      <x:c r="T145" s="12" t="n">
        <x:v>200</x:v>
      </x:c>
      <x:c r="U145" s="12" t="str">
        <x:v>aFRRUp_2025-01-02T08:00:00Z</x:v>
      </x:c>
      <x:c r="V145" s="12" t="str">
        <x:v>tenderStatistics_2025-01@c14c9dea784d</x:v>
      </x:c>
      <x:c r="W145" s="12" t="n">
        <x:v>13.831647936310086</x:v>
      </x:c>
      <x:c r="X145" s="12" t="str">
        <x:v>PUBLISHED_PROXY</x:v>
      </x:c>
      <x:c r="Y145" s="12" t="n">
        <x:v>200</x:v>
      </x:c>
      <x:c r="Z145" s="12" t="str">
        <x:v>aFRRDown_2025-01-02T08:00:00Z</x:v>
      </x:c>
      <x:c r="AA145" s="12" t="str">
        <x:v>tenderStatistics_2025-01@c14c9dea784d</x:v>
      </x:c>
      <x:c r="AB145" s="12" t="n">
        <x:v>14.710198829939085</x:v>
      </x:c>
      <x:c r="AC145" s="12" t="str">
        <x:v>PUBLISHED_PROXY</x:v>
      </x:c>
      <x:c r="AD145" s="12"/>
      <x:c r="AE145" s="12" t="str">
        <x:v>SOURCE_NULL_NOT_MODELED</x:v>
      </x:c>
      <x:c r="AF145" s="12"/>
      <x:c r="AG145" s="12" t="n">
        <x:v>0</x:v>
      </x:c>
      <x:c r="AH145" s="12" t="str">
        <x:v>PUBLISHED_PROXY</x:v>
      </x:c>
      <x:c r="AI145" s="12" t="n">
        <x:v>0</x:v>
      </x:c>
      <x:c r="AJ145" s="12" t="n">
        <x:v>8.397499045053378</x:v>
      </x:c>
      <x:c r="AK145" s="12" t="str">
        <x:v>PUBLISHED_PROXY</x:v>
      </x:c>
      <x:c r="AL145" s="12" t="n">
        <x:v>7.075</x:v>
      </x:c>
      <x:c r="AM145" s="12" t="str">
        <x:v>marginalPricesOverview_2025-01@5b9daf9d82d7</x:v>
      </x:c>
      <x:c r="AN145" s="12" t="str">
        <x:v>activatedBalancingEnergyOverview_2025-01@4135ac664b2a</x:v>
      </x:c>
      <x:c r="AO145" s="12" t="str">
        <x:v>PUBLISHED_NATIVE</x:v>
      </x:c>
      <x:c r="AP145" s="12" t="n">
        <x:v>0</x:v>
      </x:c>
      <x:c r="AQ145" s="12" t="n">
        <x:v>0.1415</x:v>
      </x:c>
      <x:c r="AR145" s="12" t="n">
        <x:v>0.1415</x:v>
      </x:c>
      <x:c r="AS145" s="13" t="b">
        <x:v>1</x:v>
      </x:c>
      <x:c r="AT145" s="13" t="b">
        <x:v>1</x:v>
      </x:c>
      <x:c r="AU145" s="13" t="b">
        <x:v>1</x:v>
      </x:c>
      <x:c r="AV145" s="13" t="b">
        <x:v>1</x:v>
      </x:c>
      <x:c r="AW145" s="13" t="b">
        <x:v>1</x:v>
      </x:c>
      <x:c r="AX145" s="13" t="b">
        <x:v>0</x:v>
      </x:c>
      <x:c r="AY145" s="13" t="b">
        <x:v>0</x:v>
      </x:c>
      <x:c r="AZ145" s="13" t="b">
        <x:v>1</x:v>
      </x:c>
      <x:c r="BA145" s="12" t="str">
        <x:v>OK</x:v>
      </x:c>
      <x:c r="BB145" s="12" t="str">
        <x:v>OK</x:v>
      </x:c>
      <x:c r="BC145" s="12" t="str">
        <x:v>EUR</x:v>
      </x:c>
      <x:c r="BD145" s="12" t="n">
        <x:v>170.71238173912985</x:v>
      </x:c>
      <x:c r="BE145" s="12" t="n">
        <x:v>173.96688173912986</x:v>
      </x:c>
      <x:c r="BF145" s="12" t="n">
        <x:v>0</x:v>
      </x:c>
      <x:c r="BG145" s="12" t="n">
        <x:v>0</x:v>
      </x:c>
      <x:c r="BH145" s="12" t="n">
        <x:v>100</x:v>
      </x:c>
      <x:c r="BI145" s="12" t="n">
        <x:v>100</x:v>
      </x:c>
      <x:c r="BJ145" s="12" t="n">
        <x:v>0</x:v>
      </x:c>
      <x:c r="BK145" s="12" t="n">
        <x:v>3.5375000000000005</x:v>
      </x:c>
      <x:c r="BL145" s="12" t="n">
        <x:v>0</x:v>
      </x:c>
      <x:c r="BM145" s="12" t="n">
        <x:v>0</x:v>
      </x:c>
      <x:c r="BN145" s="12" t="n">
        <x:v>345.7911984077521</x:v>
      </x:c>
      <x:c r="BO145" s="12" t="n">
        <x:v>367.7549707484771</x:v>
      </x:c>
      <x:c r="BP145" s="12" t="n">
        <x:v>0</x:v>
      </x:c>
      <x:c r="BQ145" s="12" t="n">
        <x:v>-29.706152871876327</x:v>
      </x:c>
      <x:c r="BR145" s="12" t="n">
        <x:v>683.8400162843529</x:v>
      </x:c>
      <x:c r="BS145" s="12" t="n">
        <x:v>0.009040277777777779</x:v>
      </x:c>
    </x:row>
    <x:row r="146" ht="21" customHeight="1">
      <x:c r="A146" s="14" t="n">
        <x:v>45659.34375</x:v>
      </x:c>
      <x:c r="B146" s="14" t="n">
        <x:v>45659.354166666664</x:v>
      </x:c>
      <x:c r="C146" s="14" t="n">
        <x:v>45659.427083333336</x:v>
      </x:c>
      <x:c r="D146" s="15" t="n">
        <x:v>45659</x:v>
      </x:c>
      <x:c r="E146" s="12" t="n">
        <x:v>0.25</x:v>
      </x:c>
      <x:c r="F146" s="12" t="str">
        <x:v>FORMAL</x:v>
      </x:c>
      <x:c r="G146" s="14" t="n">
        <x:v>45659.333333333336</x:v>
      </x:c>
      <x:c r="H146" s="12" t="n">
        <x:v>129.78</x:v>
      </x:c>
      <x:c r="I146" s="12" t="str">
        <x:v>2025-01-02_10</x:v>
      </x:c>
      <x:c r="J146" s="12" t="n">
        <x:v>60</x:v>
      </x:c>
      <x:c r="K146" s="12" t="str">
        <x:v>DA_2025-01-02@4f6782768649</x:v>
      </x:c>
      <x:c r="L146" s="15" t="n">
        <x:v>45657</x:v>
      </x:c>
      <x:c r="M146" s="12" t="n">
        <x:v>4.9741</x:v>
      </x:c>
      <x:c r="N146" s="12" t="str">
        <x:v>BNR2024_BOUNDARY@c4397e7f9c31</x:v>
      </x:c>
      <x:c r="O146" s="12"/>
      <x:c r="P146" s="12"/>
      <x:c r="Q146" s="12"/>
      <x:c r="R146" s="12"/>
      <x:c r="S146" s="12" t="str">
        <x:v>OUT_OF_RESEARCH_COVERAGE_PRE_2025_06</x:v>
      </x:c>
      <x:c r="T146" s="12" t="n">
        <x:v>200</x:v>
      </x:c>
      <x:c r="U146" s="12" t="str">
        <x:v>aFRRUp_2025-01-02T08:00:00Z</x:v>
      </x:c>
      <x:c r="V146" s="12" t="str">
        <x:v>tenderStatistics_2025-01@c14c9dea784d</x:v>
      </x:c>
      <x:c r="W146" s="12" t="n">
        <x:v>13.831647936310086</x:v>
      </x:c>
      <x:c r="X146" s="12" t="str">
        <x:v>PUBLISHED_PROXY</x:v>
      </x:c>
      <x:c r="Y146" s="12" t="n">
        <x:v>200</x:v>
      </x:c>
      <x:c r="Z146" s="12" t="str">
        <x:v>aFRRDown_2025-01-02T08:00:00Z</x:v>
      </x:c>
      <x:c r="AA146" s="12" t="str">
        <x:v>tenderStatistics_2025-01@c14c9dea784d</x:v>
      </x:c>
      <x:c r="AB146" s="12" t="n">
        <x:v>14.710198829939085</x:v>
      </x:c>
      <x:c r="AC146" s="12" t="str">
        <x:v>PUBLISHED_PROXY</x:v>
      </x:c>
      <x:c r="AD146" s="12"/>
      <x:c r="AE146" s="12" t="str">
        <x:v>SOURCE_NULL_NOT_MODELED</x:v>
      </x:c>
      <x:c r="AF146" s="12"/>
      <x:c r="AG146" s="12" t="n">
        <x:v>0</x:v>
      </x:c>
      <x:c r="AH146" s="12" t="str">
        <x:v>PUBLISHED_PROXY</x:v>
      </x:c>
      <x:c r="AI146" s="12" t="n">
        <x:v>0</x:v>
      </x:c>
      <x:c r="AJ146" s="12" t="n">
        <x:v>25.69248708309041</x:v>
      </x:c>
      <x:c r="AK146" s="12" t="str">
        <x:v>PUBLISHED_PROXY</x:v>
      </x:c>
      <x:c r="AL146" s="12" t="n">
        <x:v>1.968</x:v>
      </x:c>
      <x:c r="AM146" s="12" t="str">
        <x:v>marginalPricesOverview_2025-01@5b9daf9d82d7</x:v>
      </x:c>
      <x:c r="AN146" s="12" t="str">
        <x:v>activatedBalancingEnergyOverview_2025-01@4135ac664b2a</x:v>
      </x:c>
      <x:c r="AO146" s="12" t="str">
        <x:v>PUBLISHED_NATIVE</x:v>
      </x:c>
      <x:c r="AP146" s="12" t="n">
        <x:v>0</x:v>
      </x:c>
      <x:c r="AQ146" s="12" t="n">
        <x:v>0.03936</x:v>
      </x:c>
      <x:c r="AR146" s="12" t="n">
        <x:v>0.03936</x:v>
      </x:c>
      <x:c r="AS146" s="13" t="b">
        <x:v>1</x:v>
      </x:c>
      <x:c r="AT146" s="13" t="b">
        <x:v>1</x:v>
      </x:c>
      <x:c r="AU146" s="13" t="b">
        <x:v>1</x:v>
      </x:c>
      <x:c r="AV146" s="13" t="b">
        <x:v>1</x:v>
      </x:c>
      <x:c r="AW146" s="13" t="b">
        <x:v>1</x:v>
      </x:c>
      <x:c r="AX146" s="13" t="b">
        <x:v>0</x:v>
      </x:c>
      <x:c r="AY146" s="13" t="b">
        <x:v>0</x:v>
      </x:c>
      <x:c r="AZ146" s="13" t="b">
        <x:v>1</x:v>
      </x:c>
      <x:c r="BA146" s="12" t="str">
        <x:v>OK</x:v>
      </x:c>
      <x:c r="BB146" s="12" t="str">
        <x:v>OK</x:v>
      </x:c>
      <x:c r="BC146" s="12" t="str">
        <x:v>EUR</x:v>
      </x:c>
      <x:c r="BD146" s="12" t="n">
        <x:v>173.96688173912986</x:v>
      </x:c>
      <x:c r="BE146" s="12" t="n">
        <x:v>174.87216173912987</x:v>
      </x:c>
      <x:c r="BF146" s="12" t="n">
        <x:v>0</x:v>
      </x:c>
      <x:c r="BG146" s="12" t="n">
        <x:v>0</x:v>
      </x:c>
      <x:c r="BH146" s="12" t="n">
        <x:v>100</x:v>
      </x:c>
      <x:c r="BI146" s="12" t="n">
        <x:v>100</x:v>
      </x:c>
      <x:c r="BJ146" s="12" t="n">
        <x:v>0</x:v>
      </x:c>
      <x:c r="BK146" s="12" t="n">
        <x:v>0.984</x:v>
      </x:c>
      <x:c r="BL146" s="12" t="n">
        <x:v>0</x:v>
      </x:c>
      <x:c r="BM146" s="12" t="n">
        <x:v>0</x:v>
      </x:c>
      <x:c r="BN146" s="12" t="n">
        <x:v>345.7911984077521</x:v>
      </x:c>
      <x:c r="BO146" s="12" t="n">
        <x:v>367.7549707484771</x:v>
      </x:c>
      <x:c r="BP146" s="12" t="n">
        <x:v>0</x:v>
      </x:c>
      <x:c r="BQ146" s="12" t="n">
        <x:v>-25.281407289760963</x:v>
      </x:c>
      <x:c r="BR146" s="12" t="n">
        <x:v>688.2647618664682</x:v>
      </x:c>
      <x:c r="BS146" s="12" t="n">
        <x:v>0.002514666666666667</x:v>
      </x:c>
    </x:row>
    <x:row r="147" ht="21" customHeight="1">
      <x:c r="A147" s="14" t="n">
        <x:v>45659.354166666664</x:v>
      </x:c>
      <x:c r="B147" s="14" t="n">
        <x:v>45659.364583333336</x:v>
      </x:c>
      <x:c r="C147" s="14" t="n">
        <x:v>45659.4375</x:v>
      </x:c>
      <x:c r="D147" s="15" t="n">
        <x:v>45659</x:v>
      </x:c>
      <x:c r="E147" s="12" t="n">
        <x:v>0.25</x:v>
      </x:c>
      <x:c r="F147" s="12" t="str">
        <x:v>FORMAL</x:v>
      </x:c>
      <x:c r="G147" s="14" t="n">
        <x:v>45659.333333333336</x:v>
      </x:c>
      <x:c r="H147" s="12" t="n">
        <x:v>129.78</x:v>
      </x:c>
      <x:c r="I147" s="12" t="str">
        <x:v>2025-01-02_10</x:v>
      </x:c>
      <x:c r="J147" s="12" t="n">
        <x:v>60</x:v>
      </x:c>
      <x:c r="K147" s="12" t="str">
        <x:v>DA_2025-01-02@4f6782768649</x:v>
      </x:c>
      <x:c r="L147" s="15" t="n">
        <x:v>45657</x:v>
      </x:c>
      <x:c r="M147" s="12" t="n">
        <x:v>4.9741</x:v>
      </x:c>
      <x:c r="N147" s="12" t="str">
        <x:v>BNR2024_BOUNDARY@c4397e7f9c31</x:v>
      </x:c>
      <x:c r="O147" s="12"/>
      <x:c r="P147" s="12"/>
      <x:c r="Q147" s="12"/>
      <x:c r="R147" s="12"/>
      <x:c r="S147" s="12" t="str">
        <x:v>OUT_OF_RESEARCH_COVERAGE_PRE_2025_06</x:v>
      </x:c>
      <x:c r="T147" s="12" t="n">
        <x:v>200</x:v>
      </x:c>
      <x:c r="U147" s="12" t="str">
        <x:v>aFRRUp_2025-01-02T08:00:00Z</x:v>
      </x:c>
      <x:c r="V147" s="12" t="str">
        <x:v>tenderStatistics_2025-01@c14c9dea784d</x:v>
      </x:c>
      <x:c r="W147" s="12" t="n">
        <x:v>13.831647936310086</x:v>
      </x:c>
      <x:c r="X147" s="12" t="str">
        <x:v>PUBLISHED_PROXY</x:v>
      </x:c>
      <x:c r="Y147" s="12" t="n">
        <x:v>200</x:v>
      </x:c>
      <x:c r="Z147" s="12" t="str">
        <x:v>aFRRDown_2025-01-02T08:00:00Z</x:v>
      </x:c>
      <x:c r="AA147" s="12" t="str">
        <x:v>tenderStatistics_2025-01@c14c9dea784d</x:v>
      </x:c>
      <x:c r="AB147" s="12" t="n">
        <x:v>14.710198829939085</x:v>
      </x:c>
      <x:c r="AC147" s="12" t="str">
        <x:v>PUBLISHED_PROXY</x:v>
      </x:c>
      <x:c r="AD147" s="12"/>
      <x:c r="AE147" s="12" t="str">
        <x:v>SOURCE_NULL_NOT_MODELED</x:v>
      </x:c>
      <x:c r="AF147" s="12"/>
      <x:c r="AG147" s="12" t="n">
        <x:v>0</x:v>
      </x:c>
      <x:c r="AH147" s="12" t="str">
        <x:v>PUBLISHED_PROXY</x:v>
      </x:c>
      <x:c r="AI147" s="12" t="n">
        <x:v>0</x:v>
      </x:c>
      <x:c r="AJ147" s="12" t="n">
        <x:v>20.759735429524937</x:v>
      </x:c>
      <x:c r="AK147" s="12" t="str">
        <x:v>PUBLISHED_PROXY</x:v>
      </x:c>
      <x:c r="AL147" s="12" t="n">
        <x:v>3.783</x:v>
      </x:c>
      <x:c r="AM147" s="12" t="str">
        <x:v>marginalPricesOverview_2025-01@5b9daf9d82d7</x:v>
      </x:c>
      <x:c r="AN147" s="12" t="str">
        <x:v>activatedBalancingEnergyOverview_2025-01@4135ac664b2a</x:v>
      </x:c>
      <x:c r="AO147" s="12" t="str">
        <x:v>PUBLISHED_NATIVE</x:v>
      </x:c>
      <x:c r="AP147" s="12" t="n">
        <x:v>0</x:v>
      </x:c>
      <x:c r="AQ147" s="12" t="n">
        <x:v>0.07566</x:v>
      </x:c>
      <x:c r="AR147" s="12" t="n">
        <x:v>0.07566</x:v>
      </x:c>
      <x:c r="AS147" s="13" t="b">
        <x:v>1</x:v>
      </x:c>
      <x:c r="AT147" s="13" t="b">
        <x:v>1</x:v>
      </x:c>
      <x:c r="AU147" s="13" t="b">
        <x:v>1</x:v>
      </x:c>
      <x:c r="AV147" s="13" t="b">
        <x:v>1</x:v>
      </x:c>
      <x:c r="AW147" s="13" t="b">
        <x:v>1</x:v>
      </x:c>
      <x:c r="AX147" s="13" t="b">
        <x:v>0</x:v>
      </x:c>
      <x:c r="AY147" s="13" t="b">
        <x:v>0</x:v>
      </x:c>
      <x:c r="AZ147" s="13" t="b">
        <x:v>1</x:v>
      </x:c>
      <x:c r="BA147" s="12" t="str">
        <x:v>OK</x:v>
      </x:c>
      <x:c r="BB147" s="12" t="str">
        <x:v>OK</x:v>
      </x:c>
      <x:c r="BC147" s="12" t="str">
        <x:v>EUR</x:v>
      </x:c>
      <x:c r="BD147" s="12" t="n">
        <x:v>174.87216173912987</x:v>
      </x:c>
      <x:c r="BE147" s="12" t="n">
        <x:v>176.61234173912987</x:v>
      </x:c>
      <x:c r="BF147" s="12" t="n">
        <x:v>0</x:v>
      </x:c>
      <x:c r="BG147" s="12" t="n">
        <x:v>0</x:v>
      </x:c>
      <x:c r="BH147" s="12" t="n">
        <x:v>100</x:v>
      </x:c>
      <x:c r="BI147" s="12" t="n">
        <x:v>100</x:v>
      </x:c>
      <x:c r="BJ147" s="12" t="n">
        <x:v>0</x:v>
      </x:c>
      <x:c r="BK147" s="12" t="n">
        <x:v>1.8915000000000002</x:v>
      </x:c>
      <x:c r="BL147" s="12" t="n">
        <x:v>0</x:v>
      </x:c>
      <x:c r="BM147" s="12" t="n">
        <x:v>0</x:v>
      </x:c>
      <x:c r="BN147" s="12" t="n">
        <x:v>345.7911984077521</x:v>
      </x:c>
      <x:c r="BO147" s="12" t="n">
        <x:v>367.7549707484771</x:v>
      </x:c>
      <x:c r="BP147" s="12" t="n">
        <x:v>0</x:v>
      </x:c>
      <x:c r="BQ147" s="12" t="n">
        <x:v>-39.26703956494642</x:v>
      </x:c>
      <x:c r="BR147" s="12" t="n">
        <x:v>674.2791295912828</x:v>
      </x:c>
      <x:c r="BS147" s="12" t="n">
        <x:v>0.004833833333333334</x:v>
      </x:c>
    </x:row>
    <x:row r="148" ht="21" customHeight="1">
      <x:c r="A148" s="14" t="n">
        <x:v>45659.364583333336</x:v>
      </x:c>
      <x:c r="B148" s="14" t="n">
        <x:v>45659.375</x:v>
      </x:c>
      <x:c r="C148" s="14" t="n">
        <x:v>45659.447916666664</x:v>
      </x:c>
      <x:c r="D148" s="15" t="n">
        <x:v>45659</x:v>
      </x:c>
      <x:c r="E148" s="12" t="n">
        <x:v>0.25</x:v>
      </x:c>
      <x:c r="F148" s="12" t="str">
        <x:v>FORMAL</x:v>
      </x:c>
      <x:c r="G148" s="14" t="n">
        <x:v>45659.333333333336</x:v>
      </x:c>
      <x:c r="H148" s="12" t="n">
        <x:v>129.78</x:v>
      </x:c>
      <x:c r="I148" s="12" t="str">
        <x:v>2025-01-02_10</x:v>
      </x:c>
      <x:c r="J148" s="12" t="n">
        <x:v>60</x:v>
      </x:c>
      <x:c r="K148" s="12" t="str">
        <x:v>DA_2025-01-02@4f6782768649</x:v>
      </x:c>
      <x:c r="L148" s="15" t="n">
        <x:v>45657</x:v>
      </x:c>
      <x:c r="M148" s="12" t="n">
        <x:v>4.9741</x:v>
      </x:c>
      <x:c r="N148" s="12" t="str">
        <x:v>BNR2024_BOUNDARY@c4397e7f9c31</x:v>
      </x:c>
      <x:c r="O148" s="12"/>
      <x:c r="P148" s="12"/>
      <x:c r="Q148" s="12"/>
      <x:c r="R148" s="12"/>
      <x:c r="S148" s="12" t="str">
        <x:v>OUT_OF_RESEARCH_COVERAGE_PRE_2025_06</x:v>
      </x:c>
      <x:c r="T148" s="12" t="n">
        <x:v>200</x:v>
      </x:c>
      <x:c r="U148" s="12" t="str">
        <x:v>aFRRUp_2025-01-02T08:00:00Z</x:v>
      </x:c>
      <x:c r="V148" s="12" t="str">
        <x:v>tenderStatistics_2025-01@c14c9dea784d</x:v>
      </x:c>
      <x:c r="W148" s="12" t="n">
        <x:v>13.831647936310086</x:v>
      </x:c>
      <x:c r="X148" s="12" t="str">
        <x:v>PUBLISHED_PROXY</x:v>
      </x:c>
      <x:c r="Y148" s="12" t="n">
        <x:v>200</x:v>
      </x:c>
      <x:c r="Z148" s="12" t="str">
        <x:v>aFRRDown_2025-01-02T08:00:00Z</x:v>
      </x:c>
      <x:c r="AA148" s="12" t="str">
        <x:v>tenderStatistics_2025-01@c14c9dea784d</x:v>
      </x:c>
      <x:c r="AB148" s="12" t="n">
        <x:v>14.710198829939085</x:v>
      </x:c>
      <x:c r="AC148" s="12" t="str">
        <x:v>PUBLISHED_PROXY</x:v>
      </x:c>
      <x:c r="AD148" s="12"/>
      <x:c r="AE148" s="12" t="str">
        <x:v>SOURCE_NULL_NOT_MODELED</x:v>
      </x:c>
      <x:c r="AF148" s="12"/>
      <x:c r="AG148" s="12" t="n">
        <x:v>0</x:v>
      </x:c>
      <x:c r="AH148" s="12" t="str">
        <x:v>PUBLISHED_PROXY</x:v>
      </x:c>
      <x:c r="AI148" s="12" t="n">
        <x:v>0</x:v>
      </x:c>
      <x:c r="AJ148" s="12" t="n">
        <x:v>19.618423433384933</x:v>
      </x:c>
      <x:c r="AK148" s="12" t="str">
        <x:v>PUBLISHED_PROXY</x:v>
      </x:c>
      <x:c r="AL148" s="12" t="n">
        <x:v>4.011</x:v>
      </x:c>
      <x:c r="AM148" s="12" t="str">
        <x:v>marginalPricesOverview_2025-01@5b9daf9d82d7</x:v>
      </x:c>
      <x:c r="AN148" s="12" t="str">
        <x:v>activatedBalancingEnergyOverview_2025-01@4135ac664b2a</x:v>
      </x:c>
      <x:c r="AO148" s="12" t="str">
        <x:v>PUBLISHED_NATIVE</x:v>
      </x:c>
      <x:c r="AP148" s="12" t="n">
        <x:v>0</x:v>
      </x:c>
      <x:c r="AQ148" s="12" t="n">
        <x:v>0.08022</x:v>
      </x:c>
      <x:c r="AR148" s="12" t="n">
        <x:v>0.08022</x:v>
      </x:c>
      <x:c r="AS148" s="13" t="b">
        <x:v>1</x:v>
      </x:c>
      <x:c r="AT148" s="13" t="b">
        <x:v>1</x:v>
      </x:c>
      <x:c r="AU148" s="13" t="b">
        <x:v>1</x:v>
      </x:c>
      <x:c r="AV148" s="13" t="b">
        <x:v>1</x:v>
      </x:c>
      <x:c r="AW148" s="13" t="b">
        <x:v>1</x:v>
      </x:c>
      <x:c r="AX148" s="13" t="b">
        <x:v>0</x:v>
      </x:c>
      <x:c r="AY148" s="13" t="b">
        <x:v>0</x:v>
      </x:c>
      <x:c r="AZ148" s="13" t="b">
        <x:v>1</x:v>
      </x:c>
      <x:c r="BA148" s="12" t="str">
        <x:v>OK</x:v>
      </x:c>
      <x:c r="BB148" s="12" t="str">
        <x:v>OK</x:v>
      </x:c>
      <x:c r="BC148" s="12" t="str">
        <x:v>EUR</x:v>
      </x:c>
      <x:c r="BD148" s="12" t="n">
        <x:v>176.61234173912987</x:v>
      </x:c>
      <x:c r="BE148" s="12" t="n">
        <x:v>178.45740173912986</x:v>
      </x:c>
      <x:c r="BF148" s="12" t="n">
        <x:v>0</x:v>
      </x:c>
      <x:c r="BG148" s="12" t="n">
        <x:v>0</x:v>
      </x:c>
      <x:c r="BH148" s="12" t="n">
        <x:v>100</x:v>
      </x:c>
      <x:c r="BI148" s="12" t="n">
        <x:v>100</x:v>
      </x:c>
      <x:c r="BJ148" s="12" t="n">
        <x:v>0</x:v>
      </x:c>
      <x:c r="BK148" s="12" t="n">
        <x:v>2.0055</x:v>
      </x:c>
      <x:c r="BL148" s="12" t="n">
        <x:v>0</x:v>
      </x:c>
      <x:c r="BM148" s="12" t="n">
        <x:v>0</x:v>
      </x:c>
      <x:c r="BN148" s="12" t="n">
        <x:v>345.7911984077521</x:v>
      </x:c>
      <x:c r="BO148" s="12" t="n">
        <x:v>367.7549707484771</x:v>
      </x:c>
      <x:c r="BP148" s="12" t="n">
        <x:v>0</x:v>
      </x:c>
      <x:c r="BQ148" s="12" t="n">
        <x:v>-39.34474819565349</x:v>
      </x:c>
      <x:c r="BR148" s="12" t="n">
        <x:v>674.2014209605758</x:v>
      </x:c>
      <x:c r="BS148" s="12" t="n">
        <x:v>0.005125166666666667</x:v>
      </x:c>
    </x:row>
    <x:row r="149" ht="21" customHeight="1">
      <x:c r="A149" s="14" t="n">
        <x:v>45659.375</x:v>
      </x:c>
      <x:c r="B149" s="14" t="n">
        <x:v>45659.385416666664</x:v>
      </x:c>
      <x:c r="C149" s="14" t="n">
        <x:v>45659.458333333336</x:v>
      </x:c>
      <x:c r="D149" s="15" t="n">
        <x:v>45659</x:v>
      </x:c>
      <x:c r="E149" s="12" t="n">
        <x:v>0.25</x:v>
      </x:c>
      <x:c r="F149" s="12" t="str">
        <x:v>FORMAL</x:v>
      </x:c>
      <x:c r="G149" s="14" t="n">
        <x:v>45659.375</x:v>
      </x:c>
      <x:c r="H149" s="12" t="n">
        <x:v>128.35</x:v>
      </x:c>
      <x:c r="I149" s="12" t="str">
        <x:v>2025-01-02_11</x:v>
      </x:c>
      <x:c r="J149" s="12" t="n">
        <x:v>60</x:v>
      </x:c>
      <x:c r="K149" s="12" t="str">
        <x:v>DA_2025-01-02@4f6782768649</x:v>
      </x:c>
      <x:c r="L149" s="15" t="n">
        <x:v>45657</x:v>
      </x:c>
      <x:c r="M149" s="12" t="n">
        <x:v>4.9741</x:v>
      </x:c>
      <x:c r="N149" s="12" t="str">
        <x:v>BNR2024_BOUNDARY@c4397e7f9c31</x:v>
      </x:c>
      <x:c r="O149" s="12"/>
      <x:c r="P149" s="12"/>
      <x:c r="Q149" s="12"/>
      <x:c r="R149" s="12"/>
      <x:c r="S149" s="12" t="str">
        <x:v>OUT_OF_RESEARCH_COVERAGE_PRE_2025_06</x:v>
      </x:c>
      <x:c r="T149" s="12" t="n">
        <x:v>200</x:v>
      </x:c>
      <x:c r="U149" s="12" t="str">
        <x:v>aFRRUp_2025-01-02T09:00:00Z</x:v>
      </x:c>
      <x:c r="V149" s="12" t="str">
        <x:v>tenderStatistics_2025-01@c14c9dea784d</x:v>
      </x:c>
      <x:c r="W149" s="12" t="n">
        <x:v>13.71102309965622</x:v>
      </x:c>
      <x:c r="X149" s="12" t="str">
        <x:v>PUBLISHED_PROXY</x:v>
      </x:c>
      <x:c r="Y149" s="12" t="n">
        <x:v>200</x:v>
      </x:c>
      <x:c r="Z149" s="12" t="str">
        <x:v>aFRRDown_2025-01-02T09:00:00Z</x:v>
      </x:c>
      <x:c r="AA149" s="12" t="str">
        <x:v>tenderStatistics_2025-01@c14c9dea784d</x:v>
      </x:c>
      <x:c r="AB149" s="12" t="n">
        <x:v>14.710198829939085</x:v>
      </x:c>
      <x:c r="AC149" s="12" t="str">
        <x:v>PUBLISHED_PROXY</x:v>
      </x:c>
      <x:c r="AD149" s="12"/>
      <x:c r="AE149" s="12" t="str">
        <x:v>SOURCE_NULL_NOT_MODELED</x:v>
      </x:c>
      <x:c r="AF149" s="12"/>
      <x:c r="AG149" s="12" t="n">
        <x:v>134.45748979714924</x:v>
      </x:c>
      <x:c r="AH149" s="12" t="str">
        <x:v>PUBLISHED_PROXY</x:v>
      </x:c>
      <x:c r="AI149" s="12" t="n">
        <x:v>1.222</x:v>
      </x:c>
      <x:c r="AJ149" s="12" t="n">
        <x:v>0</x:v>
      </x:c>
      <x:c r="AK149" s="12" t="str">
        <x:v>PUBLISHED_PROXY</x:v>
      </x:c>
      <x:c r="AL149" s="12" t="n">
        <x:v>0</x:v>
      </x:c>
      <x:c r="AM149" s="12" t="str">
        <x:v>marginalPricesOverview_2025-01@5b9daf9d82d7</x:v>
      </x:c>
      <x:c r="AN149" s="12" t="str">
        <x:v>activatedBalancingEnergyOverview_2025-01@4135ac664b2a</x:v>
      </x:c>
      <x:c r="AO149" s="12" t="str">
        <x:v>PUBLISHED_NATIVE</x:v>
      </x:c>
      <x:c r="AP149" s="12" t="n">
        <x:v>0.02444</x:v>
      </x:c>
      <x:c r="AQ149" s="12" t="n">
        <x:v>0</x:v>
      </x:c>
      <x:c r="AR149" s="12" t="n">
        <x:v>0.02444</x:v>
      </x:c>
      <x:c r="AS149" s="13" t="b">
        <x:v>1</x:v>
      </x:c>
      <x:c r="AT149" s="13" t="b">
        <x:v>1</x:v>
      </x:c>
      <x:c r="AU149" s="13" t="b">
        <x:v>1</x:v>
      </x:c>
      <x:c r="AV149" s="13" t="b">
        <x:v>1</x:v>
      </x:c>
      <x:c r="AW149" s="13" t="b">
        <x:v>1</x:v>
      </x:c>
      <x:c r="AX149" s="13" t="b">
        <x:v>0</x:v>
      </x:c>
      <x:c r="AY149" s="13" t="b">
        <x:v>0</x:v>
      </x:c>
      <x:c r="AZ149" s="13" t="b">
        <x:v>1</x:v>
      </x:c>
      <x:c r="BA149" s="12" t="str">
        <x:v>OK</x:v>
      </x:c>
      <x:c r="BB149" s="12" t="str">
        <x:v>OK</x:v>
      </x:c>
      <x:c r="BC149" s="12" t="str">
        <x:v>EUR</x:v>
      </x:c>
      <x:c r="BD149" s="12" t="n">
        <x:v>178.45740173912986</x:v>
      </x:c>
      <x:c r="BE149" s="12" t="n">
        <x:v>177.79327130434726</x:v>
      </x:c>
      <x:c r="BF149" s="12" t="n">
        <x:v>0</x:v>
      </x:c>
      <x:c r="BG149" s="12" t="n">
        <x:v>0</x:v>
      </x:c>
      <x:c r="BH149" s="12" t="n">
        <x:v>100</x:v>
      </x:c>
      <x:c r="BI149" s="12" t="n">
        <x:v>100</x:v>
      </x:c>
      <x:c r="BJ149" s="12" t="n">
        <x:v>0.611</x:v>
      </x:c>
      <x:c r="BK149" s="12" t="n">
        <x:v>0</x:v>
      </x:c>
      <x:c r="BL149" s="12" t="n">
        <x:v>0</x:v>
      </x:c>
      <x:c r="BM149" s="12" t="n">
        <x:v>0</x:v>
      </x:c>
      <x:c r="BN149" s="12" t="n">
        <x:v>342.7755774914055</x:v>
      </x:c>
      <x:c r="BO149" s="12" t="n">
        <x:v>367.7549707484771</x:v>
      </x:c>
      <x:c r="BP149" s="12" t="n">
        <x:v>82.15352626605818</x:v>
      </x:c>
      <x:c r="BQ149" s="12" t="n">
        <x:v>0</x:v>
      </x:c>
      <x:c r="BR149" s="12" t="n">
        <x:v>792.6840745059408</x:v>
      </x:c>
      <x:c r="BS149" s="12" t="n">
        <x:v>0.0018448067632850242</x:v>
      </x:c>
    </x:row>
    <x:row r="150" ht="21" customHeight="1">
      <x:c r="A150" s="14" t="n">
        <x:v>45659.385416666664</x:v>
      </x:c>
      <x:c r="B150" s="14" t="n">
        <x:v>45659.395833333336</x:v>
      </x:c>
      <x:c r="C150" s="14" t="n">
        <x:v>45659.46875</x:v>
      </x:c>
      <x:c r="D150" s="15" t="n">
        <x:v>45659</x:v>
      </x:c>
      <x:c r="E150" s="12" t="n">
        <x:v>0.25</x:v>
      </x:c>
      <x:c r="F150" s="12" t="str">
        <x:v>FORMAL</x:v>
      </x:c>
      <x:c r="G150" s="14" t="n">
        <x:v>45659.375</x:v>
      </x:c>
      <x:c r="H150" s="12" t="n">
        <x:v>128.35</x:v>
      </x:c>
      <x:c r="I150" s="12" t="str">
        <x:v>2025-01-02_11</x:v>
      </x:c>
      <x:c r="J150" s="12" t="n">
        <x:v>60</x:v>
      </x:c>
      <x:c r="K150" s="12" t="str">
        <x:v>DA_2025-01-02@4f6782768649</x:v>
      </x:c>
      <x:c r="L150" s="15" t="n">
        <x:v>45657</x:v>
      </x:c>
      <x:c r="M150" s="12" t="n">
        <x:v>4.9741</x:v>
      </x:c>
      <x:c r="N150" s="12" t="str">
        <x:v>BNR2024_BOUNDARY@c4397e7f9c31</x:v>
      </x:c>
      <x:c r="O150" s="12"/>
      <x:c r="P150" s="12"/>
      <x:c r="Q150" s="12"/>
      <x:c r="R150" s="12"/>
      <x:c r="S150" s="12" t="str">
        <x:v>OUT_OF_RESEARCH_COVERAGE_PRE_2025_06</x:v>
      </x:c>
      <x:c r="T150" s="12" t="n">
        <x:v>200</x:v>
      </x:c>
      <x:c r="U150" s="12" t="str">
        <x:v>aFRRUp_2025-01-02T09:00:00Z</x:v>
      </x:c>
      <x:c r="V150" s="12" t="str">
        <x:v>tenderStatistics_2025-01@c14c9dea784d</x:v>
      </x:c>
      <x:c r="W150" s="12" t="n">
        <x:v>13.71102309965622</x:v>
      </x:c>
      <x:c r="X150" s="12" t="str">
        <x:v>PUBLISHED_PROXY</x:v>
      </x:c>
      <x:c r="Y150" s="12" t="n">
        <x:v>200</x:v>
      </x:c>
      <x:c r="Z150" s="12" t="str">
        <x:v>aFRRDown_2025-01-02T09:00:00Z</x:v>
      </x:c>
      <x:c r="AA150" s="12" t="str">
        <x:v>tenderStatistics_2025-01@c14c9dea784d</x:v>
      </x:c>
      <x:c r="AB150" s="12" t="n">
        <x:v>14.710198829939085</x:v>
      </x:c>
      <x:c r="AC150" s="12" t="str">
        <x:v>PUBLISHED_PROXY</x:v>
      </x:c>
      <x:c r="AD150" s="12"/>
      <x:c r="AE150" s="12" t="str">
        <x:v>SOURCE_NULL_NOT_MODELED</x:v>
      </x:c>
      <x:c r="AF150" s="12"/>
      <x:c r="AG150" s="12" t="n">
        <x:v>0</x:v>
      </x:c>
      <x:c r="AH150" s="12" t="str">
        <x:v>PUBLISHED_PROXY</x:v>
      </x:c>
      <x:c r="AI150" s="12" t="n">
        <x:v>0</x:v>
      </x:c>
      <x:c r="AJ150" s="12" t="n">
        <x:v>26.47373394181862</x:v>
      </x:c>
      <x:c r="AK150" s="12" t="str">
        <x:v>PUBLISHED_PROXY</x:v>
      </x:c>
      <x:c r="AL150" s="12" t="n">
        <x:v>1.141</x:v>
      </x:c>
      <x:c r="AM150" s="12" t="str">
        <x:v>marginalPricesOverview_2025-01@5b9daf9d82d7</x:v>
      </x:c>
      <x:c r="AN150" s="12" t="str">
        <x:v>activatedBalancingEnergyOverview_2025-01@4135ac664b2a</x:v>
      </x:c>
      <x:c r="AO150" s="12" t="str">
        <x:v>PUBLISHED_NATIVE</x:v>
      </x:c>
      <x:c r="AP150" s="12" t="n">
        <x:v>0</x:v>
      </x:c>
      <x:c r="AQ150" s="12" t="n">
        <x:v>0.02282</x:v>
      </x:c>
      <x:c r="AR150" s="12" t="n">
        <x:v>0.02282</x:v>
      </x:c>
      <x:c r="AS150" s="13" t="b">
        <x:v>1</x:v>
      </x:c>
      <x:c r="AT150" s="13" t="b">
        <x:v>1</x:v>
      </x:c>
      <x:c r="AU150" s="13" t="b">
        <x:v>1</x:v>
      </x:c>
      <x:c r="AV150" s="13" t="b">
        <x:v>1</x:v>
      </x:c>
      <x:c r="AW150" s="13" t="b">
        <x:v>1</x:v>
      </x:c>
      <x:c r="AX150" s="13" t="b">
        <x:v>0</x:v>
      </x:c>
      <x:c r="AY150" s="13" t="b">
        <x:v>0</x:v>
      </x:c>
      <x:c r="AZ150" s="13" t="b">
        <x:v>1</x:v>
      </x:c>
      <x:c r="BA150" s="12" t="str">
        <x:v>OK</x:v>
      </x:c>
      <x:c r="BB150" s="12" t="str">
        <x:v>OK</x:v>
      </x:c>
      <x:c r="BC150" s="12" t="str">
        <x:v>EUR</x:v>
      </x:c>
      <x:c r="BD150" s="12" t="n">
        <x:v>177.79327130434726</x:v>
      </x:c>
      <x:c r="BE150" s="12" t="n">
        <x:v>178.31813130434725</x:v>
      </x:c>
      <x:c r="BF150" s="12" t="n">
        <x:v>0</x:v>
      </x:c>
      <x:c r="BG150" s="12" t="n">
        <x:v>0</x:v>
      </x:c>
      <x:c r="BH150" s="12" t="n">
        <x:v>100</x:v>
      </x:c>
      <x:c r="BI150" s="12" t="n">
        <x:v>100</x:v>
      </x:c>
      <x:c r="BJ150" s="12" t="n">
        <x:v>0</x:v>
      </x:c>
      <x:c r="BK150" s="12" t="n">
        <x:v>0.5705</x:v>
      </x:c>
      <x:c r="BL150" s="12" t="n">
        <x:v>0</x:v>
      </x:c>
      <x:c r="BM150" s="12" t="n">
        <x:v>0</x:v>
      </x:c>
      <x:c r="BN150" s="12" t="n">
        <x:v>342.7755774914055</x:v>
      </x:c>
      <x:c r="BO150" s="12" t="n">
        <x:v>367.7549707484771</x:v>
      </x:c>
      <x:c r="BP150" s="12" t="n">
        <x:v>0</x:v>
      </x:c>
      <x:c r="BQ150" s="12" t="n">
        <x:v>-15.103265213807521</x:v>
      </x:c>
      <x:c r="BR150" s="12" t="n">
        <x:v>695.4272830260751</x:v>
      </x:c>
      <x:c r="BS150" s="12" t="n">
        <x:v>0.0014579444444444444</x:v>
      </x:c>
    </x:row>
    <x:row r="151" ht="21" customHeight="1">
      <x:c r="A151" s="14" t="n">
        <x:v>45659.395833333336</x:v>
      </x:c>
      <x:c r="B151" s="14" t="n">
        <x:v>45659.40625</x:v>
      </x:c>
      <x:c r="C151" s="14" t="n">
        <x:v>45659.479166666664</x:v>
      </x:c>
      <x:c r="D151" s="15" t="n">
        <x:v>45659</x:v>
      </x:c>
      <x:c r="E151" s="12" t="n">
        <x:v>0.25</x:v>
      </x:c>
      <x:c r="F151" s="12" t="str">
        <x:v>FORMAL</x:v>
      </x:c>
      <x:c r="G151" s="14" t="n">
        <x:v>45659.375</x:v>
      </x:c>
      <x:c r="H151" s="12" t="n">
        <x:v>128.35</x:v>
      </x:c>
      <x:c r="I151" s="12" t="str">
        <x:v>2025-01-02_11</x:v>
      </x:c>
      <x:c r="J151" s="12" t="n">
        <x:v>60</x:v>
      </x:c>
      <x:c r="K151" s="12" t="str">
        <x:v>DA_2025-01-02@4f6782768649</x:v>
      </x:c>
      <x:c r="L151" s="15" t="n">
        <x:v>45657</x:v>
      </x:c>
      <x:c r="M151" s="12" t="n">
        <x:v>4.9741</x:v>
      </x:c>
      <x:c r="N151" s="12" t="str">
        <x:v>BNR2024_BOUNDARY@c4397e7f9c31</x:v>
      </x:c>
      <x:c r="O151" s="12"/>
      <x:c r="P151" s="12"/>
      <x:c r="Q151" s="12"/>
      <x:c r="R151" s="12"/>
      <x:c r="S151" s="12" t="str">
        <x:v>OUT_OF_RESEARCH_COVERAGE_PRE_2025_06</x:v>
      </x:c>
      <x:c r="T151" s="12" t="n">
        <x:v>200</x:v>
      </x:c>
      <x:c r="U151" s="12" t="str">
        <x:v>aFRRUp_2025-01-02T09:00:00Z</x:v>
      </x:c>
      <x:c r="V151" s="12" t="str">
        <x:v>tenderStatistics_2025-01@c14c9dea784d</x:v>
      </x:c>
      <x:c r="W151" s="12" t="n">
        <x:v>13.71102309965622</x:v>
      </x:c>
      <x:c r="X151" s="12" t="str">
        <x:v>PUBLISHED_PROXY</x:v>
      </x:c>
      <x:c r="Y151" s="12" t="n">
        <x:v>200</x:v>
      </x:c>
      <x:c r="Z151" s="12" t="str">
        <x:v>aFRRDown_2025-01-02T09:00:00Z</x:v>
      </x:c>
      <x:c r="AA151" s="12" t="str">
        <x:v>tenderStatistics_2025-01@c14c9dea784d</x:v>
      </x:c>
      <x:c r="AB151" s="12" t="n">
        <x:v>14.710198829939085</x:v>
      </x:c>
      <x:c r="AC151" s="12" t="str">
        <x:v>PUBLISHED_PROXY</x:v>
      </x:c>
      <x:c r="AD151" s="12"/>
      <x:c r="AE151" s="12" t="str">
        <x:v>SOURCE_NULL_NOT_MODELED</x:v>
      </x:c>
      <x:c r="AF151" s="12"/>
      <x:c r="AG151" s="12" t="n">
        <x:v>60.31241832693352</x:v>
      </x:c>
      <x:c r="AH151" s="12" t="str">
        <x:v>PUBLISHED_PROXY</x:v>
      </x:c>
      <x:c r="AI151" s="12" t="n">
        <x:v>0.003</x:v>
      </x:c>
      <x:c r="AJ151" s="12" t="n">
        <x:v>21.478458414587564</x:v>
      </x:c>
      <x:c r="AK151" s="12" t="str">
        <x:v>PUBLISHED_PROXY</x:v>
      </x:c>
      <x:c r="AL151" s="12" t="n">
        <x:v>3.044</x:v>
      </x:c>
      <x:c r="AM151" s="12" t="str">
        <x:v>marginalPricesOverview_2025-01@5b9daf9d82d7</x:v>
      </x:c>
      <x:c r="AN151" s="12" t="str">
        <x:v>activatedBalancingEnergyOverview_2025-01@4135ac664b2a</x:v>
      </x:c>
      <x:c r="AO151" s="12" t="str">
        <x:v>PUBLISHED_NATIVE</x:v>
      </x:c>
      <x:c r="AP151" s="12" t="n">
        <x:v>0.00006</x:v>
      </x:c>
      <x:c r="AQ151" s="12" t="n">
        <x:v>0.06088</x:v>
      </x:c>
      <x:c r="AR151" s="12" t="n">
        <x:v>0.06094</x:v>
      </x:c>
      <x:c r="AS151" s="13" t="b">
        <x:v>1</x:v>
      </x:c>
      <x:c r="AT151" s="13" t="b">
        <x:v>1</x:v>
      </x:c>
      <x:c r="AU151" s="13" t="b">
        <x:v>1</x:v>
      </x:c>
      <x:c r="AV151" s="13" t="b">
        <x:v>1</x:v>
      </x:c>
      <x:c r="AW151" s="13" t="b">
        <x:v>1</x:v>
      </x:c>
      <x:c r="AX151" s="13" t="b">
        <x:v>0</x:v>
      </x:c>
      <x:c r="AY151" s="13" t="b">
        <x:v>0</x:v>
      </x:c>
      <x:c r="AZ151" s="13" t="b">
        <x:v>1</x:v>
      </x:c>
      <x:c r="BA151" s="12" t="str">
        <x:v>OK</x:v>
      </x:c>
      <x:c r="BB151" s="12" t="str">
        <x:v>OK</x:v>
      </x:c>
      <x:c r="BC151" s="12" t="str">
        <x:v>EUR</x:v>
      </x:c>
      <x:c r="BD151" s="12" t="n">
        <x:v>178.31813130434725</x:v>
      </x:c>
      <x:c r="BE151" s="12" t="n">
        <x:v>179.71674086956463</x:v>
      </x:c>
      <x:c r="BF151" s="12" t="n">
        <x:v>0</x:v>
      </x:c>
      <x:c r="BG151" s="12" t="n">
        <x:v>0</x:v>
      </x:c>
      <x:c r="BH151" s="12" t="n">
        <x:v>100</x:v>
      </x:c>
      <x:c r="BI151" s="12" t="n">
        <x:v>100</x:v>
      </x:c>
      <x:c r="BJ151" s="12" t="n">
        <x:v>0.0015</x:v>
      </x:c>
      <x:c r="BK151" s="12" t="n">
        <x:v>1.522</x:v>
      </x:c>
      <x:c r="BL151" s="12" t="n">
        <x:v>0</x:v>
      </x:c>
      <x:c r="BM151" s="12" t="n">
        <x:v>0</x:v>
      </x:c>
      <x:c r="BN151" s="12" t="n">
        <x:v>342.7755774914055</x:v>
      </x:c>
      <x:c r="BO151" s="12" t="n">
        <x:v>367.7549707484771</x:v>
      </x:c>
      <x:c r="BP151" s="12" t="n">
        <x:v>0.09046862749040027</x:v>
      </x:c>
      <x:c r="BQ151" s="12" t="n">
        <x:v>-32.69021370700227</x:v>
      </x:c>
      <x:c r="BR151" s="12" t="n">
        <x:v>677.9308031603707</x:v>
      </x:c>
      <x:c r="BS151" s="12" t="n">
        <x:v>0.003894084541062802</x:v>
      </x:c>
    </x:row>
    <x:row r="152" ht="21" customHeight="1">
      <x:c r="A152" s="14" t="n">
        <x:v>45659.40625</x:v>
      </x:c>
      <x:c r="B152" s="14" t="n">
        <x:v>45659.416666666664</x:v>
      </x:c>
      <x:c r="C152" s="14" t="n">
        <x:v>45659.489583333336</x:v>
      </x:c>
      <x:c r="D152" s="15" t="n">
        <x:v>45659</x:v>
      </x:c>
      <x:c r="E152" s="12" t="n">
        <x:v>0.25</x:v>
      </x:c>
      <x:c r="F152" s="12" t="str">
        <x:v>FORMAL</x:v>
      </x:c>
      <x:c r="G152" s="14" t="n">
        <x:v>45659.375</x:v>
      </x:c>
      <x:c r="H152" s="12" t="n">
        <x:v>128.35</x:v>
      </x:c>
      <x:c r="I152" s="12" t="str">
        <x:v>2025-01-02_11</x:v>
      </x:c>
      <x:c r="J152" s="12" t="n">
        <x:v>60</x:v>
      </x:c>
      <x:c r="K152" s="12" t="str">
        <x:v>DA_2025-01-02@4f6782768649</x:v>
      </x:c>
      <x:c r="L152" s="15" t="n">
        <x:v>45657</x:v>
      </x:c>
      <x:c r="M152" s="12" t="n">
        <x:v>4.9741</x:v>
      </x:c>
      <x:c r="N152" s="12" t="str">
        <x:v>BNR2024_BOUNDARY@c4397e7f9c31</x:v>
      </x:c>
      <x:c r="O152" s="12"/>
      <x:c r="P152" s="12"/>
      <x:c r="Q152" s="12"/>
      <x:c r="R152" s="12"/>
      <x:c r="S152" s="12" t="str">
        <x:v>OUT_OF_RESEARCH_COVERAGE_PRE_2025_06</x:v>
      </x:c>
      <x:c r="T152" s="12" t="n">
        <x:v>200</x:v>
      </x:c>
      <x:c r="U152" s="12" t="str">
        <x:v>aFRRUp_2025-01-02T09:00:00Z</x:v>
      </x:c>
      <x:c r="V152" s="12" t="str">
        <x:v>tenderStatistics_2025-01@c14c9dea784d</x:v>
      </x:c>
      <x:c r="W152" s="12" t="n">
        <x:v>13.71102309965622</x:v>
      </x:c>
      <x:c r="X152" s="12" t="str">
        <x:v>PUBLISHED_PROXY</x:v>
      </x:c>
      <x:c r="Y152" s="12" t="n">
        <x:v>200</x:v>
      </x:c>
      <x:c r="Z152" s="12" t="str">
        <x:v>aFRRDown_2025-01-02T09:00:00Z</x:v>
      </x:c>
      <x:c r="AA152" s="12" t="str">
        <x:v>tenderStatistics_2025-01@c14c9dea784d</x:v>
      </x:c>
      <x:c r="AB152" s="12" t="n">
        <x:v>14.710198829939085</x:v>
      </x:c>
      <x:c r="AC152" s="12" t="str">
        <x:v>PUBLISHED_PROXY</x:v>
      </x:c>
      <x:c r="AD152" s="12"/>
      <x:c r="AE152" s="12" t="str">
        <x:v>SOURCE_NULL_NOT_MODELED</x:v>
      </x:c>
      <x:c r="AF152" s="12"/>
      <x:c r="AG152" s="12" t="n">
        <x:v>60.31241832693352</x:v>
      </x:c>
      <x:c r="AH152" s="12" t="str">
        <x:v>PUBLISHED_PROXY</x:v>
      </x:c>
      <x:c r="AI152" s="12" t="n">
        <x:v>0.003</x:v>
      </x:c>
      <x:c r="AJ152" s="12" t="n">
        <x:v>7.2489495587141395</x:v>
      </x:c>
      <x:c r="AK152" s="12" t="str">
        <x:v>PUBLISHED_PROXY</x:v>
      </x:c>
      <x:c r="AL152" s="12" t="n">
        <x:v>7.856</x:v>
      </x:c>
      <x:c r="AM152" s="12" t="str">
        <x:v>marginalPricesOverview_2025-01@5b9daf9d82d7</x:v>
      </x:c>
      <x:c r="AN152" s="12" t="str">
        <x:v>activatedBalancingEnergyOverview_2025-01@4135ac664b2a</x:v>
      </x:c>
      <x:c r="AO152" s="12" t="str">
        <x:v>PUBLISHED_NATIVE</x:v>
      </x:c>
      <x:c r="AP152" s="12" t="n">
        <x:v>0.00006</x:v>
      </x:c>
      <x:c r="AQ152" s="12" t="n">
        <x:v>0.15712</x:v>
      </x:c>
      <x:c r="AR152" s="12" t="n">
        <x:v>0.15718</x:v>
      </x:c>
      <x:c r="AS152" s="13" t="b">
        <x:v>1</x:v>
      </x:c>
      <x:c r="AT152" s="13" t="b">
        <x:v>1</x:v>
      </x:c>
      <x:c r="AU152" s="13" t="b">
        <x:v>1</x:v>
      </x:c>
      <x:c r="AV152" s="13" t="b">
        <x:v>1</x:v>
      </x:c>
      <x:c r="AW152" s="13" t="b">
        <x:v>1</x:v>
      </x:c>
      <x:c r="AX152" s="13" t="b">
        <x:v>0</x:v>
      </x:c>
      <x:c r="AY152" s="13" t="b">
        <x:v>0</x:v>
      </x:c>
      <x:c r="AZ152" s="13" t="b">
        <x:v>1</x:v>
      </x:c>
      <x:c r="BA152" s="12" t="str">
        <x:v>OK</x:v>
      </x:c>
      <x:c r="BB152" s="12" t="str">
        <x:v>OK</x:v>
      </x:c>
      <x:c r="BC152" s="12" t="str">
        <x:v>EUR</x:v>
      </x:c>
      <x:c r="BD152" s="12" t="n">
        <x:v>179.71674086956463</x:v>
      </x:c>
      <x:c r="BE152" s="12" t="n">
        <x:v>183.32887043478203</x:v>
      </x:c>
      <x:c r="BF152" s="12" t="n">
        <x:v>0</x:v>
      </x:c>
      <x:c r="BG152" s="12" t="n">
        <x:v>0</x:v>
      </x:c>
      <x:c r="BH152" s="12" t="n">
        <x:v>100</x:v>
      </x:c>
      <x:c r="BI152" s="12" t="n">
        <x:v>100</x:v>
      </x:c>
      <x:c r="BJ152" s="12" t="n">
        <x:v>0.0015</x:v>
      </x:c>
      <x:c r="BK152" s="12" t="n">
        <x:v>3.9280000000000004</x:v>
      </x:c>
      <x:c r="BL152" s="12" t="n">
        <x:v>0</x:v>
      </x:c>
      <x:c r="BM152" s="12" t="n">
        <x:v>0</x:v>
      </x:c>
      <x:c r="BN152" s="12" t="n">
        <x:v>342.7755774914055</x:v>
      </x:c>
      <x:c r="BO152" s="12" t="n">
        <x:v>367.7549707484771</x:v>
      </x:c>
      <x:c r="BP152" s="12" t="n">
        <x:v>0.09046862749040027</x:v>
      </x:c>
      <x:c r="BQ152" s="12" t="n">
        <x:v>-28.47387386662914</x:v>
      </x:c>
      <x:c r="BR152" s="12" t="n">
        <x:v>682.1471430007439</x:v>
      </x:c>
      <x:c r="BS152" s="12" t="n">
        <x:v>0.010042751207729472</x:v>
      </x:c>
    </x:row>
    <x:row r="153" ht="21" customHeight="1">
      <x:c r="A153" s="14" t="n">
        <x:v>45659.416666666664</x:v>
      </x:c>
      <x:c r="B153" s="14" t="n">
        <x:v>45659.427083333336</x:v>
      </x:c>
      <x:c r="C153" s="14" t="n">
        <x:v>45659.5</x:v>
      </x:c>
      <x:c r="D153" s="15" t="n">
        <x:v>45659</x:v>
      </x:c>
      <x:c r="E153" s="12" t="n">
        <x:v>0.25</x:v>
      </x:c>
      <x:c r="F153" s="12" t="str">
        <x:v>FORMAL</x:v>
      </x:c>
      <x:c r="G153" s="14" t="n">
        <x:v>45659.416666666664</x:v>
      </x:c>
      <x:c r="H153" s="12" t="n">
        <x:v>123.15</x:v>
      </x:c>
      <x:c r="I153" s="12" t="str">
        <x:v>2025-01-02_12</x:v>
      </x:c>
      <x:c r="J153" s="12" t="n">
        <x:v>60</x:v>
      </x:c>
      <x:c r="K153" s="12" t="str">
        <x:v>DA_2025-01-02@4f6782768649</x:v>
      </x:c>
      <x:c r="L153" s="15" t="n">
        <x:v>45657</x:v>
      </x:c>
      <x:c r="M153" s="12" t="n">
        <x:v>4.9741</x:v>
      </x:c>
      <x:c r="N153" s="12" t="str">
        <x:v>BNR2024_BOUNDARY@c4397e7f9c31</x:v>
      </x:c>
      <x:c r="O153" s="12"/>
      <x:c r="P153" s="12"/>
      <x:c r="Q153" s="12"/>
      <x:c r="R153" s="12"/>
      <x:c r="S153" s="12" t="str">
        <x:v>OUT_OF_RESEARCH_COVERAGE_PRE_2025_06</x:v>
      </x:c>
      <x:c r="T153" s="12" t="n">
        <x:v>200</x:v>
      </x:c>
      <x:c r="U153" s="12" t="str">
        <x:v>aFRRUp_2025-01-02T10:00:00Z</x:v>
      </x:c>
      <x:c r="V153" s="12" t="str">
        <x:v>tenderStatistics_2025-01@c14c9dea784d</x:v>
      </x:c>
      <x:c r="W153" s="12" t="n">
        <x:v>13.71102309965622</x:v>
      </x:c>
      <x:c r="X153" s="12" t="str">
        <x:v>PUBLISHED_PROXY</x:v>
      </x:c>
      <x:c r="Y153" s="12" t="n">
        <x:v>200</x:v>
      </x:c>
      <x:c r="Z153" s="12" t="str">
        <x:v>aFRRDown_2025-01-02T10:00:00Z</x:v>
      </x:c>
      <x:c r="AA153" s="12" t="str">
        <x:v>tenderStatistics_2025-01@c14c9dea784d</x:v>
      </x:c>
      <x:c r="AB153" s="12" t="n">
        <x:v>14.710198829939085</x:v>
      </x:c>
      <x:c r="AC153" s="12" t="str">
        <x:v>PUBLISHED_PROXY</x:v>
      </x:c>
      <x:c r="AD153" s="12"/>
      <x:c r="AE153" s="12" t="str">
        <x:v>SOURCE_NULL_NOT_MODELED</x:v>
      </x:c>
      <x:c r="AF153" s="12"/>
      <x:c r="AG153" s="12" t="n">
        <x:v>0</x:v>
      </x:c>
      <x:c r="AH153" s="12" t="str">
        <x:v>PUBLISHED_PROXY</x:v>
      </x:c>
      <x:c r="AI153" s="12" t="n">
        <x:v>0</x:v>
      </x:c>
      <x:c r="AJ153" s="12" t="n">
        <x:v>13.630003417703705</x:v>
      </x:c>
      <x:c r="AK153" s="12" t="str">
        <x:v>PUBLISHED_PROXY</x:v>
      </x:c>
      <x:c r="AL153" s="12" t="n">
        <x:v>4.982</x:v>
      </x:c>
      <x:c r="AM153" s="12" t="str">
        <x:v>marginalPricesOverview_2025-01@5b9daf9d82d7</x:v>
      </x:c>
      <x:c r="AN153" s="12" t="str">
        <x:v>activatedBalancingEnergyOverview_2025-01@4135ac664b2a</x:v>
      </x:c>
      <x:c r="AO153" s="12" t="str">
        <x:v>PUBLISHED_NATIVE</x:v>
      </x:c>
      <x:c r="AP153" s="12" t="n">
        <x:v>0</x:v>
      </x:c>
      <x:c r="AQ153" s="12" t="n">
        <x:v>0.09964</x:v>
      </x:c>
      <x:c r="AR153" s="12" t="n">
        <x:v>0.09964</x:v>
      </x:c>
      <x:c r="AS153" s="13" t="b">
        <x:v>1</x:v>
      </x:c>
      <x:c r="AT153" s="13" t="b">
        <x:v>1</x:v>
      </x:c>
      <x:c r="AU153" s="13" t="b">
        <x:v>1</x:v>
      </x:c>
      <x:c r="AV153" s="13" t="b">
        <x:v>1</x:v>
      </x:c>
      <x:c r="AW153" s="13" t="b">
        <x:v>1</x:v>
      </x:c>
      <x:c r="AX153" s="13" t="b">
        <x:v>0</x:v>
      </x:c>
      <x:c r="AY153" s="13" t="b">
        <x:v>0</x:v>
      </x:c>
      <x:c r="AZ153" s="13" t="b">
        <x:v>1</x:v>
      </x:c>
      <x:c r="BA153" s="12" t="str">
        <x:v>OK</x:v>
      </x:c>
      <x:c r="BB153" s="12" t="str">
        <x:v>OK</x:v>
      </x:c>
      <x:c r="BC153" s="12" t="str">
        <x:v>EUR</x:v>
      </x:c>
      <x:c r="BD153" s="12" t="n">
        <x:v>183.32887043478203</x:v>
      </x:c>
      <x:c r="BE153" s="12" t="n">
        <x:v>185.62059043478203</x:v>
      </x:c>
      <x:c r="BF153" s="12" t="n">
        <x:v>0</x:v>
      </x:c>
      <x:c r="BG153" s="12" t="n">
        <x:v>0</x:v>
      </x:c>
      <x:c r="BH153" s="12" t="n">
        <x:v>100</x:v>
      </x:c>
      <x:c r="BI153" s="12" t="n">
        <x:v>100</x:v>
      </x:c>
      <x:c r="BJ153" s="12" t="n">
        <x:v>0</x:v>
      </x:c>
      <x:c r="BK153" s="12" t="n">
        <x:v>2.491</x:v>
      </x:c>
      <x:c r="BL153" s="12" t="n">
        <x:v>0</x:v>
      </x:c>
      <x:c r="BM153" s="12" t="n">
        <x:v>0</x:v>
      </x:c>
      <x:c r="BN153" s="12" t="n">
        <x:v>342.7755774914055</x:v>
      </x:c>
      <x:c r="BO153" s="12" t="n">
        <x:v>367.7549707484771</x:v>
      </x:c>
      <x:c r="BP153" s="12" t="n">
        <x:v>0</x:v>
      </x:c>
      <x:c r="BQ153" s="12" t="n">
        <x:v>-33.95233851349993</x:v>
      </x:c>
      <x:c r="BR153" s="12" t="n">
        <x:v>676.5782097263826</x:v>
      </x:c>
      <x:c r="BS153" s="12" t="n">
        <x:v>0.00636588888888889</x:v>
      </x:c>
    </x:row>
    <x:row r="154" ht="21" customHeight="1">
      <x:c r="A154" s="14" t="n">
        <x:v>45659.427083333336</x:v>
      </x:c>
      <x:c r="B154" s="14" t="n">
        <x:v>45659.4375</x:v>
      </x:c>
      <x:c r="C154" s="14" t="n">
        <x:v>45659.510416666664</x:v>
      </x:c>
      <x:c r="D154" s="15" t="n">
        <x:v>45659</x:v>
      </x:c>
      <x:c r="E154" s="12" t="n">
        <x:v>0.25</x:v>
      </x:c>
      <x:c r="F154" s="12" t="str">
        <x:v>FORMAL</x:v>
      </x:c>
      <x:c r="G154" s="14" t="n">
        <x:v>45659.416666666664</x:v>
      </x:c>
      <x:c r="H154" s="12" t="n">
        <x:v>123.15</x:v>
      </x:c>
      <x:c r="I154" s="12" t="str">
        <x:v>2025-01-02_12</x:v>
      </x:c>
      <x:c r="J154" s="12" t="n">
        <x:v>60</x:v>
      </x:c>
      <x:c r="K154" s="12" t="str">
        <x:v>DA_2025-01-02@4f6782768649</x:v>
      </x:c>
      <x:c r="L154" s="15" t="n">
        <x:v>45657</x:v>
      </x:c>
      <x:c r="M154" s="12" t="n">
        <x:v>4.9741</x:v>
      </x:c>
      <x:c r="N154" s="12" t="str">
        <x:v>BNR2024_BOUNDARY@c4397e7f9c31</x:v>
      </x:c>
      <x:c r="O154" s="12"/>
      <x:c r="P154" s="12"/>
      <x:c r="Q154" s="12"/>
      <x:c r="R154" s="12"/>
      <x:c r="S154" s="12" t="str">
        <x:v>OUT_OF_RESEARCH_COVERAGE_PRE_2025_06</x:v>
      </x:c>
      <x:c r="T154" s="12" t="n">
        <x:v>200</x:v>
      </x:c>
      <x:c r="U154" s="12" t="str">
        <x:v>aFRRUp_2025-01-02T10:00:00Z</x:v>
      </x:c>
      <x:c r="V154" s="12" t="str">
        <x:v>tenderStatistics_2025-01@c14c9dea784d</x:v>
      </x:c>
      <x:c r="W154" s="12" t="n">
        <x:v>13.71102309965622</x:v>
      </x:c>
      <x:c r="X154" s="12" t="str">
        <x:v>PUBLISHED_PROXY</x:v>
      </x:c>
      <x:c r="Y154" s="12" t="n">
        <x:v>200</x:v>
      </x:c>
      <x:c r="Z154" s="12" t="str">
        <x:v>aFRRDown_2025-01-02T10:00:00Z</x:v>
      </x:c>
      <x:c r="AA154" s="12" t="str">
        <x:v>tenderStatistics_2025-01@c14c9dea784d</x:v>
      </x:c>
      <x:c r="AB154" s="12" t="n">
        <x:v>14.710198829939085</x:v>
      </x:c>
      <x:c r="AC154" s="12" t="str">
        <x:v>PUBLISHED_PROXY</x:v>
      </x:c>
      <x:c r="AD154" s="12"/>
      <x:c r="AE154" s="12" t="str">
        <x:v>SOURCE_NULL_NOT_MODELED</x:v>
      </x:c>
      <x:c r="AF154" s="12"/>
      <x:c r="AG154" s="12" t="n">
        <x:v>60.31241832693352</x:v>
      </x:c>
      <x:c r="AH154" s="12" t="str">
        <x:v>PUBLISHED_PROXY</x:v>
      </x:c>
      <x:c r="AI154" s="12" t="n">
        <x:v>0.003</x:v>
      </x:c>
      <x:c r="AJ154" s="12" t="n">
        <x:v>23.90985303874068</x:v>
      </x:c>
      <x:c r="AK154" s="12" t="str">
        <x:v>PUBLISHED_PROXY</x:v>
      </x:c>
      <x:c r="AL154" s="12" t="n">
        <x:v>1.761</x:v>
      </x:c>
      <x:c r="AM154" s="12" t="str">
        <x:v>marginalPricesOverview_2025-01@5b9daf9d82d7</x:v>
      </x:c>
      <x:c r="AN154" s="12" t="str">
        <x:v>activatedBalancingEnergyOverview_2025-01@4135ac664b2a</x:v>
      </x:c>
      <x:c r="AO154" s="12" t="str">
        <x:v>PUBLISHED_NATIVE</x:v>
      </x:c>
      <x:c r="AP154" s="12" t="n">
        <x:v>0.00006</x:v>
      </x:c>
      <x:c r="AQ154" s="12" t="n">
        <x:v>0.03522</x:v>
      </x:c>
      <x:c r="AR154" s="12" t="n">
        <x:v>0.03528</x:v>
      </x:c>
      <x:c r="AS154" s="13" t="b">
        <x:v>1</x:v>
      </x:c>
      <x:c r="AT154" s="13" t="b">
        <x:v>1</x:v>
      </x:c>
      <x:c r="AU154" s="13" t="b">
        <x:v>1</x:v>
      </x:c>
      <x:c r="AV154" s="13" t="b">
        <x:v>1</x:v>
      </x:c>
      <x:c r="AW154" s="13" t="b">
        <x:v>1</x:v>
      </x:c>
      <x:c r="AX154" s="13" t="b">
        <x:v>0</x:v>
      </x:c>
      <x:c r="AY154" s="13" t="b">
        <x:v>0</x:v>
      </x:c>
      <x:c r="AZ154" s="13" t="b">
        <x:v>1</x:v>
      </x:c>
      <x:c r="BA154" s="12" t="str">
        <x:v>OK</x:v>
      </x:c>
      <x:c r="BB154" s="12" t="str">
        <x:v>OK</x:v>
      </x:c>
      <x:c r="BC154" s="12" t="str">
        <x:v>EUR</x:v>
      </x:c>
      <x:c r="BD154" s="12" t="n">
        <x:v>185.62059043478203</x:v>
      </x:c>
      <x:c r="BE154" s="12" t="n">
        <x:v>186.4290199999994</x:v>
      </x:c>
      <x:c r="BF154" s="12" t="n">
        <x:v>0</x:v>
      </x:c>
      <x:c r="BG154" s="12" t="n">
        <x:v>0</x:v>
      </x:c>
      <x:c r="BH154" s="12" t="n">
        <x:v>100</x:v>
      </x:c>
      <x:c r="BI154" s="12" t="n">
        <x:v>100</x:v>
      </x:c>
      <x:c r="BJ154" s="12" t="n">
        <x:v>0.0015</x:v>
      </x:c>
      <x:c r="BK154" s="12" t="n">
        <x:v>0.8805000000000001</x:v>
      </x:c>
      <x:c r="BL154" s="12" t="n">
        <x:v>0</x:v>
      </x:c>
      <x:c r="BM154" s="12" t="n">
        <x:v>0</x:v>
      </x:c>
      <x:c r="BN154" s="12" t="n">
        <x:v>342.7755774914055</x:v>
      </x:c>
      <x:c r="BO154" s="12" t="n">
        <x:v>367.7549707484771</x:v>
      </x:c>
      <x:c r="BP154" s="12" t="n">
        <x:v>0.09046862749040027</x:v>
      </x:c>
      <x:c r="BQ154" s="12" t="n">
        <x:v>-21.05262560061117</x:v>
      </x:c>
      <x:c r="BR154" s="12" t="n">
        <x:v>689.5683912667619</x:v>
      </x:c>
      <x:c r="BS154" s="12" t="n">
        <x:v>0.002254695652173913</x:v>
      </x:c>
    </x:row>
    <x:row r="155" ht="21" customHeight="1">
      <x:c r="A155" s="14" t="n">
        <x:v>45659.4375</x:v>
      </x:c>
      <x:c r="B155" s="14" t="n">
        <x:v>45659.447916666664</x:v>
      </x:c>
      <x:c r="C155" s="14" t="n">
        <x:v>45659.520833333336</x:v>
      </x:c>
      <x:c r="D155" s="15" t="n">
        <x:v>45659</x:v>
      </x:c>
      <x:c r="E155" s="12" t="n">
        <x:v>0.25</x:v>
      </x:c>
      <x:c r="F155" s="12" t="str">
        <x:v>FORMAL</x:v>
      </x:c>
      <x:c r="G155" s="14" t="n">
        <x:v>45659.416666666664</x:v>
      </x:c>
      <x:c r="H155" s="12" t="n">
        <x:v>123.15</x:v>
      </x:c>
      <x:c r="I155" s="12" t="str">
        <x:v>2025-01-02_12</x:v>
      </x:c>
      <x:c r="J155" s="12" t="n">
        <x:v>60</x:v>
      </x:c>
      <x:c r="K155" s="12" t="str">
        <x:v>DA_2025-01-02@4f6782768649</x:v>
      </x:c>
      <x:c r="L155" s="15" t="n">
        <x:v>45657</x:v>
      </x:c>
      <x:c r="M155" s="12" t="n">
        <x:v>4.9741</x:v>
      </x:c>
      <x:c r="N155" s="12" t="str">
        <x:v>BNR2024_BOUNDARY@c4397e7f9c31</x:v>
      </x:c>
      <x:c r="O155" s="12"/>
      <x:c r="P155" s="12"/>
      <x:c r="Q155" s="12"/>
      <x:c r="R155" s="12"/>
      <x:c r="S155" s="12" t="str">
        <x:v>OUT_OF_RESEARCH_COVERAGE_PRE_2025_06</x:v>
      </x:c>
      <x:c r="T155" s="12" t="n">
        <x:v>200</x:v>
      </x:c>
      <x:c r="U155" s="12" t="str">
        <x:v>aFRRUp_2025-01-02T10:00:00Z</x:v>
      </x:c>
      <x:c r="V155" s="12" t="str">
        <x:v>tenderStatistics_2025-01@c14c9dea784d</x:v>
      </x:c>
      <x:c r="W155" s="12" t="n">
        <x:v>13.71102309965622</x:v>
      </x:c>
      <x:c r="X155" s="12" t="str">
        <x:v>PUBLISHED_PROXY</x:v>
      </x:c>
      <x:c r="Y155" s="12" t="n">
        <x:v>200</x:v>
      </x:c>
      <x:c r="Z155" s="12" t="str">
        <x:v>aFRRDown_2025-01-02T10:00:00Z</x:v>
      </x:c>
      <x:c r="AA155" s="12" t="str">
        <x:v>tenderStatistics_2025-01@c14c9dea784d</x:v>
      </x:c>
      <x:c r="AB155" s="12" t="n">
        <x:v>14.710198829939085</x:v>
      </x:c>
      <x:c r="AC155" s="12" t="str">
        <x:v>PUBLISHED_PROXY</x:v>
      </x:c>
      <x:c r="AD155" s="12"/>
      <x:c r="AE155" s="12" t="str">
        <x:v>SOURCE_NULL_NOT_MODELED</x:v>
      </x:c>
      <x:c r="AF155" s="12"/>
      <x:c r="AG155" s="12" t="n">
        <x:v>0</x:v>
      </x:c>
      <x:c r="AH155" s="12" t="str">
        <x:v>PUBLISHED_PROXY</x:v>
      </x:c>
      <x:c r="AI155" s="12" t="n">
        <x:v>0</x:v>
      </x:c>
      <x:c r="AJ155" s="12" t="n">
        <x:v>20.302165215817936</x:v>
      </x:c>
      <x:c r="AK155" s="12" t="str">
        <x:v>PUBLISHED_PROXY</x:v>
      </x:c>
      <x:c r="AL155" s="12" t="n">
        <x:v>6.972</x:v>
      </x:c>
      <x:c r="AM155" s="12" t="str">
        <x:v>marginalPricesOverview_2025-01@5b9daf9d82d7</x:v>
      </x:c>
      <x:c r="AN155" s="12" t="str">
        <x:v>activatedBalancingEnergyOverview_2025-01@4135ac664b2a</x:v>
      </x:c>
      <x:c r="AO155" s="12" t="str">
        <x:v>PUBLISHED_NATIVE</x:v>
      </x:c>
      <x:c r="AP155" s="12" t="n">
        <x:v>0</x:v>
      </x:c>
      <x:c r="AQ155" s="12" t="n">
        <x:v>0.13944</x:v>
      </x:c>
      <x:c r="AR155" s="12" t="n">
        <x:v>0.13944</x:v>
      </x:c>
      <x:c r="AS155" s="13" t="b">
        <x:v>1</x:v>
      </x:c>
      <x:c r="AT155" s="13" t="b">
        <x:v>1</x:v>
      </x:c>
      <x:c r="AU155" s="13" t="b">
        <x:v>1</x:v>
      </x:c>
      <x:c r="AV155" s="13" t="b">
        <x:v>1</x:v>
      </x:c>
      <x:c r="AW155" s="13" t="b">
        <x:v>1</x:v>
      </x:c>
      <x:c r="AX155" s="13" t="b">
        <x:v>0</x:v>
      </x:c>
      <x:c r="AY155" s="13" t="b">
        <x:v>0</x:v>
      </x:c>
      <x:c r="AZ155" s="13" t="b">
        <x:v>1</x:v>
      </x:c>
      <x:c r="BA155" s="12" t="str">
        <x:v>OK</x:v>
      </x:c>
      <x:c r="BB155" s="12" t="str">
        <x:v>OK</x:v>
      </x:c>
      <x:c r="BC155" s="12" t="str">
        <x:v>EUR</x:v>
      </x:c>
      <x:c r="BD155" s="12" t="n">
        <x:v>186.4290199999994</x:v>
      </x:c>
      <x:c r="BE155" s="12" t="n">
        <x:v>189.63613999999941</x:v>
      </x:c>
      <x:c r="BF155" s="12" t="n">
        <x:v>0</x:v>
      </x:c>
      <x:c r="BG155" s="12" t="n">
        <x:v>0</x:v>
      </x:c>
      <x:c r="BH155" s="12" t="n">
        <x:v>100</x:v>
      </x:c>
      <x:c r="BI155" s="12" t="n">
        <x:v>100</x:v>
      </x:c>
      <x:c r="BJ155" s="12" t="n">
        <x:v>0</x:v>
      </x:c>
      <x:c r="BK155" s="12" t="n">
        <x:v>3.486</x:v>
      </x:c>
      <x:c r="BL155" s="12" t="n">
        <x:v>0</x:v>
      </x:c>
      <x:c r="BM155" s="12" t="n">
        <x:v>0</x:v>
      </x:c>
      <x:c r="BN155" s="12" t="n">
        <x:v>342.7755774914055</x:v>
      </x:c>
      <x:c r="BO155" s="12" t="n">
        <x:v>367.7549707484771</x:v>
      </x:c>
      <x:c r="BP155" s="12" t="n">
        <x:v>0</x:v>
      </x:c>
      <x:c r="BQ155" s="12" t="n">
        <x:v>-70.77334794234133</x:v>
      </x:c>
      <x:c r="BR155" s="12" t="n">
        <x:v>639.7572002975412</x:v>
      </x:c>
      <x:c r="BS155" s="12" t="n">
        <x:v>0.008908666666666667</x:v>
      </x:c>
    </x:row>
    <x:row r="156" ht="21" customHeight="1">
      <x:c r="A156" s="14" t="n">
        <x:v>45659.447916666664</x:v>
      </x:c>
      <x:c r="B156" s="14" t="n">
        <x:v>45659.458333333336</x:v>
      </x:c>
      <x:c r="C156" s="14" t="n">
        <x:v>45659.53125</x:v>
      </x:c>
      <x:c r="D156" s="15" t="n">
        <x:v>45659</x:v>
      </x:c>
      <x:c r="E156" s="12" t="n">
        <x:v>0.25</x:v>
      </x:c>
      <x:c r="F156" s="12" t="str">
        <x:v>FORMAL</x:v>
      </x:c>
      <x:c r="G156" s="14" t="n">
        <x:v>45659.416666666664</x:v>
      </x:c>
      <x:c r="H156" s="12" t="n">
        <x:v>123.15</x:v>
      </x:c>
      <x:c r="I156" s="12" t="str">
        <x:v>2025-01-02_12</x:v>
      </x:c>
      <x:c r="J156" s="12" t="n">
        <x:v>60</x:v>
      </x:c>
      <x:c r="K156" s="12" t="str">
        <x:v>DA_2025-01-02@4f6782768649</x:v>
      </x:c>
      <x:c r="L156" s="15" t="n">
        <x:v>45657</x:v>
      </x:c>
      <x:c r="M156" s="12" t="n">
        <x:v>4.9741</x:v>
      </x:c>
      <x:c r="N156" s="12" t="str">
        <x:v>BNR2024_BOUNDARY@c4397e7f9c31</x:v>
      </x:c>
      <x:c r="O156" s="12"/>
      <x:c r="P156" s="12"/>
      <x:c r="Q156" s="12"/>
      <x:c r="R156" s="12"/>
      <x:c r="S156" s="12" t="str">
        <x:v>OUT_OF_RESEARCH_COVERAGE_PRE_2025_06</x:v>
      </x:c>
      <x:c r="T156" s="12" t="n">
        <x:v>200</x:v>
      </x:c>
      <x:c r="U156" s="12" t="str">
        <x:v>aFRRUp_2025-01-02T10:00:00Z</x:v>
      </x:c>
      <x:c r="V156" s="12" t="str">
        <x:v>tenderStatistics_2025-01@c14c9dea784d</x:v>
      </x:c>
      <x:c r="W156" s="12" t="n">
        <x:v>13.71102309965622</x:v>
      </x:c>
      <x:c r="X156" s="12" t="str">
        <x:v>PUBLISHED_PROXY</x:v>
      </x:c>
      <x:c r="Y156" s="12" t="n">
        <x:v>200</x:v>
      </x:c>
      <x:c r="Z156" s="12" t="str">
        <x:v>aFRRDown_2025-01-02T10:00:00Z</x:v>
      </x:c>
      <x:c r="AA156" s="12" t="str">
        <x:v>tenderStatistics_2025-01@c14c9dea784d</x:v>
      </x:c>
      <x:c r="AB156" s="12" t="n">
        <x:v>14.710198829939085</x:v>
      </x:c>
      <x:c r="AC156" s="12" t="str">
        <x:v>PUBLISHED_PROXY</x:v>
      </x:c>
      <x:c r="AD156" s="12"/>
      <x:c r="AE156" s="12" t="str">
        <x:v>SOURCE_NULL_NOT_MODELED</x:v>
      </x:c>
      <x:c r="AF156" s="12"/>
      <x:c r="AG156" s="12" t="n">
        <x:v>136.70814820771596</x:v>
      </x:c>
      <x:c r="AH156" s="12" t="str">
        <x:v>PUBLISHED_PROXY</x:v>
      </x:c>
      <x:c r="AI156" s="12" t="n">
        <x:v>0.765</x:v>
      </x:c>
      <x:c r="AJ156" s="12" t="n">
        <x:v>36.87400735811504</x:v>
      </x:c>
      <x:c r="AK156" s="12" t="str">
        <x:v>PUBLISHED_PROXY</x:v>
      </x:c>
      <x:c r="AL156" s="12" t="n">
        <x:v>0.791</x:v>
      </x:c>
      <x:c r="AM156" s="12" t="str">
        <x:v>marginalPricesOverview_2025-01@5b9daf9d82d7</x:v>
      </x:c>
      <x:c r="AN156" s="12" t="str">
        <x:v>activatedBalancingEnergyOverview_2025-01@4135ac664b2a</x:v>
      </x:c>
      <x:c r="AO156" s="12" t="str">
        <x:v>PUBLISHED_NATIVE</x:v>
      </x:c>
      <x:c r="AP156" s="12" t="n">
        <x:v>0.0153</x:v>
      </x:c>
      <x:c r="AQ156" s="12" t="n">
        <x:v>0.01582</x:v>
      </x:c>
      <x:c r="AR156" s="12" t="n">
        <x:v>0.03112</x:v>
      </x:c>
      <x:c r="AS156" s="13" t="b">
        <x:v>1</x:v>
      </x:c>
      <x:c r="AT156" s="13" t="b">
        <x:v>1</x:v>
      </x:c>
      <x:c r="AU156" s="13" t="b">
        <x:v>1</x:v>
      </x:c>
      <x:c r="AV156" s="13" t="b">
        <x:v>1</x:v>
      </x:c>
      <x:c r="AW156" s="13" t="b">
        <x:v>1</x:v>
      </x:c>
      <x:c r="AX156" s="13" t="b">
        <x:v>0</x:v>
      </x:c>
      <x:c r="AY156" s="13" t="b">
        <x:v>0</x:v>
      </x:c>
      <x:c r="AZ156" s="13" t="b">
        <x:v>1</x:v>
      </x:c>
      <x:c r="BA156" s="12" t="str">
        <x:v>OK</x:v>
      </x:c>
      <x:c r="BB156" s="12" t="str">
        <x:v>OK</x:v>
      </x:c>
      <x:c r="BC156" s="12" t="str">
        <x:v>EUR</x:v>
      </x:c>
      <x:c r="BD156" s="12" t="n">
        <x:v>189.63613999999941</x:v>
      </x:c>
      <x:c r="BE156" s="12" t="n">
        <x:v>189.58423913043418</x:v>
      </x:c>
      <x:c r="BF156" s="12" t="n">
        <x:v>0</x:v>
      </x:c>
      <x:c r="BG156" s="12" t="n">
        <x:v>0</x:v>
      </x:c>
      <x:c r="BH156" s="12" t="n">
        <x:v>100</x:v>
      </x:c>
      <x:c r="BI156" s="12" t="n">
        <x:v>100</x:v>
      </x:c>
      <x:c r="BJ156" s="12" t="n">
        <x:v>0.3825</x:v>
      </x:c>
      <x:c r="BK156" s="12" t="n">
        <x:v>0.3955</x:v>
      </x:c>
      <x:c r="BL156" s="12" t="n">
        <x:v>0</x:v>
      </x:c>
      <x:c r="BM156" s="12" t="n">
        <x:v>0</x:v>
      </x:c>
      <x:c r="BN156" s="12" t="n">
        <x:v>342.7755774914055</x:v>
      </x:c>
      <x:c r="BO156" s="12" t="n">
        <x:v>367.7549707484771</x:v>
      </x:c>
      <x:c r="BP156" s="12" t="n">
        <x:v>52.290866689451356</x:v>
      </x:c>
      <x:c r="BQ156" s="12" t="n">
        <x:v>-14.583669910134498</x:v>
      </x:c>
      <x:c r="BR156" s="12" t="n">
        <x:v>748.2377450191995</x:v>
      </x:c>
      <x:c r="BS156" s="12" t="n">
        <x:v>0.0021656135265700482</x:v>
      </x:c>
    </x:row>
    <x:row r="157" ht="21" customHeight="1">
      <x:c r="A157" s="14" t="n">
        <x:v>45659.458333333336</x:v>
      </x:c>
      <x:c r="B157" s="14" t="n">
        <x:v>45659.46875</x:v>
      </x:c>
      <x:c r="C157" s="14" t="n">
        <x:v>45659.541666666664</x:v>
      </x:c>
      <x:c r="D157" s="15" t="n">
        <x:v>45659</x:v>
      </x:c>
      <x:c r="E157" s="12" t="n">
        <x:v>0.25</x:v>
      </x:c>
      <x:c r="F157" s="12" t="str">
        <x:v>FORMAL</x:v>
      </x:c>
      <x:c r="G157" s="14" t="n">
        <x:v>45659.458333333336</x:v>
      </x:c>
      <x:c r="H157" s="12" t="n">
        <x:v>121.94</x:v>
      </x:c>
      <x:c r="I157" s="12" t="str">
        <x:v>2025-01-02_13</x:v>
      </x:c>
      <x:c r="J157" s="12" t="n">
        <x:v>60</x:v>
      </x:c>
      <x:c r="K157" s="12" t="str">
        <x:v>DA_2025-01-02@4f6782768649</x:v>
      </x:c>
      <x:c r="L157" s="15" t="n">
        <x:v>45657</x:v>
      </x:c>
      <x:c r="M157" s="12" t="n">
        <x:v>4.9741</x:v>
      </x:c>
      <x:c r="N157" s="12" t="str">
        <x:v>BNR2024_BOUNDARY@c4397e7f9c31</x:v>
      </x:c>
      <x:c r="O157" s="12"/>
      <x:c r="P157" s="12"/>
      <x:c r="Q157" s="12"/>
      <x:c r="R157" s="12"/>
      <x:c r="S157" s="12" t="str">
        <x:v>OUT_OF_RESEARCH_COVERAGE_PRE_2025_06</x:v>
      </x:c>
      <x:c r="T157" s="12" t="n">
        <x:v>200</x:v>
      </x:c>
      <x:c r="U157" s="12" t="str">
        <x:v>aFRRUp_2025-01-02T11:00:00Z</x:v>
      </x:c>
      <x:c r="V157" s="12" t="str">
        <x:v>tenderStatistics_2025-01@c14c9dea784d</x:v>
      </x:c>
      <x:c r="W157" s="12" t="n">
        <x:v>13.71102309965622</x:v>
      </x:c>
      <x:c r="X157" s="12" t="str">
        <x:v>PUBLISHED_PROXY</x:v>
      </x:c>
      <x:c r="Y157" s="12" t="n">
        <x:v>200</x:v>
      </x:c>
      <x:c r="Z157" s="12" t="str">
        <x:v>aFRRDown_2025-01-02T11:00:00Z</x:v>
      </x:c>
      <x:c r="AA157" s="12" t="str">
        <x:v>tenderStatistics_2025-01@c14c9dea784d</x:v>
      </x:c>
      <x:c r="AB157" s="12" t="n">
        <x:v>14.710198829939085</x:v>
      </x:c>
      <x:c r="AC157" s="12" t="str">
        <x:v>PUBLISHED_PROXY</x:v>
      </x:c>
      <x:c r="AD157" s="12"/>
      <x:c r="AE157" s="12" t="str">
        <x:v>SOURCE_NULL_NOT_MODELED</x:v>
      </x:c>
      <x:c r="AF157" s="12"/>
      <x:c r="AG157" s="12" t="n">
        <x:v>210.52230554271128</x:v>
      </x:c>
      <x:c r="AH157" s="12" t="str">
        <x:v>PUBLISHED_PROXY</x:v>
      </x:c>
      <x:c r="AI157" s="12" t="n">
        <x:v>15.787</x:v>
      </x:c>
      <x:c r="AJ157" s="12" t="n">
        <x:v>0</x:v>
      </x:c>
      <x:c r="AK157" s="12" t="str">
        <x:v>PUBLISHED_PROXY</x:v>
      </x:c>
      <x:c r="AL157" s="12" t="n">
        <x:v>0</x:v>
      </x:c>
      <x:c r="AM157" s="12" t="str">
        <x:v>marginalPricesOverview_2025-01@5b9daf9d82d7</x:v>
      </x:c>
      <x:c r="AN157" s="12" t="str">
        <x:v>activatedBalancingEnergyOverview_2025-01@4135ac664b2a</x:v>
      </x:c>
      <x:c r="AO157" s="12" t="str">
        <x:v>PUBLISHED_NATIVE</x:v>
      </x:c>
      <x:c r="AP157" s="12" t="n">
        <x:v>0.31574</x:v>
      </x:c>
      <x:c r="AQ157" s="12" t="n">
        <x:v>0</x:v>
      </x:c>
      <x:c r="AR157" s="12" t="n">
        <x:v>0.31574</x:v>
      </x:c>
      <x:c r="AS157" s="13" t="b">
        <x:v>1</x:v>
      </x:c>
      <x:c r="AT157" s="13" t="b">
        <x:v>1</x:v>
      </x:c>
      <x:c r="AU157" s="13" t="b">
        <x:v>1</x:v>
      </x:c>
      <x:c r="AV157" s="13" t="b">
        <x:v>1</x:v>
      </x:c>
      <x:c r="AW157" s="13" t="b">
        <x:v>1</x:v>
      </x:c>
      <x:c r="AX157" s="13" t="b">
        <x:v>0</x:v>
      </x:c>
      <x:c r="AY157" s="13" t="b">
        <x:v>0</x:v>
      </x:c>
      <x:c r="AZ157" s="13" t="b">
        <x:v>1</x:v>
      </x:c>
      <x:c r="BA157" s="12" t="str">
        <x:v>OK</x:v>
      </x:c>
      <x:c r="BB157" s="12" t="str">
        <x:v>OK</x:v>
      </x:c>
      <x:c r="BC157" s="12" t="str">
        <x:v>EUR</x:v>
      </x:c>
      <x:c r="BD157" s="12" t="n">
        <x:v>189.58423913043418</x:v>
      </x:c>
      <x:c r="BE157" s="12" t="n">
        <x:v>181.00434782608636</x:v>
      </x:c>
      <x:c r="BF157" s="12" t="n">
        <x:v>0</x:v>
      </x:c>
      <x:c r="BG157" s="12" t="n">
        <x:v>0</x:v>
      </x:c>
      <x:c r="BH157" s="12" t="n">
        <x:v>100</x:v>
      </x:c>
      <x:c r="BI157" s="12" t="n">
        <x:v>100</x:v>
      </x:c>
      <x:c r="BJ157" s="12" t="n">
        <x:v>7.8935</x:v>
      </x:c>
      <x:c r="BK157" s="12" t="n">
        <x:v>0</x:v>
      </x:c>
      <x:c r="BL157" s="12" t="n">
        <x:v>0</x:v>
      </x:c>
      <x:c r="BM157" s="12" t="n">
        <x:v>0</x:v>
      </x:c>
      <x:c r="BN157" s="12" t="n">
        <x:v>342.7755774914055</x:v>
      </x:c>
      <x:c r="BO157" s="12" t="n">
        <x:v>367.7549707484771</x:v>
      </x:c>
      <x:c r="BP157" s="12" t="n">
        <x:v>1661.7578188013915</x:v>
      </x:c>
      <x:c r="BQ157" s="12" t="n">
        <x:v>0</x:v>
      </x:c>
      <x:c r="BR157" s="12" t="n">
        <x:v>2372.288367041274</x:v>
      </x:c>
      <x:c r="BS157" s="12" t="n">
        <x:v>0.023833031400966185</x:v>
      </x:c>
    </x:row>
    <x:row r="158" ht="21" customHeight="1">
      <x:c r="A158" s="14" t="n">
        <x:v>45659.46875</x:v>
      </x:c>
      <x:c r="B158" s="14" t="n">
        <x:v>45659.479166666664</x:v>
      </x:c>
      <x:c r="C158" s="14" t="n">
        <x:v>45659.552083333336</x:v>
      </x:c>
      <x:c r="D158" s="15" t="n">
        <x:v>45659</x:v>
      </x:c>
      <x:c r="E158" s="12" t="n">
        <x:v>0.25</x:v>
      </x:c>
      <x:c r="F158" s="12" t="str">
        <x:v>FORMAL</x:v>
      </x:c>
      <x:c r="G158" s="14" t="n">
        <x:v>45659.458333333336</x:v>
      </x:c>
      <x:c r="H158" s="12" t="n">
        <x:v>121.94</x:v>
      </x:c>
      <x:c r="I158" s="12" t="str">
        <x:v>2025-01-02_13</x:v>
      </x:c>
      <x:c r="J158" s="12" t="n">
        <x:v>60</x:v>
      </x:c>
      <x:c r="K158" s="12" t="str">
        <x:v>DA_2025-01-02@4f6782768649</x:v>
      </x:c>
      <x:c r="L158" s="15" t="n">
        <x:v>45657</x:v>
      </x:c>
      <x:c r="M158" s="12" t="n">
        <x:v>4.9741</x:v>
      </x:c>
      <x:c r="N158" s="12" t="str">
        <x:v>BNR2024_BOUNDARY@c4397e7f9c31</x:v>
      </x:c>
      <x:c r="O158" s="12"/>
      <x:c r="P158" s="12"/>
      <x:c r="Q158" s="12"/>
      <x:c r="R158" s="12"/>
      <x:c r="S158" s="12" t="str">
        <x:v>OUT_OF_RESEARCH_COVERAGE_PRE_2025_06</x:v>
      </x:c>
      <x:c r="T158" s="12" t="n">
        <x:v>200</x:v>
      </x:c>
      <x:c r="U158" s="12" t="str">
        <x:v>aFRRUp_2025-01-02T11:00:00Z</x:v>
      </x:c>
      <x:c r="V158" s="12" t="str">
        <x:v>tenderStatistics_2025-01@c14c9dea784d</x:v>
      </x:c>
      <x:c r="W158" s="12" t="n">
        <x:v>13.71102309965622</x:v>
      </x:c>
      <x:c r="X158" s="12" t="str">
        <x:v>PUBLISHED_PROXY</x:v>
      </x:c>
      <x:c r="Y158" s="12" t="n">
        <x:v>200</x:v>
      </x:c>
      <x:c r="Z158" s="12" t="str">
        <x:v>aFRRDown_2025-01-02T11:00:00Z</x:v>
      </x:c>
      <x:c r="AA158" s="12" t="str">
        <x:v>tenderStatistics_2025-01@c14c9dea784d</x:v>
      </x:c>
      <x:c r="AB158" s="12" t="n">
        <x:v>14.710198829939085</x:v>
      </x:c>
      <x:c r="AC158" s="12" t="str">
        <x:v>PUBLISHED_PROXY</x:v>
      </x:c>
      <x:c r="AD158" s="12"/>
      <x:c r="AE158" s="12" t="str">
        <x:v>SOURCE_NULL_NOT_MODELED</x:v>
      </x:c>
      <x:c r="AF158" s="12"/>
      <x:c r="AG158" s="12" t="n">
        <x:v>169.49277256187048</x:v>
      </x:c>
      <x:c r="AH158" s="12" t="str">
        <x:v>PUBLISHED_PROXY</x:v>
      </x:c>
      <x:c r="AI158" s="12" t="n">
        <x:v>3.839</x:v>
      </x:c>
      <x:c r="AJ158" s="12" t="n">
        <x:v>0</x:v>
      </x:c>
      <x:c r="AK158" s="12" t="str">
        <x:v>PUBLISHED_PROXY</x:v>
      </x:c>
      <x:c r="AL158" s="12" t="n">
        <x:v>0</x:v>
      </x:c>
      <x:c r="AM158" s="12" t="str">
        <x:v>marginalPricesOverview_2025-01@5b9daf9d82d7</x:v>
      </x:c>
      <x:c r="AN158" s="12" t="str">
        <x:v>activatedBalancingEnergyOverview_2025-01@4135ac664b2a</x:v>
      </x:c>
      <x:c r="AO158" s="12" t="str">
        <x:v>PUBLISHED_NATIVE</x:v>
      </x:c>
      <x:c r="AP158" s="12" t="n">
        <x:v>0.07678</x:v>
      </x:c>
      <x:c r="AQ158" s="12" t="n">
        <x:v>0</x:v>
      </x:c>
      <x:c r="AR158" s="12" t="n">
        <x:v>0.07678</x:v>
      </x:c>
      <x:c r="AS158" s="13" t="b">
        <x:v>1</x:v>
      </x:c>
      <x:c r="AT158" s="13" t="b">
        <x:v>1</x:v>
      </x:c>
      <x:c r="AU158" s="13" t="b">
        <x:v>1</x:v>
      </x:c>
      <x:c r="AV158" s="13" t="b">
        <x:v>1</x:v>
      </x:c>
      <x:c r="AW158" s="13" t="b">
        <x:v>1</x:v>
      </x:c>
      <x:c r="AX158" s="13" t="b">
        <x:v>0</x:v>
      </x:c>
      <x:c r="AY158" s="13" t="b">
        <x:v>0</x:v>
      </x:c>
      <x:c r="AZ158" s="13" t="b">
        <x:v>1</x:v>
      </x:c>
      <x:c r="BA158" s="12" t="str">
        <x:v>OK</x:v>
      </x:c>
      <x:c r="BB158" s="12" t="str">
        <x:v>OK</x:v>
      </x:c>
      <x:c r="BC158" s="12" t="str">
        <x:v>EUR</x:v>
      </x:c>
      <x:c r="BD158" s="12" t="n">
        <x:v>181.00434782608636</x:v>
      </x:c>
      <x:c r="BE158" s="12" t="n">
        <x:v>178.91793478260809</x:v>
      </x:c>
      <x:c r="BF158" s="12" t="n">
        <x:v>0</x:v>
      </x:c>
      <x:c r="BG158" s="12" t="n">
        <x:v>0</x:v>
      </x:c>
      <x:c r="BH158" s="12" t="n">
        <x:v>100</x:v>
      </x:c>
      <x:c r="BI158" s="12" t="n">
        <x:v>100</x:v>
      </x:c>
      <x:c r="BJ158" s="12" t="n">
        <x:v>1.9195</x:v>
      </x:c>
      <x:c r="BK158" s="12" t="n">
        <x:v>0</x:v>
      </x:c>
      <x:c r="BL158" s="12" t="n">
        <x:v>0</x:v>
      </x:c>
      <x:c r="BM158" s="12" t="n">
        <x:v>0</x:v>
      </x:c>
      <x:c r="BN158" s="12" t="n">
        <x:v>342.7755774914055</x:v>
      </x:c>
      <x:c r="BO158" s="12" t="n">
        <x:v>367.7549707484771</x:v>
      </x:c>
      <x:c r="BP158" s="12" t="n">
        <x:v>325.3413769325104</x:v>
      </x:c>
      <x:c r="BQ158" s="12" t="n">
        <x:v>0</x:v>
      </x:c>
      <x:c r="BR158" s="12" t="n">
        <x:v>1035.871925172393</x:v>
      </x:c>
      <x:c r="BS158" s="12" t="n">
        <x:v>0.005795591787439614</x:v>
      </x:c>
    </x:row>
    <x:row r="159" ht="21" customHeight="1">
      <x:c r="A159" s="14" t="n">
        <x:v>45659.479166666664</x:v>
      </x:c>
      <x:c r="B159" s="14" t="n">
        <x:v>45659.489583333336</x:v>
      </x:c>
      <x:c r="C159" s="14" t="n">
        <x:v>45659.5625</x:v>
      </x:c>
      <x:c r="D159" s="15" t="n">
        <x:v>45659</x:v>
      </x:c>
      <x:c r="E159" s="12" t="n">
        <x:v>0.25</x:v>
      </x:c>
      <x:c r="F159" s="12" t="str">
        <x:v>FORMAL</x:v>
      </x:c>
      <x:c r="G159" s="14" t="n">
        <x:v>45659.458333333336</x:v>
      </x:c>
      <x:c r="H159" s="12" t="n">
        <x:v>121.94</x:v>
      </x:c>
      <x:c r="I159" s="12" t="str">
        <x:v>2025-01-02_13</x:v>
      </x:c>
      <x:c r="J159" s="12" t="n">
        <x:v>60</x:v>
      </x:c>
      <x:c r="K159" s="12" t="str">
        <x:v>DA_2025-01-02@4f6782768649</x:v>
      </x:c>
      <x:c r="L159" s="15" t="n">
        <x:v>45657</x:v>
      </x:c>
      <x:c r="M159" s="12" t="n">
        <x:v>4.9741</x:v>
      </x:c>
      <x:c r="N159" s="12" t="str">
        <x:v>BNR2024_BOUNDARY@c4397e7f9c31</x:v>
      </x:c>
      <x:c r="O159" s="12"/>
      <x:c r="P159" s="12"/>
      <x:c r="Q159" s="12"/>
      <x:c r="R159" s="12"/>
      <x:c r="S159" s="12" t="str">
        <x:v>OUT_OF_RESEARCH_COVERAGE_PRE_2025_06</x:v>
      </x:c>
      <x:c r="T159" s="12" t="n">
        <x:v>200</x:v>
      </x:c>
      <x:c r="U159" s="12" t="str">
        <x:v>aFRRUp_2025-01-02T11:00:00Z</x:v>
      </x:c>
      <x:c r="V159" s="12" t="str">
        <x:v>tenderStatistics_2025-01@c14c9dea784d</x:v>
      </x:c>
      <x:c r="W159" s="12" t="n">
        <x:v>13.71102309965622</x:v>
      </x:c>
      <x:c r="X159" s="12" t="str">
        <x:v>PUBLISHED_PROXY</x:v>
      </x:c>
      <x:c r="Y159" s="12" t="n">
        <x:v>200</x:v>
      </x:c>
      <x:c r="Z159" s="12" t="str">
        <x:v>aFRRDown_2025-01-02T11:00:00Z</x:v>
      </x:c>
      <x:c r="AA159" s="12" t="str">
        <x:v>tenderStatistics_2025-01@c14c9dea784d</x:v>
      </x:c>
      <x:c r="AB159" s="12" t="n">
        <x:v>14.710198829939085</x:v>
      </x:c>
      <x:c r="AC159" s="12" t="str">
        <x:v>PUBLISHED_PROXY</x:v>
      </x:c>
      <x:c r="AD159" s="12"/>
      <x:c r="AE159" s="12" t="str">
        <x:v>SOURCE_NULL_NOT_MODELED</x:v>
      </x:c>
      <x:c r="AF159" s="12"/>
      <x:c r="AG159" s="12" t="n">
        <x:v>132.54980800546832</x:v>
      </x:c>
      <x:c r="AH159" s="12" t="str">
        <x:v>PUBLISHED_PROXY</x:v>
      </x:c>
      <x:c r="AI159" s="12" t="n">
        <x:v>0.643</x:v>
      </x:c>
      <x:c r="AJ159" s="12" t="n">
        <x:v>0</x:v>
      </x:c>
      <x:c r="AK159" s="12" t="str">
        <x:v>PUBLISHED_PROXY</x:v>
      </x:c>
      <x:c r="AL159" s="12" t="n">
        <x:v>0</x:v>
      </x:c>
      <x:c r="AM159" s="12" t="str">
        <x:v>marginalPricesOverview_2025-01@5b9daf9d82d7</x:v>
      </x:c>
      <x:c r="AN159" s="12" t="str">
        <x:v>activatedBalancingEnergyOverview_2025-01@4135ac664b2a</x:v>
      </x:c>
      <x:c r="AO159" s="12" t="str">
        <x:v>PUBLISHED_NATIVE</x:v>
      </x:c>
      <x:c r="AP159" s="12" t="n">
        <x:v>0.01286</x:v>
      </x:c>
      <x:c r="AQ159" s="12" t="n">
        <x:v>0</x:v>
      </x:c>
      <x:c r="AR159" s="12" t="n">
        <x:v>0.01286</x:v>
      </x:c>
      <x:c r="AS159" s="13" t="b">
        <x:v>1</x:v>
      </x:c>
      <x:c r="AT159" s="13" t="b">
        <x:v>1</x:v>
      </x:c>
      <x:c r="AU159" s="13" t="b">
        <x:v>1</x:v>
      </x:c>
      <x:c r="AV159" s="13" t="b">
        <x:v>1</x:v>
      </x:c>
      <x:c r="AW159" s="13" t="b">
        <x:v>1</x:v>
      </x:c>
      <x:c r="AX159" s="13" t="b">
        <x:v>0</x:v>
      </x:c>
      <x:c r="AY159" s="13" t="b">
        <x:v>0</x:v>
      </x:c>
      <x:c r="AZ159" s="13" t="b">
        <x:v>1</x:v>
      </x:c>
      <x:c r="BA159" s="12" t="str">
        <x:v>OK</x:v>
      </x:c>
      <x:c r="BB159" s="12" t="str">
        <x:v>OK</x:v>
      </x:c>
      <x:c r="BC159" s="12" t="str">
        <x:v>EUR</x:v>
      </x:c>
      <x:c r="BD159" s="12" t="n">
        <x:v>178.91793478260809</x:v>
      </x:c>
      <x:c r="BE159" s="12" t="n">
        <x:v>178.56847826086894</x:v>
      </x:c>
      <x:c r="BF159" s="12" t="n">
        <x:v>0</x:v>
      </x:c>
      <x:c r="BG159" s="12" t="n">
        <x:v>0</x:v>
      </x:c>
      <x:c r="BH159" s="12" t="n">
        <x:v>100</x:v>
      </x:c>
      <x:c r="BI159" s="12" t="n">
        <x:v>100</x:v>
      </x:c>
      <x:c r="BJ159" s="12" t="n">
        <x:v>0.3215</x:v>
      </x:c>
      <x:c r="BK159" s="12" t="n">
        <x:v>0</x:v>
      </x:c>
      <x:c r="BL159" s="12" t="n">
        <x:v>0</x:v>
      </x:c>
      <x:c r="BM159" s="12" t="n">
        <x:v>0</x:v>
      </x:c>
      <x:c r="BN159" s="12" t="n">
        <x:v>342.7755774914055</x:v>
      </x:c>
      <x:c r="BO159" s="12" t="n">
        <x:v>367.7549707484771</x:v>
      </x:c>
      <x:c r="BP159" s="12" t="n">
        <x:v>42.614763273758065</x:v>
      </x:c>
      <x:c r="BQ159" s="12" t="n">
        <x:v>0</x:v>
      </x:c>
      <x:c r="BR159" s="12" t="n">
        <x:v>753.1453115136406</x:v>
      </x:c>
      <x:c r="BS159" s="12" t="n">
        <x:v>0.0009707125603864734</x:v>
      </x:c>
    </x:row>
    <x:row r="160" ht="21" customHeight="1">
      <x:c r="A160" s="14" t="n">
        <x:v>45659.489583333336</x:v>
      </x:c>
      <x:c r="B160" s="14" t="n">
        <x:v>45659.5</x:v>
      </x:c>
      <x:c r="C160" s="14" t="n">
        <x:v>45659.572916666664</x:v>
      </x:c>
      <x:c r="D160" s="15" t="n">
        <x:v>45659</x:v>
      </x:c>
      <x:c r="E160" s="12" t="n">
        <x:v>0.25</x:v>
      </x:c>
      <x:c r="F160" s="12" t="str">
        <x:v>FORMAL</x:v>
      </x:c>
      <x:c r="G160" s="14" t="n">
        <x:v>45659.458333333336</x:v>
      </x:c>
      <x:c r="H160" s="12" t="n">
        <x:v>121.94</x:v>
      </x:c>
      <x:c r="I160" s="12" t="str">
        <x:v>2025-01-02_13</x:v>
      </x:c>
      <x:c r="J160" s="12" t="n">
        <x:v>60</x:v>
      </x:c>
      <x:c r="K160" s="12" t="str">
        <x:v>DA_2025-01-02@4f6782768649</x:v>
      </x:c>
      <x:c r="L160" s="15" t="n">
        <x:v>45657</x:v>
      </x:c>
      <x:c r="M160" s="12" t="n">
        <x:v>4.9741</x:v>
      </x:c>
      <x:c r="N160" s="12" t="str">
        <x:v>BNR2024_BOUNDARY@c4397e7f9c31</x:v>
      </x:c>
      <x:c r="O160" s="12"/>
      <x:c r="P160" s="12"/>
      <x:c r="Q160" s="12"/>
      <x:c r="R160" s="12"/>
      <x:c r="S160" s="12" t="str">
        <x:v>OUT_OF_RESEARCH_COVERAGE_PRE_2025_06</x:v>
      </x:c>
      <x:c r="T160" s="12" t="n">
        <x:v>200</x:v>
      </x:c>
      <x:c r="U160" s="12" t="str">
        <x:v>aFRRUp_2025-01-02T11:00:00Z</x:v>
      </x:c>
      <x:c r="V160" s="12" t="str">
        <x:v>tenderStatistics_2025-01@c14c9dea784d</x:v>
      </x:c>
      <x:c r="W160" s="12" t="n">
        <x:v>13.71102309965622</x:v>
      </x:c>
      <x:c r="X160" s="12" t="str">
        <x:v>PUBLISHED_PROXY</x:v>
      </x:c>
      <x:c r="Y160" s="12" t="n">
        <x:v>200</x:v>
      </x:c>
      <x:c r="Z160" s="12" t="str">
        <x:v>aFRRDown_2025-01-02T11:00:00Z</x:v>
      </x:c>
      <x:c r="AA160" s="12" t="str">
        <x:v>tenderStatistics_2025-01@c14c9dea784d</x:v>
      </x:c>
      <x:c r="AB160" s="12" t="n">
        <x:v>14.710198829939085</x:v>
      </x:c>
      <x:c r="AC160" s="12" t="str">
        <x:v>PUBLISHED_PROXY</x:v>
      </x:c>
      <x:c r="AD160" s="12"/>
      <x:c r="AE160" s="12" t="str">
        <x:v>SOURCE_NULL_NOT_MODELED</x:v>
      </x:c>
      <x:c r="AF160" s="12"/>
      <x:c r="AG160" s="12" t="n">
        <x:v>136.70814820771596</x:v>
      </x:c>
      <x:c r="AH160" s="12" t="str">
        <x:v>PUBLISHED_PROXY</x:v>
      </x:c>
      <x:c r="AI160" s="12" t="n">
        <x:v>0.124</x:v>
      </x:c>
      <x:c r="AJ160" s="12" t="n">
        <x:v>26.079893850143744</x:v>
      </x:c>
      <x:c r="AK160" s="12" t="str">
        <x:v>PUBLISHED_PROXY</x:v>
      </x:c>
      <x:c r="AL160" s="12" t="n">
        <x:v>0.21</x:v>
      </x:c>
      <x:c r="AM160" s="12" t="str">
        <x:v>marginalPricesOverview_2025-01@5b9daf9d82d7</x:v>
      </x:c>
      <x:c r="AN160" s="12" t="str">
        <x:v>activatedBalancingEnergyOverview_2025-01@4135ac664b2a</x:v>
      </x:c>
      <x:c r="AO160" s="12" t="str">
        <x:v>PUBLISHED_NATIVE</x:v>
      </x:c>
      <x:c r="AP160" s="12" t="n">
        <x:v>0.00248</x:v>
      </x:c>
      <x:c r="AQ160" s="12" t="n">
        <x:v>0.0042</x:v>
      </x:c>
      <x:c r="AR160" s="12" t="n">
        <x:v>0.00668</x:v>
      </x:c>
      <x:c r="AS160" s="13" t="b">
        <x:v>1</x:v>
      </x:c>
      <x:c r="AT160" s="13" t="b">
        <x:v>1</x:v>
      </x:c>
      <x:c r="AU160" s="13" t="b">
        <x:v>1</x:v>
      </x:c>
      <x:c r="AV160" s="13" t="b">
        <x:v>1</x:v>
      </x:c>
      <x:c r="AW160" s="13" t="b">
        <x:v>1</x:v>
      </x:c>
      <x:c r="AX160" s="13" t="b">
        <x:v>0</x:v>
      </x:c>
      <x:c r="AY160" s="13" t="b">
        <x:v>0</x:v>
      </x:c>
      <x:c r="AZ160" s="13" t="b">
        <x:v>1</x:v>
      </x:c>
      <x:c r="BA160" s="12" t="str">
        <x:v>OK</x:v>
      </x:c>
      <x:c r="BB160" s="12" t="str">
        <x:v>OK</x:v>
      </x:c>
      <x:c r="BC160" s="12" t="str">
        <x:v>EUR</x:v>
      </x:c>
      <x:c r="BD160" s="12" t="n">
        <x:v>178.56847826086894</x:v>
      </x:c>
      <x:c r="BE160" s="12" t="n">
        <x:v>178.5976869565211</x:v>
      </x:c>
      <x:c r="BF160" s="12" t="n">
        <x:v>0</x:v>
      </x:c>
      <x:c r="BG160" s="12" t="n">
        <x:v>0</x:v>
      </x:c>
      <x:c r="BH160" s="12" t="n">
        <x:v>100</x:v>
      </x:c>
      <x:c r="BI160" s="12" t="n">
        <x:v>100</x:v>
      </x:c>
      <x:c r="BJ160" s="12" t="n">
        <x:v>0.062</x:v>
      </x:c>
      <x:c r="BK160" s="12" t="n">
        <x:v>0.105</x:v>
      </x:c>
      <x:c r="BL160" s="12" t="n">
        <x:v>0</x:v>
      </x:c>
      <x:c r="BM160" s="12" t="n">
        <x:v>0</x:v>
      </x:c>
      <x:c r="BN160" s="12" t="n">
        <x:v>342.7755774914055</x:v>
      </x:c>
      <x:c r="BO160" s="12" t="n">
        <x:v>367.7549707484771</x:v>
      </x:c>
      <x:c r="BP160" s="12" t="n">
        <x:v>8.47590518887839</x:v>
      </x:c>
      <x:c r="BQ160" s="12" t="n">
        <x:v>-2.738388854265093</x:v>
      </x:c>
      <x:c r="BR160" s="12" t="n">
        <x:v>716.2680645744958</x:v>
      </x:c>
      <x:c r="BS160" s="12" t="n">
        <x:v>0.0004555314009661836</x:v>
      </x:c>
    </x:row>
    <x:row r="161" ht="21" customHeight="1">
      <x:c r="A161" s="14" t="n">
        <x:v>45659.5</x:v>
      </x:c>
      <x:c r="B161" s="14" t="n">
        <x:v>45659.510416666664</x:v>
      </x:c>
      <x:c r="C161" s="14" t="n">
        <x:v>45659.583333333336</x:v>
      </x:c>
      <x:c r="D161" s="15" t="n">
        <x:v>45659</x:v>
      </x:c>
      <x:c r="E161" s="12" t="n">
        <x:v>0.25</x:v>
      </x:c>
      <x:c r="F161" s="12" t="str">
        <x:v>FORMAL</x:v>
      </x:c>
      <x:c r="G161" s="14" t="n">
        <x:v>45659.5</x:v>
      </x:c>
      <x:c r="H161" s="12" t="n">
        <x:v>116.3</x:v>
      </x:c>
      <x:c r="I161" s="12" t="str">
        <x:v>2025-01-02_14</x:v>
      </x:c>
      <x:c r="J161" s="12" t="n">
        <x:v>60</x:v>
      </x:c>
      <x:c r="K161" s="12" t="str">
        <x:v>DA_2025-01-02@4f6782768649</x:v>
      </x:c>
      <x:c r="L161" s="15" t="n">
        <x:v>45657</x:v>
      </x:c>
      <x:c r="M161" s="12" t="n">
        <x:v>4.9741</x:v>
      </x:c>
      <x:c r="N161" s="12" t="str">
        <x:v>BNR2024_BOUNDARY@c4397e7f9c31</x:v>
      </x:c>
      <x:c r="O161" s="12"/>
      <x:c r="P161" s="12"/>
      <x:c r="Q161" s="12"/>
      <x:c r="R161" s="12"/>
      <x:c r="S161" s="12" t="str">
        <x:v>OUT_OF_RESEARCH_COVERAGE_PRE_2025_06</x:v>
      </x:c>
      <x:c r="T161" s="12" t="n">
        <x:v>200</x:v>
      </x:c>
      <x:c r="U161" s="12" t="str">
        <x:v>aFRRUp_2025-01-02T12:00:00Z</x:v>
      </x:c>
      <x:c r="V161" s="12" t="str">
        <x:v>tenderStatistics_2025-01@c14c9dea784d</x:v>
      </x:c>
      <x:c r="W161" s="12" t="n">
        <x:v>13.71102309965622</x:v>
      </x:c>
      <x:c r="X161" s="12" t="str">
        <x:v>PUBLISHED_PROXY</x:v>
      </x:c>
      <x:c r="Y161" s="12" t="n">
        <x:v>200</x:v>
      </x:c>
      <x:c r="Z161" s="12" t="str">
        <x:v>aFRRDown_2025-01-02T12:00:00Z</x:v>
      </x:c>
      <x:c r="AA161" s="12" t="str">
        <x:v>tenderStatistics_2025-01@c14c9dea784d</x:v>
      </x:c>
      <x:c r="AB161" s="12" t="n">
        <x:v>14.710198829939085</x:v>
      </x:c>
      <x:c r="AC161" s="12" t="str">
        <x:v>PUBLISHED_PROXY</x:v>
      </x:c>
      <x:c r="AD161" s="12"/>
      <x:c r="AE161" s="12" t="str">
        <x:v>SOURCE_NULL_NOT_MODELED</x:v>
      </x:c>
      <x:c r="AF161" s="12"/>
      <x:c r="AG161" s="12" t="n">
        <x:v>0</x:v>
      </x:c>
      <x:c r="AH161" s="12" t="str">
        <x:v>PUBLISHED_PROXY</x:v>
      </x:c>
      <x:c r="AI161" s="12" t="n">
        <x:v>0</x:v>
      </x:c>
      <x:c r="AJ161" s="12" t="n">
        <x:v>31.699000824269717</x:v>
      </x:c>
      <x:c r="AK161" s="12" t="str">
        <x:v>PUBLISHED_PROXY</x:v>
      </x:c>
      <x:c r="AL161" s="12" t="n">
        <x:v>1.268</x:v>
      </x:c>
      <x:c r="AM161" s="12" t="str">
        <x:v>marginalPricesOverview_2025-01@5b9daf9d82d7</x:v>
      </x:c>
      <x:c r="AN161" s="12" t="str">
        <x:v>activatedBalancingEnergyOverview_2025-01@4135ac664b2a</x:v>
      </x:c>
      <x:c r="AO161" s="12" t="str">
        <x:v>PUBLISHED_NATIVE</x:v>
      </x:c>
      <x:c r="AP161" s="12" t="n">
        <x:v>0</x:v>
      </x:c>
      <x:c r="AQ161" s="12" t="n">
        <x:v>0.02536</x:v>
      </x:c>
      <x:c r="AR161" s="12" t="n">
        <x:v>0.02536</x:v>
      </x:c>
      <x:c r="AS161" s="13" t="b">
        <x:v>1</x:v>
      </x:c>
      <x:c r="AT161" s="13" t="b">
        <x:v>1</x:v>
      </x:c>
      <x:c r="AU161" s="13" t="b">
        <x:v>1</x:v>
      </x:c>
      <x:c r="AV161" s="13" t="b">
        <x:v>1</x:v>
      </x:c>
      <x:c r="AW161" s="13" t="b">
        <x:v>1</x:v>
      </x:c>
      <x:c r="AX161" s="13" t="b">
        <x:v>0</x:v>
      </x:c>
      <x:c r="AY161" s="13" t="b">
        <x:v>0</x:v>
      </x:c>
      <x:c r="AZ161" s="13" t="b">
        <x:v>1</x:v>
      </x:c>
      <x:c r="BA161" s="12" t="str">
        <x:v>OK</x:v>
      </x:c>
      <x:c r="BB161" s="12" t="str">
        <x:v>OK</x:v>
      </x:c>
      <x:c r="BC161" s="12" t="str">
        <x:v>EUR</x:v>
      </x:c>
      <x:c r="BD161" s="12" t="n">
        <x:v>178.5976869565211</x:v>
      </x:c>
      <x:c r="BE161" s="12" t="n">
        <x:v>184.7851469565209</x:v>
      </x:c>
      <x:c r="BF161" s="12" t="n">
        <x:v>-24.999999999999062</x:v>
      </x:c>
      <x:c r="BG161" s="12" t="n">
        <x:v>0</x:v>
      </x:c>
      <x:c r="BH161" s="12" t="n">
        <x:v>100</x:v>
      </x:c>
      <x:c r="BI161" s="12" t="n">
        <x:v>75</x:v>
      </x:c>
      <x:c r="BJ161" s="12" t="n">
        <x:v>0</x:v>
      </x:c>
      <x:c r="BK161" s="12" t="n">
        <x:v>0.47550000000000003</x:v>
      </x:c>
      <x:c r="BL161" s="12" t="n">
        <x:v>-726.8749999999727</x:v>
      </x:c>
      <x:c r="BM161" s="12" t="n">
        <x:v>0</x:v>
      </x:c>
      <x:c r="BN161" s="12" t="n">
        <x:v>342.7755774914055</x:v>
      </x:c>
      <x:c r="BO161" s="12" t="n">
        <x:v>275.81622806135783</x:v>
      </x:c>
      <x:c r="BP161" s="12" t="n">
        <x:v>0</x:v>
      </x:c>
      <x:c r="BQ161" s="12" t="n">
        <x:v>-15.072874891940252</x:v>
      </x:c>
      <x:c r="BR161" s="12" t="n">
        <x:v>-123.35606933914963</x:v>
      </x:c>
      <x:c r="BS161" s="12" t="n">
        <x:v>0.017187388888888287</x:v>
      </x:c>
    </x:row>
    <x:row r="162" ht="21" customHeight="1">
      <x:c r="A162" s="14" t="n">
        <x:v>45659.510416666664</x:v>
      </x:c>
      <x:c r="B162" s="14" t="n">
        <x:v>45659.520833333336</x:v>
      </x:c>
      <x:c r="C162" s="14" t="n">
        <x:v>45659.59375</x:v>
      </x:c>
      <x:c r="D162" s="15" t="n">
        <x:v>45659</x:v>
      </x:c>
      <x:c r="E162" s="12" t="n">
        <x:v>0.25</x:v>
      </x:c>
      <x:c r="F162" s="12" t="str">
        <x:v>FORMAL</x:v>
      </x:c>
      <x:c r="G162" s="14" t="n">
        <x:v>45659.5</x:v>
      </x:c>
      <x:c r="H162" s="12" t="n">
        <x:v>116.3</x:v>
      </x:c>
      <x:c r="I162" s="12" t="str">
        <x:v>2025-01-02_14</x:v>
      </x:c>
      <x:c r="J162" s="12" t="n">
        <x:v>60</x:v>
      </x:c>
      <x:c r="K162" s="12" t="str">
        <x:v>DA_2025-01-02@4f6782768649</x:v>
      </x:c>
      <x:c r="L162" s="15" t="n">
        <x:v>45657</x:v>
      </x:c>
      <x:c r="M162" s="12" t="n">
        <x:v>4.9741</x:v>
      </x:c>
      <x:c r="N162" s="12" t="str">
        <x:v>BNR2024_BOUNDARY@c4397e7f9c31</x:v>
      </x:c>
      <x:c r="O162" s="12"/>
      <x:c r="P162" s="12"/>
      <x:c r="Q162" s="12"/>
      <x:c r="R162" s="12"/>
      <x:c r="S162" s="12" t="str">
        <x:v>OUT_OF_RESEARCH_COVERAGE_PRE_2025_06</x:v>
      </x:c>
      <x:c r="T162" s="12" t="n">
        <x:v>200</x:v>
      </x:c>
      <x:c r="U162" s="12" t="str">
        <x:v>aFRRUp_2025-01-02T12:00:00Z</x:v>
      </x:c>
      <x:c r="V162" s="12" t="str">
        <x:v>tenderStatistics_2025-01@c14c9dea784d</x:v>
      </x:c>
      <x:c r="W162" s="12" t="n">
        <x:v>13.71102309965622</x:v>
      </x:c>
      <x:c r="X162" s="12" t="str">
        <x:v>PUBLISHED_PROXY</x:v>
      </x:c>
      <x:c r="Y162" s="12" t="n">
        <x:v>200</x:v>
      </x:c>
      <x:c r="Z162" s="12" t="str">
        <x:v>aFRRDown_2025-01-02T12:00:00Z</x:v>
      </x:c>
      <x:c r="AA162" s="12" t="str">
        <x:v>tenderStatistics_2025-01@c14c9dea784d</x:v>
      </x:c>
      <x:c r="AB162" s="12" t="n">
        <x:v>14.710198829939085</x:v>
      </x:c>
      <x:c r="AC162" s="12" t="str">
        <x:v>PUBLISHED_PROXY</x:v>
      </x:c>
      <x:c r="AD162" s="12"/>
      <x:c r="AE162" s="12" t="str">
        <x:v>SOURCE_NULL_NOT_MODELED</x:v>
      </x:c>
      <x:c r="AF162" s="12"/>
      <x:c r="AG162" s="12" t="n">
        <x:v>136.70814820771596</x:v>
      </x:c>
      <x:c r="AH162" s="12" t="str">
        <x:v>PUBLISHED_PROXY</x:v>
      </x:c>
      <x:c r="AI162" s="12" t="n">
        <x:v>1.202</x:v>
      </x:c>
      <x:c r="AJ162" s="12" t="n">
        <x:v>58.3020043827024</x:v>
      </x:c>
      <x:c r="AK162" s="12" t="str">
        <x:v>PUBLISHED_PROXY</x:v>
      </x:c>
      <x:c r="AL162" s="12" t="n">
        <x:v>0.016</x:v>
      </x:c>
      <x:c r="AM162" s="12" t="str">
        <x:v>marginalPricesOverview_2025-01@5b9daf9d82d7</x:v>
      </x:c>
      <x:c r="AN162" s="12" t="str">
        <x:v>activatedBalancingEnergyOverview_2025-01@4135ac664b2a</x:v>
      </x:c>
      <x:c r="AO162" s="12" t="str">
        <x:v>PUBLISHED_NATIVE</x:v>
      </x:c>
      <x:c r="AP162" s="12" t="n">
        <x:v>0.02404</x:v>
      </x:c>
      <x:c r="AQ162" s="12" t="n">
        <x:v>0.00032</x:v>
      </x:c>
      <x:c r="AR162" s="12" t="n">
        <x:v>0.02436</x:v>
      </x:c>
      <x:c r="AS162" s="13" t="b">
        <x:v>1</x:v>
      </x:c>
      <x:c r="AT162" s="13" t="b">
        <x:v>1</x:v>
      </x:c>
      <x:c r="AU162" s="13" t="b">
        <x:v>1</x:v>
      </x:c>
      <x:c r="AV162" s="13" t="b">
        <x:v>1</x:v>
      </x:c>
      <x:c r="AW162" s="13" t="b">
        <x:v>1</x:v>
      </x:c>
      <x:c r="AX162" s="13" t="b">
        <x:v>0</x:v>
      </x:c>
      <x:c r="AY162" s="13" t="b">
        <x:v>0</x:v>
      </x:c>
      <x:c r="AZ162" s="13" t="b">
        <x:v>1</x:v>
      </x:c>
      <x:c r="BA162" s="12" t="str">
        <x:v>OK</x:v>
      </x:c>
      <x:c r="BB162" s="12" t="str">
        <x:v>OK</x:v>
      </x:c>
      <x:c r="BC162" s="12" t="str">
        <x:v>EUR</x:v>
      </x:c>
      <x:c r="BD162" s="12" t="n">
        <x:v>184.7851469565209</x:v>
      </x:c>
      <x:c r="BE162" s="12" t="n">
        <x:v>189.91249130434676</x:v>
      </x:c>
      <x:c r="BF162" s="12" t="n">
        <x:v>-24.999999999999062</x:v>
      </x:c>
      <x:c r="BG162" s="12" t="n">
        <x:v>0</x:v>
      </x:c>
      <x:c r="BH162" s="12" t="n">
        <x:v>100</x:v>
      </x:c>
      <x:c r="BI162" s="12" t="n">
        <x:v>75</x:v>
      </x:c>
      <x:c r="BJ162" s="12" t="n">
        <x:v>0.601</x:v>
      </x:c>
      <x:c r="BK162" s="12" t="n">
        <x:v>0.006</x:v>
      </x:c>
      <x:c r="BL162" s="12" t="n">
        <x:v>-726.8749999999727</x:v>
      </x:c>
      <x:c r="BM162" s="12" t="n">
        <x:v>0</x:v>
      </x:c>
      <x:c r="BN162" s="12" t="n">
        <x:v>342.7755774914055</x:v>
      </x:c>
      <x:c r="BO162" s="12" t="n">
        <x:v>275.81622806135783</x:v>
      </x:c>
      <x:c r="BP162" s="12" t="n">
        <x:v>82.1615970728373</x:v>
      </x:c>
      <x:c r="BQ162" s="12" t="n">
        <x:v>-0.3498120262962144</x:v>
      </x:c>
      <x:c r="BR162" s="12" t="n">
        <x:v>-26.4714094006683</x:v>
      </x:c>
      <x:c r="BS162" s="12" t="n">
        <x:v>0.0169645434782603</x:v>
      </x:c>
    </x:row>
    <x:row r="163" ht="21" customHeight="1">
      <x:c r="A163" s="14" t="n">
        <x:v>45659.520833333336</x:v>
      </x:c>
      <x:c r="B163" s="14" t="n">
        <x:v>45659.53125</x:v>
      </x:c>
      <x:c r="C163" s="14" t="n">
        <x:v>45659.604166666664</x:v>
      </x:c>
      <x:c r="D163" s="15" t="n">
        <x:v>45659</x:v>
      </x:c>
      <x:c r="E163" s="12" t="n">
        <x:v>0.25</x:v>
      </x:c>
      <x:c r="F163" s="12" t="str">
        <x:v>FORMAL</x:v>
      </x:c>
      <x:c r="G163" s="14" t="n">
        <x:v>45659.5</x:v>
      </x:c>
      <x:c r="H163" s="12" t="n">
        <x:v>116.3</x:v>
      </x:c>
      <x:c r="I163" s="12" t="str">
        <x:v>2025-01-02_14</x:v>
      </x:c>
      <x:c r="J163" s="12" t="n">
        <x:v>60</x:v>
      </x:c>
      <x:c r="K163" s="12" t="str">
        <x:v>DA_2025-01-02@4f6782768649</x:v>
      </x:c>
      <x:c r="L163" s="15" t="n">
        <x:v>45657</x:v>
      </x:c>
      <x:c r="M163" s="12" t="n">
        <x:v>4.9741</x:v>
      </x:c>
      <x:c r="N163" s="12" t="str">
        <x:v>BNR2024_BOUNDARY@c4397e7f9c31</x:v>
      </x:c>
      <x:c r="O163" s="12"/>
      <x:c r="P163" s="12"/>
      <x:c r="Q163" s="12"/>
      <x:c r="R163" s="12"/>
      <x:c r="S163" s="12" t="str">
        <x:v>OUT_OF_RESEARCH_COVERAGE_PRE_2025_06</x:v>
      </x:c>
      <x:c r="T163" s="12" t="n">
        <x:v>200</x:v>
      </x:c>
      <x:c r="U163" s="12" t="str">
        <x:v>aFRRUp_2025-01-02T12:00:00Z</x:v>
      </x:c>
      <x:c r="V163" s="12" t="str">
        <x:v>tenderStatistics_2025-01@c14c9dea784d</x:v>
      </x:c>
      <x:c r="W163" s="12" t="n">
        <x:v>13.71102309965622</x:v>
      </x:c>
      <x:c r="X163" s="12" t="str">
        <x:v>PUBLISHED_PROXY</x:v>
      </x:c>
      <x:c r="Y163" s="12" t="n">
        <x:v>200</x:v>
      </x:c>
      <x:c r="Z163" s="12" t="str">
        <x:v>aFRRDown_2025-01-02T12:00:00Z</x:v>
      </x:c>
      <x:c r="AA163" s="12" t="str">
        <x:v>tenderStatistics_2025-01@c14c9dea784d</x:v>
      </x:c>
      <x:c r="AB163" s="12" t="n">
        <x:v>14.710198829939085</x:v>
      </x:c>
      <x:c r="AC163" s="12" t="str">
        <x:v>PUBLISHED_PROXY</x:v>
      </x:c>
      <x:c r="AD163" s="12"/>
      <x:c r="AE163" s="12" t="str">
        <x:v>SOURCE_NULL_NOT_MODELED</x:v>
      </x:c>
      <x:c r="AF163" s="12"/>
      <x:c r="AG163" s="12" t="n">
        <x:v>200.47465873223297</x:v>
      </x:c>
      <x:c r="AH163" s="12" t="str">
        <x:v>PUBLISHED_PROXY</x:v>
      </x:c>
      <x:c r="AI163" s="12" t="n">
        <x:v>15.952</x:v>
      </x:c>
      <x:c r="AJ163" s="12" t="n">
        <x:v>0</x:v>
      </x:c>
      <x:c r="AK163" s="12" t="str">
        <x:v>PUBLISHED_PROXY</x:v>
      </x:c>
      <x:c r="AL163" s="12" t="n">
        <x:v>0</x:v>
      </x:c>
      <x:c r="AM163" s="12" t="str">
        <x:v>marginalPricesOverview_2025-01@5b9daf9d82d7</x:v>
      </x:c>
      <x:c r="AN163" s="12" t="str">
        <x:v>activatedBalancingEnergyOverview_2025-01@4135ac664b2a</x:v>
      </x:c>
      <x:c r="AO163" s="12" t="str">
        <x:v>PUBLISHED_NATIVE</x:v>
      </x:c>
      <x:c r="AP163" s="12" t="n">
        <x:v>0.31904</x:v>
      </x:c>
      <x:c r="AQ163" s="12" t="n">
        <x:v>0</x:v>
      </x:c>
      <x:c r="AR163" s="12" t="n">
        <x:v>0.31904</x:v>
      </x:c>
      <x:c r="AS163" s="13" t="b">
        <x:v>1</x:v>
      </x:c>
      <x:c r="AT163" s="13" t="b">
        <x:v>1</x:v>
      </x:c>
      <x:c r="AU163" s="13" t="b">
        <x:v>1</x:v>
      </x:c>
      <x:c r="AV163" s="13" t="b">
        <x:v>1</x:v>
      </x:c>
      <x:c r="AW163" s="13" t="b">
        <x:v>1</x:v>
      </x:c>
      <x:c r="AX163" s="13" t="b">
        <x:v>0</x:v>
      </x:c>
      <x:c r="AY163" s="13" t="b">
        <x:v>0</x:v>
      </x:c>
      <x:c r="AZ163" s="13" t="b">
        <x:v>1</x:v>
      </x:c>
      <x:c r="BA163" s="12" t="str">
        <x:v>OK</x:v>
      </x:c>
      <x:c r="BB163" s="12" t="str">
        <x:v>OK</x:v>
      </x:c>
      <x:c r="BC163" s="12" t="str">
        <x:v>EUR</x:v>
      </x:c>
      <x:c r="BD163" s="12" t="n">
        <x:v>189.91249130434676</x:v>
      </x:c>
      <x:c r="BE163" s="12" t="n">
        <x:v>187.32583739130305</x:v>
      </x:c>
      <x:c r="BF163" s="12" t="n">
        <x:v>-24.999999999999062</x:v>
      </x:c>
      <x:c r="BG163" s="12" t="n">
        <x:v>0</x:v>
      </x:c>
      <x:c r="BH163" s="12" t="n">
        <x:v>100</x:v>
      </x:c>
      <x:c r="BI163" s="12" t="n">
        <x:v>75</x:v>
      </x:c>
      <x:c r="BJ163" s="12" t="n">
        <x:v>7.976</x:v>
      </x:c>
      <x:c r="BK163" s="12" t="n">
        <x:v>0</x:v>
      </x:c>
      <x:c r="BL163" s="12" t="n">
        <x:v>-726.8749999999727</x:v>
      </x:c>
      <x:c r="BM163" s="12" t="n">
        <x:v>0</x:v>
      </x:c>
      <x:c r="BN163" s="12" t="n">
        <x:v>342.7755774914055</x:v>
      </x:c>
      <x:c r="BO163" s="12" t="n">
        <x:v>275.81622806135783</x:v>
      </x:c>
      <x:c r="BP163" s="12" t="n">
        <x:v>1598.98587804829</x:v>
      </x:c>
      <x:c r="BQ163" s="12" t="n">
        <x:v>0</x:v>
      </x:c>
      <x:c r="BR163" s="12" t="n">
        <x:v>1490.7026836010807</x:v>
      </x:c>
      <x:c r="BS163" s="12" t="n">
        <x:v>0.02893803864734281</x:v>
      </x:c>
    </x:row>
    <x:row r="164" ht="21" customHeight="1">
      <x:c r="A164" s="14" t="n">
        <x:v>45659.53125</x:v>
      </x:c>
      <x:c r="B164" s="14" t="n">
        <x:v>45659.541666666664</x:v>
      </x:c>
      <x:c r="C164" s="14" t="n">
        <x:v>45659.614583333336</x:v>
      </x:c>
      <x:c r="D164" s="15" t="n">
        <x:v>45659</x:v>
      </x:c>
      <x:c r="E164" s="12" t="n">
        <x:v>0.25</x:v>
      </x:c>
      <x:c r="F164" s="12" t="str">
        <x:v>FORMAL</x:v>
      </x:c>
      <x:c r="G164" s="14" t="n">
        <x:v>45659.5</x:v>
      </x:c>
      <x:c r="H164" s="12" t="n">
        <x:v>116.3</x:v>
      </x:c>
      <x:c r="I164" s="12" t="str">
        <x:v>2025-01-02_14</x:v>
      </x:c>
      <x:c r="J164" s="12" t="n">
        <x:v>60</x:v>
      </x:c>
      <x:c r="K164" s="12" t="str">
        <x:v>DA_2025-01-02@4f6782768649</x:v>
      </x:c>
      <x:c r="L164" s="15" t="n">
        <x:v>45657</x:v>
      </x:c>
      <x:c r="M164" s="12" t="n">
        <x:v>4.9741</x:v>
      </x:c>
      <x:c r="N164" s="12" t="str">
        <x:v>BNR2024_BOUNDARY@c4397e7f9c31</x:v>
      </x:c>
      <x:c r="O164" s="12"/>
      <x:c r="P164" s="12"/>
      <x:c r="Q164" s="12"/>
      <x:c r="R164" s="12"/>
      <x:c r="S164" s="12" t="str">
        <x:v>OUT_OF_RESEARCH_COVERAGE_PRE_2025_06</x:v>
      </x:c>
      <x:c r="T164" s="12" t="n">
        <x:v>200</x:v>
      </x:c>
      <x:c r="U164" s="12" t="str">
        <x:v>aFRRUp_2025-01-02T12:00:00Z</x:v>
      </x:c>
      <x:c r="V164" s="12" t="str">
        <x:v>tenderStatistics_2025-01@c14c9dea784d</x:v>
      </x:c>
      <x:c r="W164" s="12" t="n">
        <x:v>13.71102309965622</x:v>
      </x:c>
      <x:c r="X164" s="12" t="str">
        <x:v>PUBLISHED_PROXY</x:v>
      </x:c>
      <x:c r="Y164" s="12" t="n">
        <x:v>200</x:v>
      </x:c>
      <x:c r="Z164" s="12" t="str">
        <x:v>aFRRDown_2025-01-02T12:00:00Z</x:v>
      </x:c>
      <x:c r="AA164" s="12" t="str">
        <x:v>tenderStatistics_2025-01@c14c9dea784d</x:v>
      </x:c>
      <x:c r="AB164" s="12" t="n">
        <x:v>14.710198829939085</x:v>
      </x:c>
      <x:c r="AC164" s="12" t="str">
        <x:v>PUBLISHED_PROXY</x:v>
      </x:c>
      <x:c r="AD164" s="12"/>
      <x:c r="AE164" s="12" t="str">
        <x:v>SOURCE_NULL_NOT_MODELED</x:v>
      </x:c>
      <x:c r="AF164" s="12"/>
      <x:c r="AG164" s="12" t="n">
        <x:v>727.1645121730564</x:v>
      </x:c>
      <x:c r="AH164" s="12" t="str">
        <x:v>PUBLISHED_PROXY</x:v>
      </x:c>
      <x:c r="AI164" s="12" t="n">
        <x:v>45.793</x:v>
      </x:c>
      <x:c r="AJ164" s="12" t="n">
        <x:v>0</x:v>
      </x:c>
      <x:c r="AK164" s="12" t="str">
        <x:v>PUBLISHED_PROXY</x:v>
      </x:c>
      <x:c r="AL164" s="12" t="n">
        <x:v>0</x:v>
      </x:c>
      <x:c r="AM164" s="12" t="str">
        <x:v>marginalPricesOverview_2025-01@5b9daf9d82d7</x:v>
      </x:c>
      <x:c r="AN164" s="12" t="str">
        <x:v>activatedBalancingEnergyOverview_2025-01@4135ac664b2a</x:v>
      </x:c>
      <x:c r="AO164" s="12" t="str">
        <x:v>PUBLISHED_NATIVE</x:v>
      </x:c>
      <x:c r="AP164" s="12" t="n">
        <x:v>0.91586</x:v>
      </x:c>
      <x:c r="AQ164" s="12" t="n">
        <x:v>0</x:v>
      </x:c>
      <x:c r="AR164" s="12" t="n">
        <x:v>0.91586</x:v>
      </x:c>
      <x:c r="AS164" s="13" t="b">
        <x:v>1</x:v>
      </x:c>
      <x:c r="AT164" s="13" t="b">
        <x:v>1</x:v>
      </x:c>
      <x:c r="AU164" s="13" t="b">
        <x:v>1</x:v>
      </x:c>
      <x:c r="AV164" s="13" t="b">
        <x:v>1</x:v>
      </x:c>
      <x:c r="AW164" s="13" t="b">
        <x:v>1</x:v>
      </x:c>
      <x:c r="AX164" s="13" t="b">
        <x:v>0</x:v>
      </x:c>
      <x:c r="AY164" s="13" t="b">
        <x:v>0</x:v>
      </x:c>
      <x:c r="AZ164" s="13" t="b">
        <x:v>1</x:v>
      </x:c>
      <x:c r="BA164" s="12" t="str">
        <x:v>OK</x:v>
      </x:c>
      <x:c r="BB164" s="12" t="str">
        <x:v>OK</x:v>
      </x:c>
      <x:c r="BC164" s="12" t="str">
        <x:v>EUR</x:v>
      </x:c>
      <x:c r="BD164" s="12" t="n">
        <x:v>187.32583739130305</x:v>
      </x:c>
      <x:c r="BE164" s="12" t="n">
        <x:v>169.1440173913028</x:v>
      </x:c>
      <x:c r="BF164" s="12" t="n">
        <x:v>-24.999999999999062</x:v>
      </x:c>
      <x:c r="BG164" s="12" t="n">
        <x:v>0</x:v>
      </x:c>
      <x:c r="BH164" s="12" t="n">
        <x:v>100</x:v>
      </x:c>
      <x:c r="BI164" s="12" t="n">
        <x:v>75</x:v>
      </x:c>
      <x:c r="BJ164" s="12" t="n">
        <x:v>22.8965</x:v>
      </x:c>
      <x:c r="BK164" s="12" t="n">
        <x:v>0</x:v>
      </x:c>
      <x:c r="BL164" s="12" t="n">
        <x:v>-726.8749999999727</x:v>
      </x:c>
      <x:c r="BM164" s="12" t="n">
        <x:v>0</x:v>
      </x:c>
      <x:c r="BN164" s="12" t="n">
        <x:v>342.7755774914055</x:v>
      </x:c>
      <x:c r="BO164" s="12" t="n">
        <x:v>275.81622806135783</x:v>
      </x:c>
      <x:c r="BP164" s="12" t="n">
        <x:v>16649.522252970386</x:v>
      </x:c>
      <x:c r="BQ164" s="12" t="n">
        <x:v>0</x:v>
      </x:c>
      <x:c r="BR164" s="12" t="n">
        <x:v>16541.239058523177</x:v>
      </x:c>
      <x:c r="BS164" s="12" t="n">
        <x:v>0.053192861111111704</x:v>
      </x:c>
    </x:row>
    <x:row r="165" ht="21" customHeight="1">
      <x:c r="A165" s="14" t="n">
        <x:v>45659.541666666664</x:v>
      </x:c>
      <x:c r="B165" s="14" t="n">
        <x:v>45659.552083333336</x:v>
      </x:c>
      <x:c r="C165" s="14" t="n">
        <x:v>45659.625</x:v>
      </x:c>
      <x:c r="D165" s="15" t="n">
        <x:v>45659</x:v>
      </x:c>
      <x:c r="E165" s="12" t="n">
        <x:v>0.25</x:v>
      </x:c>
      <x:c r="F165" s="12" t="str">
        <x:v>FORMAL</x:v>
      </x:c>
      <x:c r="G165" s="14" t="n">
        <x:v>45659.541666666664</x:v>
      </x:c>
      <x:c r="H165" s="12" t="n">
        <x:v>124.51</x:v>
      </x:c>
      <x:c r="I165" s="12" t="str">
        <x:v>2025-01-02_15</x:v>
      </x:c>
      <x:c r="J165" s="12" t="n">
        <x:v>60</x:v>
      </x:c>
      <x:c r="K165" s="12" t="str">
        <x:v>DA_2025-01-02@4f6782768649</x:v>
      </x:c>
      <x:c r="L165" s="15" t="n">
        <x:v>45657</x:v>
      </x:c>
      <x:c r="M165" s="12" t="n">
        <x:v>4.9741</x:v>
      </x:c>
      <x:c r="N165" s="12" t="str">
        <x:v>BNR2024_BOUNDARY@c4397e7f9c31</x:v>
      </x:c>
      <x:c r="O165" s="12"/>
      <x:c r="P165" s="12"/>
      <x:c r="Q165" s="12"/>
      <x:c r="R165" s="12"/>
      <x:c r="S165" s="12" t="str">
        <x:v>OUT_OF_RESEARCH_COVERAGE_PRE_2025_06</x:v>
      </x:c>
      <x:c r="T165" s="12" t="n">
        <x:v>200</x:v>
      </x:c>
      <x:c r="U165" s="12" t="str">
        <x:v>aFRRUp_2025-01-02T13:00:00Z</x:v>
      </x:c>
      <x:c r="V165" s="12" t="str">
        <x:v>tenderStatistics_2025-01@c14c9dea784d</x:v>
      </x:c>
      <x:c r="W165" s="12" t="n">
        <x:v>13.831647936310086</x:v>
      </x:c>
      <x:c r="X165" s="12" t="str">
        <x:v>PUBLISHED_PROXY</x:v>
      </x:c>
      <x:c r="Y165" s="12" t="n">
        <x:v>200</x:v>
      </x:c>
      <x:c r="Z165" s="12" t="str">
        <x:v>aFRRDown_2025-01-02T13:00:00Z</x:v>
      </x:c>
      <x:c r="AA165" s="12" t="str">
        <x:v>tenderStatistics_2025-01@c14c9dea784d</x:v>
      </x:c>
      <x:c r="AB165" s="12" t="n">
        <x:v>14.710198829939085</x:v>
      </x:c>
      <x:c r="AC165" s="12" t="str">
        <x:v>PUBLISHED_PROXY</x:v>
      </x:c>
      <x:c r="AD165" s="12"/>
      <x:c r="AE165" s="12" t="str">
        <x:v>SOURCE_NULL_NOT_MODELED</x:v>
      </x:c>
      <x:c r="AF165" s="12"/>
      <x:c r="AG165" s="12" t="n">
        <x:v>198.8038037031825</x:v>
      </x:c>
      <x:c r="AH165" s="12" t="str">
        <x:v>PUBLISHED_PROXY</x:v>
      </x:c>
      <x:c r="AI165" s="12" t="n">
        <x:v>9.887</x:v>
      </x:c>
      <x:c r="AJ165" s="12" t="n">
        <x:v>0</x:v>
      </x:c>
      <x:c r="AK165" s="12" t="str">
        <x:v>PUBLISHED_PROXY</x:v>
      </x:c>
      <x:c r="AL165" s="12" t="n">
        <x:v>0</x:v>
      </x:c>
      <x:c r="AM165" s="12" t="str">
        <x:v>marginalPricesOverview_2025-01@5b9daf9d82d7</x:v>
      </x:c>
      <x:c r="AN165" s="12" t="str">
        <x:v>activatedBalancingEnergyOverview_2025-01@4135ac664b2a</x:v>
      </x:c>
      <x:c r="AO165" s="12" t="str">
        <x:v>PUBLISHED_NATIVE</x:v>
      </x:c>
      <x:c r="AP165" s="12" t="n">
        <x:v>0.19774</x:v>
      </x:c>
      <x:c r="AQ165" s="12" t="n">
        <x:v>0</x:v>
      </x:c>
      <x:c r="AR165" s="12" t="n">
        <x:v>0.19774</x:v>
      </x:c>
      <x:c r="AS165" s="13" t="b">
        <x:v>1</x:v>
      </x:c>
      <x:c r="AT165" s="13" t="b">
        <x:v>1</x:v>
      </x:c>
      <x:c r="AU165" s="13" t="b">
        <x:v>1</x:v>
      </x:c>
      <x:c r="AV165" s="13" t="b">
        <x:v>1</x:v>
      </x:c>
      <x:c r="AW165" s="13" t="b">
        <x:v>0</x:v>
      </x:c>
      <x:c r="AX165" s="13" t="b">
        <x:v>0</x:v>
      </x:c>
      <x:c r="AY165" s="13" t="b">
        <x:v>0</x:v>
      </x:c>
      <x:c r="AZ165" s="13" t="b">
        <x:v>1</x:v>
      </x:c>
      <x:c r="BA165" s="12" t="str">
        <x:v>OK</x:v>
      </x:c>
      <x:c r="BB165" s="12" t="str">
        <x:v>OTHER_QH_IN_SAME_HOUR_INVALID</x:v>
      </x:c>
      <x:c r="BC165" s="12" t="str">
        <x:v>EUR</x:v>
      </x:c>
      <x:c r="BD165" s="12" t="n">
        <x:v>169.1440173913028</x:v>
      </x:c>
      <x:c r="BE165" s="12" t="n">
        <x:v>174.34954837391177</x:v>
      </x:c>
      <x:c r="BF165" s="12" t="n">
        <x:v>-22.632743402647662</x:v>
      </x:c>
      <x:c r="BG165" s="12" t="n">
        <x:v>0</x:v>
      </x:c>
      <x:c r="BH165" s="12" t="n">
        <x:v>0</x:v>
      </x:c>
      <x:c r="BI165" s="12" t="n">
        <x:v>0</x:v>
      </x:c>
      <x:c r="BJ165" s="12" t="n">
        <x:v>0</x:v>
      </x:c>
      <x:c r="BK165" s="12" t="n">
        <x:v>0</x:v>
      </x:c>
      <x:c r="BL165" s="12" t="n">
        <x:v>-704.5007202659151</x:v>
      </x:c>
      <x:c r="BM165" s="12" t="n">
        <x:v>0</x:v>
      </x:c>
      <x:c r="BN165" s="12" t="n">
        <x:v>0</x:v>
      </x:c>
      <x:c r="BO165" s="12" t="n">
        <x:v>0</x:v>
      </x:c>
      <x:c r="BP165" s="12" t="n">
        <x:v>0</x:v>
      </x:c>
      <x:c r="BQ165" s="12" t="n">
        <x:v>0</x:v>
      </x:c>
      <x:c r="BR165" s="12" t="n">
        <x:v>-704.5007202659151</x:v>
      </x:c>
      <x:c r="BS165" s="12" t="n">
        <x:v>0.014459808285024895</x:v>
      </x:c>
    </x:row>
    <x:row r="166" ht="21" customHeight="1">
      <x:c r="A166" s="14" t="n">
        <x:v>45659.552083333336</x:v>
      </x:c>
      <x:c r="B166" s="14" t="n">
        <x:v>45659.5625</x:v>
      </x:c>
      <x:c r="C166" s="14" t="n">
        <x:v>45659.635416666664</x:v>
      </x:c>
      <x:c r="D166" s="15" t="n">
        <x:v>45659</x:v>
      </x:c>
      <x:c r="E166" s="12" t="n">
        <x:v>0.25</x:v>
      </x:c>
      <x:c r="F166" s="12" t="str">
        <x:v>FORMAL</x:v>
      </x:c>
      <x:c r="G166" s="14" t="n">
        <x:v>45659.541666666664</x:v>
      </x:c>
      <x:c r="H166" s="12" t="n">
        <x:v>124.51</x:v>
      </x:c>
      <x:c r="I166" s="12" t="str">
        <x:v>2025-01-02_15</x:v>
      </x:c>
      <x:c r="J166" s="12" t="n">
        <x:v>60</x:v>
      </x:c>
      <x:c r="K166" s="12" t="str">
        <x:v>DA_2025-01-02@4f6782768649</x:v>
      </x:c>
      <x:c r="L166" s="15" t="n">
        <x:v>45657</x:v>
      </x:c>
      <x:c r="M166" s="12" t="n">
        <x:v>4.9741</x:v>
      </x:c>
      <x:c r="N166" s="12" t="str">
        <x:v>BNR2024_BOUNDARY@c4397e7f9c31</x:v>
      </x:c>
      <x:c r="O166" s="12"/>
      <x:c r="P166" s="12"/>
      <x:c r="Q166" s="12"/>
      <x:c r="R166" s="12"/>
      <x:c r="S166" s="12" t="str">
        <x:v>OUT_OF_RESEARCH_COVERAGE_PRE_2025_06</x:v>
      </x:c>
      <x:c r="T166" s="12" t="n">
        <x:v>200</x:v>
      </x:c>
      <x:c r="U166" s="12" t="str">
        <x:v>aFRRUp_2025-01-02T13:00:00Z</x:v>
      </x:c>
      <x:c r="V166" s="12" t="str">
        <x:v>tenderStatistics_2025-01@c14c9dea784d</x:v>
      </x:c>
      <x:c r="W166" s="12" t="n">
        <x:v>13.831647936310086</x:v>
      </x:c>
      <x:c r="X166" s="12" t="str">
        <x:v>PUBLISHED_PROXY</x:v>
      </x:c>
      <x:c r="Y166" s="12" t="n">
        <x:v>200</x:v>
      </x:c>
      <x:c r="Z166" s="12" t="str">
        <x:v>aFRRDown_2025-01-02T13:00:00Z</x:v>
      </x:c>
      <x:c r="AA166" s="12" t="str">
        <x:v>tenderStatistics_2025-01@c14c9dea784d</x:v>
      </x:c>
      <x:c r="AB166" s="12" t="n">
        <x:v>14.710198829939085</x:v>
      </x:c>
      <x:c r="AC166" s="12" t="str">
        <x:v>PUBLISHED_PROXY</x:v>
      </x:c>
      <x:c r="AD166" s="12"/>
      <x:c r="AE166" s="12" t="str">
        <x:v>SOURCE_NULL_NOT_MODELED</x:v>
      </x:c>
      <x:c r="AF166" s="12"/>
      <x:c r="AG166" s="12" t="n">
        <x:v>189.24569268812448</x:v>
      </x:c>
      <x:c r="AH166" s="12" t="str">
        <x:v>PUBLISHED_PROXY</x:v>
      </x:c>
      <x:c r="AI166" s="12" t="n">
        <x:v>8.062</x:v>
      </x:c>
      <x:c r="AJ166" s="12" t="n">
        <x:v>0</x:v>
      </x:c>
      <x:c r="AK166" s="12" t="str">
        <x:v>PUBLISHED_PROXY</x:v>
      </x:c>
      <x:c r="AL166" s="12" t="n">
        <x:v>0</x:v>
      </x:c>
      <x:c r="AM166" s="12" t="str">
        <x:v>marginalPricesOverview_2025-01@5b9daf9d82d7</x:v>
      </x:c>
      <x:c r="AN166" s="12" t="str">
        <x:v>activatedBalancingEnergyOverview_2025-01@4135ac664b2a</x:v>
      </x:c>
      <x:c r="AO166" s="12" t="str">
        <x:v>PUBLISHED_NATIVE</x:v>
      </x:c>
      <x:c r="AP166" s="12" t="n">
        <x:v>0.16124</x:v>
      </x:c>
      <x:c r="AQ166" s="12" t="n">
        <x:v>0</x:v>
      </x:c>
      <x:c r="AR166" s="12" t="n">
        <x:v>0.16124</x:v>
      </x:c>
      <x:c r="AS166" s="13" t="b">
        <x:v>1</x:v>
      </x:c>
      <x:c r="AT166" s="13" t="b">
        <x:v>1</x:v>
      </x:c>
      <x:c r="AU166" s="13" t="b">
        <x:v>1</x:v>
      </x:c>
      <x:c r="AV166" s="13" t="b">
        <x:v>1</x:v>
      </x:c>
      <x:c r="AW166" s="13" t="b">
        <x:v>0</x:v>
      </x:c>
      <x:c r="AX166" s="13" t="b">
        <x:v>0</x:v>
      </x:c>
      <x:c r="AY166" s="13" t="b">
        <x:v>0</x:v>
      </x:c>
      <x:c r="AZ166" s="13" t="b">
        <x:v>1</x:v>
      </x:c>
      <x:c r="BA166" s="12" t="str">
        <x:v>OK</x:v>
      </x:c>
      <x:c r="BB166" s="12" t="str">
        <x:v>OTHER_QH_IN_SAME_HOUR_INVALID</x:v>
      </x:c>
      <x:c r="BC166" s="12" t="str">
        <x:v>EUR</x:v>
      </x:c>
      <x:c r="BD166" s="12" t="n">
        <x:v>174.34954837391177</x:v>
      </x:c>
      <x:c r="BE166" s="12" t="n">
        <x:v>179.55507935652074</x:v>
      </x:c>
      <x:c r="BF166" s="12" t="n">
        <x:v>-22.632743402647662</x:v>
      </x:c>
      <x:c r="BG166" s="12" t="n">
        <x:v>0</x:v>
      </x:c>
      <x:c r="BH166" s="12" t="n">
        <x:v>0</x:v>
      </x:c>
      <x:c r="BI166" s="12" t="n">
        <x:v>0</x:v>
      </x:c>
      <x:c r="BJ166" s="12" t="n">
        <x:v>0</x:v>
      </x:c>
      <x:c r="BK166" s="12" t="n">
        <x:v>0</x:v>
      </x:c>
      <x:c r="BL166" s="12" t="n">
        <x:v>-704.5007202659151</x:v>
      </x:c>
      <x:c r="BM166" s="12" t="n">
        <x:v>0</x:v>
      </x:c>
      <x:c r="BN166" s="12" t="n">
        <x:v>0</x:v>
      </x:c>
      <x:c r="BO166" s="12" t="n">
        <x:v>0</x:v>
      </x:c>
      <x:c r="BP166" s="12" t="n">
        <x:v>0</x:v>
      </x:c>
      <x:c r="BQ166" s="12" t="n">
        <x:v>0</x:v>
      </x:c>
      <x:c r="BR166" s="12" t="n">
        <x:v>-704.5007202659151</x:v>
      </x:c>
      <x:c r="BS166" s="12" t="n">
        <x:v>0.014459808285024895</x:v>
      </x:c>
    </x:row>
    <x:row r="167" ht="21" customHeight="1">
      <x:c r="A167" s="14" t="n">
        <x:v>45659.5625</x:v>
      </x:c>
      <x:c r="B167" s="14" t="n">
        <x:v>45659.572916666664</x:v>
      </x:c>
      <x:c r="C167" s="14" t="n">
        <x:v>45659.645833333336</x:v>
      </x:c>
      <x:c r="D167" s="15" t="n">
        <x:v>45659</x:v>
      </x:c>
      <x:c r="E167" s="12" t="n">
        <x:v>0.25</x:v>
      </x:c>
      <x:c r="F167" s="12" t="str">
        <x:v>FORMAL</x:v>
      </x:c>
      <x:c r="G167" s="14" t="n">
        <x:v>45659.541666666664</x:v>
      </x:c>
      <x:c r="H167" s="12" t="n">
        <x:v>124.51</x:v>
      </x:c>
      <x:c r="I167" s="12" t="str">
        <x:v>2025-01-02_15</x:v>
      </x:c>
      <x:c r="J167" s="12" t="n">
        <x:v>60</x:v>
      </x:c>
      <x:c r="K167" s="12" t="str">
        <x:v>DA_2025-01-02@4f6782768649</x:v>
      </x:c>
      <x:c r="L167" s="15" t="n">
        <x:v>45657</x:v>
      </x:c>
      <x:c r="M167" s="12" t="n">
        <x:v>4.9741</x:v>
      </x:c>
      <x:c r="N167" s="12" t="str">
        <x:v>BNR2024_BOUNDARY@c4397e7f9c31</x:v>
      </x:c>
      <x:c r="O167" s="12"/>
      <x:c r="P167" s="12"/>
      <x:c r="Q167" s="12"/>
      <x:c r="R167" s="12"/>
      <x:c r="S167" s="12" t="str">
        <x:v>OUT_OF_RESEARCH_COVERAGE_PRE_2025_06</x:v>
      </x:c>
      <x:c r="T167" s="12" t="n">
        <x:v>200</x:v>
      </x:c>
      <x:c r="U167" s="12" t="str">
        <x:v>aFRRUp_2025-01-02T13:00:00Z</x:v>
      </x:c>
      <x:c r="V167" s="12" t="str">
        <x:v>tenderStatistics_2025-01@c14c9dea784d</x:v>
      </x:c>
      <x:c r="W167" s="12" t="n">
        <x:v>13.831647936310086</x:v>
      </x:c>
      <x:c r="X167" s="12" t="str">
        <x:v>PUBLISHED_PROXY</x:v>
      </x:c>
      <x:c r="Y167" s="12" t="n">
        <x:v>200</x:v>
      </x:c>
      <x:c r="Z167" s="12" t="str">
        <x:v>aFRRDown_2025-01-02T13:00:00Z</x:v>
      </x:c>
      <x:c r="AA167" s="12" t="str">
        <x:v>tenderStatistics_2025-01@c14c9dea784d</x:v>
      </x:c>
      <x:c r="AB167" s="12" t="n">
        <x:v>14.710198829939085</x:v>
      </x:c>
      <x:c r="AC167" s="12" t="str">
        <x:v>PUBLISHED_PROXY</x:v>
      </x:c>
      <x:c r="AD167" s="12"/>
      <x:c r="AE167" s="12" t="str">
        <x:v>SOURCE_NULL_NOT_MODELED</x:v>
      </x:c>
      <x:c r="AF167" s="12"/>
      <x:c r="AG167" s="12" t="n">
        <x:v>218.6976538469271</x:v>
      </x:c>
      <x:c r="AH167" s="12" t="str">
        <x:v>PUBLISHED_PROXY</x:v>
      </x:c>
      <x:c r="AI167" s="12" t="n">
        <x:v>32.696</x:v>
      </x:c>
      <x:c r="AJ167" s="12" t="n">
        <x:v>0</x:v>
      </x:c>
      <x:c r="AK167" s="12" t="str">
        <x:v>PUBLISHED_PROXY</x:v>
      </x:c>
      <x:c r="AL167" s="12" t="n">
        <x:v>0</x:v>
      </x:c>
      <x:c r="AM167" s="12" t="str">
        <x:v>marginalPricesOverview_2025-01@5b9daf9d82d7</x:v>
      </x:c>
      <x:c r="AN167" s="12" t="str">
        <x:v>activatedBalancingEnergyOverview_2025-01@4135ac664b2a</x:v>
      </x:c>
      <x:c r="AO167" s="12" t="str">
        <x:v>PUBLISHED_NATIVE</x:v>
      </x:c>
      <x:c r="AP167" s="12" t="n">
        <x:v>0.65392</x:v>
      </x:c>
      <x:c r="AQ167" s="12" t="n">
        <x:v>0</x:v>
      </x:c>
      <x:c r="AR167" s="12" t="n">
        <x:v>0.65392</x:v>
      </x:c>
      <x:c r="AS167" s="13" t="b">
        <x:v>1</x:v>
      </x:c>
      <x:c r="AT167" s="13" t="b">
        <x:v>1</x:v>
      </x:c>
      <x:c r="AU167" s="13" t="b">
        <x:v>1</x:v>
      </x:c>
      <x:c r="AV167" s="13" t="b">
        <x:v>1</x:v>
      </x:c>
      <x:c r="AW167" s="13" t="b">
        <x:v>0</x:v>
      </x:c>
      <x:c r="AX167" s="13" t="b">
        <x:v>0</x:v>
      </x:c>
      <x:c r="AY167" s="13" t="b">
        <x:v>0</x:v>
      </x:c>
      <x:c r="AZ167" s="13" t="b">
        <x:v>1</x:v>
      </x:c>
      <x:c r="BA167" s="12" t="str">
        <x:v>OK</x:v>
      </x:c>
      <x:c r="BB167" s="12" t="str">
        <x:v>OTHER_QH_IN_SAME_HOUR_INVALID</x:v>
      </x:c>
      <x:c r="BC167" s="12" t="str">
        <x:v>EUR</x:v>
      </x:c>
      <x:c r="BD167" s="12" t="n">
        <x:v>179.55507935652074</x:v>
      </x:c>
      <x:c r="BE167" s="12" t="n">
        <x:v>184.7606103391297</x:v>
      </x:c>
      <x:c r="BF167" s="12" t="n">
        <x:v>-22.632743402647662</x:v>
      </x:c>
      <x:c r="BG167" s="12" t="n">
        <x:v>0</x:v>
      </x:c>
      <x:c r="BH167" s="12" t="n">
        <x:v>0</x:v>
      </x:c>
      <x:c r="BI167" s="12" t="n">
        <x:v>0</x:v>
      </x:c>
      <x:c r="BJ167" s="12" t="n">
        <x:v>0</x:v>
      </x:c>
      <x:c r="BK167" s="12" t="n">
        <x:v>0</x:v>
      </x:c>
      <x:c r="BL167" s="12" t="n">
        <x:v>-704.5007202659151</x:v>
      </x:c>
      <x:c r="BM167" s="12" t="n">
        <x:v>0</x:v>
      </x:c>
      <x:c r="BN167" s="12" t="n">
        <x:v>0</x:v>
      </x:c>
      <x:c r="BO167" s="12" t="n">
        <x:v>0</x:v>
      </x:c>
      <x:c r="BP167" s="12" t="n">
        <x:v>0</x:v>
      </x:c>
      <x:c r="BQ167" s="12" t="n">
        <x:v>0</x:v>
      </x:c>
      <x:c r="BR167" s="12" t="n">
        <x:v>-704.5007202659151</x:v>
      </x:c>
      <x:c r="BS167" s="12" t="n">
        <x:v>0.014459808285024895</x:v>
      </x:c>
    </x:row>
    <x:row r="168" ht="21" customHeight="1">
      <x:c r="A168" s="14" t="n">
        <x:v>45659.572916666664</x:v>
      </x:c>
      <x:c r="B168" s="14" t="n">
        <x:v>45659.583333333336</x:v>
      </x:c>
      <x:c r="C168" s="14" t="n">
        <x:v>45659.65625</x:v>
      </x:c>
      <x:c r="D168" s="15" t="n">
        <x:v>45659</x:v>
      </x:c>
      <x:c r="E168" s="12" t="n">
        <x:v>0.25</x:v>
      </x:c>
      <x:c r="F168" s="12" t="str">
        <x:v>FORMAL</x:v>
      </x:c>
      <x:c r="G168" s="14" t="n">
        <x:v>45659.541666666664</x:v>
      </x:c>
      <x:c r="H168" s="12" t="n">
        <x:v>124.51</x:v>
      </x:c>
      <x:c r="I168" s="12" t="str">
        <x:v>2025-01-02_15</x:v>
      </x:c>
      <x:c r="J168" s="12" t="n">
        <x:v>60</x:v>
      </x:c>
      <x:c r="K168" s="12" t="str">
        <x:v>DA_2025-01-02@4f6782768649</x:v>
      </x:c>
      <x:c r="L168" s="15" t="n">
        <x:v>45657</x:v>
      </x:c>
      <x:c r="M168" s="12" t="n">
        <x:v>4.9741</x:v>
      </x:c>
      <x:c r="N168" s="12" t="str">
        <x:v>BNR2024_BOUNDARY@c4397e7f9c31</x:v>
      </x:c>
      <x:c r="O168" s="12"/>
      <x:c r="P168" s="12"/>
      <x:c r="Q168" s="12"/>
      <x:c r="R168" s="12"/>
      <x:c r="S168" s="12" t="str">
        <x:v>OUT_OF_RESEARCH_COVERAGE_PRE_2025_06</x:v>
      </x:c>
      <x:c r="T168" s="12" t="n">
        <x:v>200</x:v>
      </x:c>
      <x:c r="U168" s="12" t="str">
        <x:v>aFRRUp_2025-01-02T13:00:00Z</x:v>
      </x:c>
      <x:c r="V168" s="12" t="str">
        <x:v>tenderStatistics_2025-01@c14c9dea784d</x:v>
      </x:c>
      <x:c r="W168" s="12" t="n">
        <x:v>13.831647936310086</x:v>
      </x:c>
      <x:c r="X168" s="12" t="str">
        <x:v>PUBLISHED_PROXY</x:v>
      </x:c>
      <x:c r="Y168" s="12" t="n">
        <x:v>200</x:v>
      </x:c>
      <x:c r="Z168" s="12" t="str">
        <x:v>aFRRDown_2025-01-02T13:00:00Z</x:v>
      </x:c>
      <x:c r="AA168" s="12" t="str">
        <x:v>tenderStatistics_2025-01@c14c9dea784d</x:v>
      </x:c>
      <x:c r="AB168" s="12" t="n">
        <x:v>14.710198829939085</x:v>
      </x:c>
      <x:c r="AC168" s="12" t="str">
        <x:v>PUBLISHED_PROXY</x:v>
      </x:c>
      <x:c r="AD168" s="12"/>
      <x:c r="AE168" s="12" t="str">
        <x:v>SOURCE_NULL_NOT_MODELED</x:v>
      </x:c>
      <x:c r="AF168" s="12"/>
      <x:c r="AG168" s="12" t="n">
        <x:v>991.6953820791701</x:v>
      </x:c>
      <x:c r="AH168" s="12" t="str">
        <x:v>PUBLISHED_PROXY</x:v>
      </x:c>
      <x:c r="AI168" s="12" t="n">
        <x:v>54.479</x:v>
      </x:c>
      <x:c r="AJ168" s="12" t="n">
        <x:v>0</x:v>
      </x:c>
      <x:c r="AK168" s="12" t="str">
        <x:v>PUBLISHED_PROXY</x:v>
      </x:c>
      <x:c r="AL168" s="12" t="n">
        <x:v>0</x:v>
      </x:c>
      <x:c r="AM168" s="12" t="str">
        <x:v>marginalPricesOverview_2025-01@5b9daf9d82d7</x:v>
      </x:c>
      <x:c r="AN168" s="12" t="str">
        <x:v>activatedBalancingEnergyOverview_2025-01@4135ac664b2a</x:v>
      </x:c>
      <x:c r="AO168" s="12" t="str">
        <x:v>PUBLISHED_NATIVE</x:v>
      </x:c>
      <x:c r="AP168" s="12" t="n">
        <x:v>1.08958</x:v>
      </x:c>
      <x:c r="AQ168" s="12" t="n">
        <x:v>0</x:v>
      </x:c>
      <x:c r="AR168" s="12" t="n">
        <x:v>1.08958</x:v>
      </x:c>
      <x:c r="AS168" s="13" t="b">
        <x:v>1</x:v>
      </x:c>
      <x:c r="AT168" s="13" t="b">
        <x:v>0</x:v>
      </x:c>
      <x:c r="AU168" s="13" t="b">
        <x:v>1</x:v>
      </x:c>
      <x:c r="AV168" s="13" t="b">
        <x:v>0</x:v>
      </x:c>
      <x:c r="AW168" s="13" t="b">
        <x:v>0</x:v>
      </x:c>
      <x:c r="AX168" s="13" t="b">
        <x:v>0</x:v>
      </x:c>
      <x:c r="AY168" s="13" t="b">
        <x:v>0</x:v>
      </x:c>
      <x:c r="AZ168" s="13" t="b">
        <x:v>1</x:v>
      </x:c>
      <x:c r="BA168" s="12" t="str">
        <x:v>ALPHA_OUTSIDE_SIMPLEX</x:v>
      </x:c>
      <x:c r="BB168" s="12" t="str">
        <x:v>ALPHA_OUTSIDE_SIMPLEX</x:v>
      </x:c>
      <x:c r="BC168" s="12" t="str">
        <x:v>EUR</x:v>
      </x:c>
      <x:c r="BD168" s="12" t="n">
        <x:v>184.7606103391297</x:v>
      </x:c>
      <x:c r="BE168" s="12" t="n">
        <x:v>189.96614132173866</x:v>
      </x:c>
      <x:c r="BF168" s="12" t="n">
        <x:v>-22.632743402647662</x:v>
      </x:c>
      <x:c r="BG168" s="12" t="n">
        <x:v>0</x:v>
      </x:c>
      <x:c r="BH168" s="12" t="n">
        <x:v>0</x:v>
      </x:c>
      <x:c r="BI168" s="12" t="n">
        <x:v>0</x:v>
      </x:c>
      <x:c r="BJ168" s="12" t="n">
        <x:v>0</x:v>
      </x:c>
      <x:c r="BK168" s="12" t="n">
        <x:v>0</x:v>
      </x:c>
      <x:c r="BL168" s="12" t="n">
        <x:v>-704.5007202659151</x:v>
      </x:c>
      <x:c r="BM168" s="12" t="n">
        <x:v>0</x:v>
      </x:c>
      <x:c r="BN168" s="12" t="n">
        <x:v>0</x:v>
      </x:c>
      <x:c r="BO168" s="12" t="n">
        <x:v>0</x:v>
      </x:c>
      <x:c r="BP168" s="12" t="n">
        <x:v>0</x:v>
      </x:c>
      <x:c r="BQ168" s="12" t="n">
        <x:v>0</x:v>
      </x:c>
      <x:c r="BR168" s="12" t="n">
        <x:v>-704.5007202659151</x:v>
      </x:c>
      <x:c r="BS168" s="12" t="n">
        <x:v>0.014459808285024895</x:v>
      </x:c>
    </x:row>
    <x:row r="169" ht="21" customHeight="1">
      <x:c r="A169" s="14" t="n">
        <x:v>45659.583333333336</x:v>
      </x:c>
      <x:c r="B169" s="14" t="n">
        <x:v>45659.59375</x:v>
      </x:c>
      <x:c r="C169" s="14" t="n">
        <x:v>45659.666666666664</x:v>
      </x:c>
      <x:c r="D169" s="15" t="n">
        <x:v>45659</x:v>
      </x:c>
      <x:c r="E169" s="12" t="n">
        <x:v>0.25</x:v>
      </x:c>
      <x:c r="F169" s="12" t="str">
        <x:v>FORMAL</x:v>
      </x:c>
      <x:c r="G169" s="14" t="n">
        <x:v>45659.583333333336</x:v>
      </x:c>
      <x:c r="H169" s="12" t="n">
        <x:v>130.11</x:v>
      </x:c>
      <x:c r="I169" s="12" t="str">
        <x:v>2025-01-02_16</x:v>
      </x:c>
      <x:c r="J169" s="12" t="n">
        <x:v>60</x:v>
      </x:c>
      <x:c r="K169" s="12" t="str">
        <x:v>DA_2025-01-02@4f6782768649</x:v>
      </x:c>
      <x:c r="L169" s="15" t="n">
        <x:v>45657</x:v>
      </x:c>
      <x:c r="M169" s="12" t="n">
        <x:v>4.9741</x:v>
      </x:c>
      <x:c r="N169" s="12" t="str">
        <x:v>BNR2024_BOUNDARY@c4397e7f9c31</x:v>
      </x:c>
      <x:c r="O169" s="12"/>
      <x:c r="P169" s="12"/>
      <x:c r="Q169" s="12"/>
      <x:c r="R169" s="12"/>
      <x:c r="S169" s="12" t="str">
        <x:v>OUT_OF_RESEARCH_COVERAGE_PRE_2025_06</x:v>
      </x:c>
      <x:c r="T169" s="12" t="n">
        <x:v>200</x:v>
      </x:c>
      <x:c r="U169" s="12" t="str">
        <x:v>aFRRUp_2025-01-02T14:00:00Z</x:v>
      </x:c>
      <x:c r="V169" s="12" t="str">
        <x:v>tenderStatistics_2025-01@c14c9dea784d</x:v>
      </x:c>
      <x:c r="W169" s="12" t="n">
        <x:v>13.831647936310086</x:v>
      </x:c>
      <x:c r="X169" s="12" t="str">
        <x:v>PUBLISHED_PROXY</x:v>
      </x:c>
      <x:c r="Y169" s="12" t="n">
        <x:v>200</x:v>
      </x:c>
      <x:c r="Z169" s="12" t="str">
        <x:v>aFRRDown_2025-01-02T14:00:00Z</x:v>
      </x:c>
      <x:c r="AA169" s="12" t="str">
        <x:v>tenderStatistics_2025-01@c14c9dea784d</x:v>
      </x:c>
      <x:c r="AB169" s="12" t="n">
        <x:v>14.710198829939085</x:v>
      </x:c>
      <x:c r="AC169" s="12" t="str">
        <x:v>PUBLISHED_PROXY</x:v>
      </x:c>
      <x:c r="AD169" s="12"/>
      <x:c r="AE169" s="12" t="str">
        <x:v>SOURCE_NULL_NOT_MODELED</x:v>
      </x:c>
      <x:c r="AF169" s="12"/>
      <x:c r="AG169" s="12" t="n">
        <x:v>223.40001206248365</x:v>
      </x:c>
      <x:c r="AH169" s="12" t="str">
        <x:v>PUBLISHED_PROXY</x:v>
      </x:c>
      <x:c r="AI169" s="12" t="n">
        <x:v>21.256</x:v>
      </x:c>
      <x:c r="AJ169" s="12" t="n">
        <x:v>0</x:v>
      </x:c>
      <x:c r="AK169" s="12" t="str">
        <x:v>PUBLISHED_PROXY</x:v>
      </x:c>
      <x:c r="AL169" s="12" t="n">
        <x:v>0</x:v>
      </x:c>
      <x:c r="AM169" s="12" t="str">
        <x:v>marginalPricesOverview_2025-01@5b9daf9d82d7</x:v>
      </x:c>
      <x:c r="AN169" s="12" t="str">
        <x:v>activatedBalancingEnergyOverview_2025-01@4135ac664b2a</x:v>
      </x:c>
      <x:c r="AO169" s="12" t="str">
        <x:v>PUBLISHED_NATIVE</x:v>
      </x:c>
      <x:c r="AP169" s="12" t="n">
        <x:v>0.42512</x:v>
      </x:c>
      <x:c r="AQ169" s="12" t="n">
        <x:v>0</x:v>
      </x:c>
      <x:c r="AR169" s="12" t="n">
        <x:v>0.42512</x:v>
      </x:c>
      <x:c r="AS169" s="13" t="b">
        <x:v>1</x:v>
      </x:c>
      <x:c r="AT169" s="13" t="b">
        <x:v>1</x:v>
      </x:c>
      <x:c r="AU169" s="13" t="b">
        <x:v>1</x:v>
      </x:c>
      <x:c r="AV169" s="13" t="b">
        <x:v>1</x:v>
      </x:c>
      <x:c r="AW169" s="13" t="b">
        <x:v>1</x:v>
      </x:c>
      <x:c r="AX169" s="13" t="b">
        <x:v>0</x:v>
      </x:c>
      <x:c r="AY169" s="13" t="b">
        <x:v>0</x:v>
      </x:c>
      <x:c r="AZ169" s="13" t="b">
        <x:v>1</x:v>
      </x:c>
      <x:c r="BA169" s="12" t="str">
        <x:v>OK</x:v>
      </x:c>
      <x:c r="BB169" s="12" t="str">
        <x:v>OK</x:v>
      </x:c>
      <x:c r="BC169" s="12" t="str">
        <x:v>EUR</x:v>
      </x:c>
      <x:c r="BD169" s="12" t="n">
        <x:v>189.96614132173866</x:v>
      </x:c>
      <x:c r="BE169" s="12" t="n">
        <x:v>183.12110605217345</x:v>
      </x:c>
      <x:c r="BF169" s="12" t="n">
        <x:v>-19</x:v>
      </x:c>
      <x:c r="BG169" s="12" t="n">
        <x:v>0</x:v>
      </x:c>
      <x:c r="BH169" s="12" t="n">
        <x:v>100</x:v>
      </x:c>
      <x:c r="BI169" s="12" t="n">
        <x:v>81</x:v>
      </x:c>
      <x:c r="BJ169" s="12" t="n">
        <x:v>10.628</x:v>
      </x:c>
      <x:c r="BK169" s="12" t="n">
        <x:v>0</x:v>
      </x:c>
      <x:c r="BL169" s="12" t="n">
        <x:v>-618.0225</x:v>
      </x:c>
      <x:c r="BM169" s="12" t="n">
        <x:v>0</x:v>
      </x:c>
      <x:c r="BN169" s="12" t="n">
        <x:v>345.7911984077521</x:v>
      </x:c>
      <x:c r="BO169" s="12" t="n">
        <x:v>297.88152630626644</x:v>
      </x:c>
      <x:c r="BP169" s="12" t="n">
        <x:v>2374.2953282000763</x:v>
      </x:c>
      <x:c r="BQ169" s="12" t="n">
        <x:v>0</x:v>
      </x:c>
      <x:c r="BR169" s="12" t="n">
        <x:v>2399.9455529140946</x:v>
      </x:c>
      <x:c r="BS169" s="12" t="n">
        <x:v>0.03297079574879227</x:v>
      </x:c>
    </x:row>
    <x:row r="170" ht="21" customHeight="1">
      <x:c r="A170" s="14" t="n">
        <x:v>45659.59375</x:v>
      </x:c>
      <x:c r="B170" s="14" t="n">
        <x:v>45659.604166666664</x:v>
      </x:c>
      <x:c r="C170" s="14" t="n">
        <x:v>45659.677083333336</x:v>
      </x:c>
      <x:c r="D170" s="15" t="n">
        <x:v>45659</x:v>
      </x:c>
      <x:c r="E170" s="12" t="n">
        <x:v>0.25</x:v>
      </x:c>
      <x:c r="F170" s="12" t="str">
        <x:v>FORMAL</x:v>
      </x:c>
      <x:c r="G170" s="14" t="n">
        <x:v>45659.583333333336</x:v>
      </x:c>
      <x:c r="H170" s="12" t="n">
        <x:v>130.11</x:v>
      </x:c>
      <x:c r="I170" s="12" t="str">
        <x:v>2025-01-02_16</x:v>
      </x:c>
      <x:c r="J170" s="12" t="n">
        <x:v>60</x:v>
      </x:c>
      <x:c r="K170" s="12" t="str">
        <x:v>DA_2025-01-02@4f6782768649</x:v>
      </x:c>
      <x:c r="L170" s="15" t="n">
        <x:v>45657</x:v>
      </x:c>
      <x:c r="M170" s="12" t="n">
        <x:v>4.9741</x:v>
      </x:c>
      <x:c r="N170" s="12" t="str">
        <x:v>BNR2024_BOUNDARY@c4397e7f9c31</x:v>
      </x:c>
      <x:c r="O170" s="12"/>
      <x:c r="P170" s="12"/>
      <x:c r="Q170" s="12"/>
      <x:c r="R170" s="12"/>
      <x:c r="S170" s="12" t="str">
        <x:v>OUT_OF_RESEARCH_COVERAGE_PRE_2025_06</x:v>
      </x:c>
      <x:c r="T170" s="12" t="n">
        <x:v>200</x:v>
      </x:c>
      <x:c r="U170" s="12" t="str">
        <x:v>aFRRUp_2025-01-02T14:00:00Z</x:v>
      </x:c>
      <x:c r="V170" s="12" t="str">
        <x:v>tenderStatistics_2025-01@c14c9dea784d</x:v>
      </x:c>
      <x:c r="W170" s="12" t="n">
        <x:v>13.831647936310086</x:v>
      </x:c>
      <x:c r="X170" s="12" t="str">
        <x:v>PUBLISHED_PROXY</x:v>
      </x:c>
      <x:c r="Y170" s="12" t="n">
        <x:v>200</x:v>
      </x:c>
      <x:c r="Z170" s="12" t="str">
        <x:v>aFRRDown_2025-01-02T14:00:00Z</x:v>
      </x:c>
      <x:c r="AA170" s="12" t="str">
        <x:v>tenderStatistics_2025-01@c14c9dea784d</x:v>
      </x:c>
      <x:c r="AB170" s="12" t="n">
        <x:v>14.710198829939085</x:v>
      </x:c>
      <x:c r="AC170" s="12" t="str">
        <x:v>PUBLISHED_PROXY</x:v>
      </x:c>
      <x:c r="AD170" s="12"/>
      <x:c r="AE170" s="12" t="str">
        <x:v>SOURCE_NULL_NOT_MODELED</x:v>
      </x:c>
      <x:c r="AF170" s="12"/>
      <x:c r="AG170" s="12" t="n">
        <x:v>219.45899760760742</x:v>
      </x:c>
      <x:c r="AH170" s="12" t="str">
        <x:v>PUBLISHED_PROXY</x:v>
      </x:c>
      <x:c r="AI170" s="12" t="n">
        <x:v>26.817</x:v>
      </x:c>
      <x:c r="AJ170" s="12" t="n">
        <x:v>0</x:v>
      </x:c>
      <x:c r="AK170" s="12" t="str">
        <x:v>PUBLISHED_PROXY</x:v>
      </x:c>
      <x:c r="AL170" s="12" t="n">
        <x:v>0</x:v>
      </x:c>
      <x:c r="AM170" s="12" t="str">
        <x:v>marginalPricesOverview_2025-01@5b9daf9d82d7</x:v>
      </x:c>
      <x:c r="AN170" s="12" t="str">
        <x:v>activatedBalancingEnergyOverview_2025-01@4135ac664b2a</x:v>
      </x:c>
      <x:c r="AO170" s="12" t="str">
        <x:v>PUBLISHED_NATIVE</x:v>
      </x:c>
      <x:c r="AP170" s="12" t="n">
        <x:v>0.53634</x:v>
      </x:c>
      <x:c r="AQ170" s="12" t="n">
        <x:v>0</x:v>
      </x:c>
      <x:c r="AR170" s="12" t="n">
        <x:v>0.53634</x:v>
      </x:c>
      <x:c r="AS170" s="13" t="b">
        <x:v>1</x:v>
      </x:c>
      <x:c r="AT170" s="13" t="b">
        <x:v>1</x:v>
      </x:c>
      <x:c r="AU170" s="13" t="b">
        <x:v>1</x:v>
      </x:c>
      <x:c r="AV170" s="13" t="b">
        <x:v>1</x:v>
      </x:c>
      <x:c r="AW170" s="13" t="b">
        <x:v>1</x:v>
      </x:c>
      <x:c r="AX170" s="13" t="b">
        <x:v>0</x:v>
      </x:c>
      <x:c r="AY170" s="13" t="b">
        <x:v>0</x:v>
      </x:c>
      <x:c r="AZ170" s="13" t="b">
        <x:v>1</x:v>
      </x:c>
      <x:c r="BA170" s="12" t="str">
        <x:v>OK</x:v>
      </x:c>
      <x:c r="BB170" s="12" t="str">
        <x:v>OK</x:v>
      </x:c>
      <x:c r="BC170" s="12" t="str">
        <x:v>EUR</x:v>
      </x:c>
      <x:c r="BD170" s="12" t="n">
        <x:v>183.12110605217345</x:v>
      </x:c>
      <x:c r="BE170" s="12" t="n">
        <x:v>173.34199046956473</x:v>
      </x:c>
      <x:c r="BF170" s="12" t="n">
        <x:v>-19</x:v>
      </x:c>
      <x:c r="BG170" s="12" t="n">
        <x:v>0</x:v>
      </x:c>
      <x:c r="BH170" s="12" t="n">
        <x:v>100</x:v>
      </x:c>
      <x:c r="BI170" s="12" t="n">
        <x:v>81</x:v>
      </x:c>
      <x:c r="BJ170" s="12" t="n">
        <x:v>13.4085</x:v>
      </x:c>
      <x:c r="BK170" s="12" t="n">
        <x:v>0</x:v>
      </x:c>
      <x:c r="BL170" s="12" t="n">
        <x:v>-618.0225</x:v>
      </x:c>
      <x:c r="BM170" s="12" t="n">
        <x:v>0</x:v>
      </x:c>
      <x:c r="BN170" s="12" t="n">
        <x:v>345.7911984077521</x:v>
      </x:c>
      <x:c r="BO170" s="12" t="n">
        <x:v>297.88152630626644</x:v>
      </x:c>
      <x:c r="BP170" s="12" t="n">
        <x:v>2942.615969421604</x:v>
      </x:c>
      <x:c r="BQ170" s="12" t="n">
        <x:v>0</x:v>
      </x:c>
      <x:c r="BR170" s="12" t="n">
        <x:v>2968.2661941356223</x:v>
      </x:c>
      <x:c r="BS170" s="12" t="n">
        <x:v>0.038420844396135266</x:v>
      </x:c>
    </x:row>
    <x:row r="171" ht="21" customHeight="1">
      <x:c r="A171" s="14" t="n">
        <x:v>45659.604166666664</x:v>
      </x:c>
      <x:c r="B171" s="14" t="n">
        <x:v>45659.614583333336</x:v>
      </x:c>
      <x:c r="C171" s="14" t="n">
        <x:v>45659.6875</x:v>
      </x:c>
      <x:c r="D171" s="15" t="n">
        <x:v>45659</x:v>
      </x:c>
      <x:c r="E171" s="12" t="n">
        <x:v>0.25</x:v>
      </x:c>
      <x:c r="F171" s="12" t="str">
        <x:v>FORMAL</x:v>
      </x:c>
      <x:c r="G171" s="14" t="n">
        <x:v>45659.583333333336</x:v>
      </x:c>
      <x:c r="H171" s="12" t="n">
        <x:v>130.11</x:v>
      </x:c>
      <x:c r="I171" s="12" t="str">
        <x:v>2025-01-02_16</x:v>
      </x:c>
      <x:c r="J171" s="12" t="n">
        <x:v>60</x:v>
      </x:c>
      <x:c r="K171" s="12" t="str">
        <x:v>DA_2025-01-02@4f6782768649</x:v>
      </x:c>
      <x:c r="L171" s="15" t="n">
        <x:v>45657</x:v>
      </x:c>
      <x:c r="M171" s="12" t="n">
        <x:v>4.9741</x:v>
      </x:c>
      <x:c r="N171" s="12" t="str">
        <x:v>BNR2024_BOUNDARY@c4397e7f9c31</x:v>
      </x:c>
      <x:c r="O171" s="12"/>
      <x:c r="P171" s="12"/>
      <x:c r="Q171" s="12"/>
      <x:c r="R171" s="12"/>
      <x:c r="S171" s="12" t="str">
        <x:v>OUT_OF_RESEARCH_COVERAGE_PRE_2025_06</x:v>
      </x:c>
      <x:c r="T171" s="12" t="n">
        <x:v>200</x:v>
      </x:c>
      <x:c r="U171" s="12" t="str">
        <x:v>aFRRUp_2025-01-02T14:00:00Z</x:v>
      </x:c>
      <x:c r="V171" s="12" t="str">
        <x:v>tenderStatistics_2025-01@c14c9dea784d</x:v>
      </x:c>
      <x:c r="W171" s="12" t="n">
        <x:v>13.831647936310086</x:v>
      </x:c>
      <x:c r="X171" s="12" t="str">
        <x:v>PUBLISHED_PROXY</x:v>
      </x:c>
      <x:c r="Y171" s="12" t="n">
        <x:v>200</x:v>
      </x:c>
      <x:c r="Z171" s="12" t="str">
        <x:v>aFRRDown_2025-01-02T14:00:00Z</x:v>
      </x:c>
      <x:c r="AA171" s="12" t="str">
        <x:v>tenderStatistics_2025-01@c14c9dea784d</x:v>
      </x:c>
      <x:c r="AB171" s="12" t="n">
        <x:v>14.710198829939085</x:v>
      </x:c>
      <x:c r="AC171" s="12" t="str">
        <x:v>PUBLISHED_PROXY</x:v>
      </x:c>
      <x:c r="AD171" s="12"/>
      <x:c r="AE171" s="12" t="str">
        <x:v>SOURCE_NULL_NOT_MODELED</x:v>
      </x:c>
      <x:c r="AF171" s="12"/>
      <x:c r="AG171" s="12" t="n">
        <x:v>213.87487183611105</x:v>
      </x:c>
      <x:c r="AH171" s="12" t="str">
        <x:v>PUBLISHED_PROXY</x:v>
      </x:c>
      <x:c r="AI171" s="12" t="n">
        <x:v>17.229</x:v>
      </x:c>
      <x:c r="AJ171" s="12" t="n">
        <x:v>0</x:v>
      </x:c>
      <x:c r="AK171" s="12" t="str">
        <x:v>PUBLISHED_PROXY</x:v>
      </x:c>
      <x:c r="AL171" s="12" t="n">
        <x:v>0</x:v>
      </x:c>
      <x:c r="AM171" s="12" t="str">
        <x:v>marginalPricesOverview_2025-01@5b9daf9d82d7</x:v>
      </x:c>
      <x:c r="AN171" s="12" t="str">
        <x:v>activatedBalancingEnergyOverview_2025-01@4135ac664b2a</x:v>
      </x:c>
      <x:c r="AO171" s="12" t="str">
        <x:v>PUBLISHED_NATIVE</x:v>
      </x:c>
      <x:c r="AP171" s="12" t="n">
        <x:v>0.34458</x:v>
      </x:c>
      <x:c r="AQ171" s="12" t="n">
        <x:v>0</x:v>
      </x:c>
      <x:c r="AR171" s="12" t="n">
        <x:v>0.34458</x:v>
      </x:c>
      <x:c r="AS171" s="13" t="b">
        <x:v>1</x:v>
      </x:c>
      <x:c r="AT171" s="13" t="b">
        <x:v>1</x:v>
      </x:c>
      <x:c r="AU171" s="13" t="b">
        <x:v>1</x:v>
      </x:c>
      <x:c r="AV171" s="13" t="b">
        <x:v>1</x:v>
      </x:c>
      <x:c r="AW171" s="13" t="b">
        <x:v>1</x:v>
      </x:c>
      <x:c r="AX171" s="13" t="b">
        <x:v>0</x:v>
      </x:c>
      <x:c r="AY171" s="13" t="b">
        <x:v>0</x:v>
      </x:c>
      <x:c r="AZ171" s="13" t="b">
        <x:v>1</x:v>
      </x:c>
      <x:c r="BA171" s="12" t="str">
        <x:v>OK</x:v>
      </x:c>
      <x:c r="BB171" s="12" t="str">
        <x:v>OK</x:v>
      </x:c>
      <x:c r="BC171" s="12" t="str">
        <x:v>EUR</x:v>
      </x:c>
      <x:c r="BD171" s="12" t="n">
        <x:v>173.34199046956473</x:v>
      </x:c>
      <x:c r="BE171" s="12" t="n">
        <x:v>168.62167043478212</x:v>
      </x:c>
      <x:c r="BF171" s="12" t="n">
        <x:v>-19</x:v>
      </x:c>
      <x:c r="BG171" s="12" t="n">
        <x:v>0</x:v>
      </x:c>
      <x:c r="BH171" s="12" t="n">
        <x:v>100</x:v>
      </x:c>
      <x:c r="BI171" s="12" t="n">
        <x:v>81</x:v>
      </x:c>
      <x:c r="BJ171" s="12" t="n">
        <x:v>8.6145</x:v>
      </x:c>
      <x:c r="BK171" s="12" t="n">
        <x:v>0</x:v>
      </x:c>
      <x:c r="BL171" s="12" t="n">
        <x:v>-618.0225</x:v>
      </x:c>
      <x:c r="BM171" s="12" t="n">
        <x:v>0</x:v>
      </x:c>
      <x:c r="BN171" s="12" t="n">
        <x:v>345.7911984077521</x:v>
      </x:c>
      <x:c r="BO171" s="12" t="n">
        <x:v>297.88152630626644</x:v>
      </x:c>
      <x:c r="BP171" s="12" t="n">
        <x:v>1842.4250834321786</x:v>
      </x:c>
      <x:c r="BQ171" s="12" t="n">
        <x:v>0</x:v>
      </x:c>
      <x:c r="BR171" s="12" t="n">
        <x:v>1868.0753081461971</x:v>
      </x:c>
      <x:c r="BS171" s="12" t="n">
        <x:v>0.02902414120772947</x:v>
      </x:c>
    </x:row>
    <x:row r="172" ht="21" customHeight="1">
      <x:c r="A172" s="14" t="n">
        <x:v>45659.614583333336</x:v>
      </x:c>
      <x:c r="B172" s="14" t="n">
        <x:v>45659.625</x:v>
      </x:c>
      <x:c r="C172" s="14" t="n">
        <x:v>45659.697916666664</x:v>
      </x:c>
      <x:c r="D172" s="15" t="n">
        <x:v>45659</x:v>
      </x:c>
      <x:c r="E172" s="12" t="n">
        <x:v>0.25</x:v>
      </x:c>
      <x:c r="F172" s="12" t="str">
        <x:v>FORMAL</x:v>
      </x:c>
      <x:c r="G172" s="14" t="n">
        <x:v>45659.583333333336</x:v>
      </x:c>
      <x:c r="H172" s="12" t="n">
        <x:v>130.11</x:v>
      </x:c>
      <x:c r="I172" s="12" t="str">
        <x:v>2025-01-02_16</x:v>
      </x:c>
      <x:c r="J172" s="12" t="n">
        <x:v>60</x:v>
      </x:c>
      <x:c r="K172" s="12" t="str">
        <x:v>DA_2025-01-02@4f6782768649</x:v>
      </x:c>
      <x:c r="L172" s="15" t="n">
        <x:v>45657</x:v>
      </x:c>
      <x:c r="M172" s="12" t="n">
        <x:v>4.9741</x:v>
      </x:c>
      <x:c r="N172" s="12" t="str">
        <x:v>BNR2024_BOUNDARY@c4397e7f9c31</x:v>
      </x:c>
      <x:c r="O172" s="12"/>
      <x:c r="P172" s="12"/>
      <x:c r="Q172" s="12"/>
      <x:c r="R172" s="12"/>
      <x:c r="S172" s="12" t="str">
        <x:v>OUT_OF_RESEARCH_COVERAGE_PRE_2025_06</x:v>
      </x:c>
      <x:c r="T172" s="12" t="n">
        <x:v>200</x:v>
      </x:c>
      <x:c r="U172" s="12" t="str">
        <x:v>aFRRUp_2025-01-02T14:00:00Z</x:v>
      </x:c>
      <x:c r="V172" s="12" t="str">
        <x:v>tenderStatistics_2025-01@c14c9dea784d</x:v>
      </x:c>
      <x:c r="W172" s="12" t="n">
        <x:v>13.831647936310086</x:v>
      </x:c>
      <x:c r="X172" s="12" t="str">
        <x:v>PUBLISHED_PROXY</x:v>
      </x:c>
      <x:c r="Y172" s="12" t="n">
        <x:v>200</x:v>
      </x:c>
      <x:c r="Z172" s="12" t="str">
        <x:v>aFRRDown_2025-01-02T14:00:00Z</x:v>
      </x:c>
      <x:c r="AA172" s="12" t="str">
        <x:v>tenderStatistics_2025-01@c14c9dea784d</x:v>
      </x:c>
      <x:c r="AB172" s="12" t="n">
        <x:v>14.710198829939085</x:v>
      </x:c>
      <x:c r="AC172" s="12" t="str">
        <x:v>PUBLISHED_PROXY</x:v>
      </x:c>
      <x:c r="AD172" s="12"/>
      <x:c r="AE172" s="12" t="str">
        <x:v>SOURCE_NULL_NOT_MODELED</x:v>
      </x:c>
      <x:c r="AF172" s="12"/>
      <x:c r="AG172" s="12" t="n">
        <x:v>242.79306809272026</x:v>
      </x:c>
      <x:c r="AH172" s="12" t="str">
        <x:v>PUBLISHED_PROXY</x:v>
      </x:c>
      <x:c r="AI172" s="12" t="n">
        <x:v>35.11</x:v>
      </x:c>
      <x:c r="AJ172" s="12" t="n">
        <x:v>0</x:v>
      </x:c>
      <x:c r="AK172" s="12" t="str">
        <x:v>PUBLISHED_PROXY</x:v>
      </x:c>
      <x:c r="AL172" s="12" t="n">
        <x:v>0</x:v>
      </x:c>
      <x:c r="AM172" s="12" t="str">
        <x:v>marginalPricesOverview_2025-01@5b9daf9d82d7</x:v>
      </x:c>
      <x:c r="AN172" s="12" t="str">
        <x:v>activatedBalancingEnergyOverview_2025-01@4135ac664b2a</x:v>
      </x:c>
      <x:c r="AO172" s="12" t="str">
        <x:v>PUBLISHED_NATIVE</x:v>
      </x:c>
      <x:c r="AP172" s="12" t="n">
        <x:v>0.7021999999999999</x:v>
      </x:c>
      <x:c r="AQ172" s="12" t="n">
        <x:v>0</x:v>
      </x:c>
      <x:c r="AR172" s="12" t="n">
        <x:v>0.7021999999999999</x:v>
      </x:c>
      <x:c r="AS172" s="13" t="b">
        <x:v>1</x:v>
      </x:c>
      <x:c r="AT172" s="13" t="b">
        <x:v>1</x:v>
      </x:c>
      <x:c r="AU172" s="13" t="b">
        <x:v>1</x:v>
      </x:c>
      <x:c r="AV172" s="13" t="b">
        <x:v>1</x:v>
      </x:c>
      <x:c r="AW172" s="13" t="b">
        <x:v>1</x:v>
      </x:c>
      <x:c r="AX172" s="13" t="b">
        <x:v>0</x:v>
      </x:c>
      <x:c r="AY172" s="13" t="b">
        <x:v>0</x:v>
      </x:c>
      <x:c r="AZ172" s="13" t="b">
        <x:v>1</x:v>
      </x:c>
      <x:c r="BA172" s="12" t="str">
        <x:v>OK</x:v>
      </x:c>
      <x:c r="BB172" s="12" t="str">
        <x:v>OK</x:v>
      </x:c>
      <x:c r="BC172" s="12" t="str">
        <x:v>EUR</x:v>
      </x:c>
      <x:c r="BD172" s="12" t="n">
        <x:v>168.62167043478212</x:v>
      </x:c>
      <x:c r="BE172" s="12" t="n">
        <x:v>154.4670238260865</x:v>
      </x:c>
      <x:c r="BF172" s="12" t="n">
        <x:v>-19</x:v>
      </x:c>
      <x:c r="BG172" s="12" t="n">
        <x:v>0</x:v>
      </x:c>
      <x:c r="BH172" s="12" t="n">
        <x:v>100</x:v>
      </x:c>
      <x:c r="BI172" s="12" t="n">
        <x:v>81</x:v>
      </x:c>
      <x:c r="BJ172" s="12" t="n">
        <x:v>17.555</x:v>
      </x:c>
      <x:c r="BK172" s="12" t="n">
        <x:v>0</x:v>
      </x:c>
      <x:c r="BL172" s="12" t="n">
        <x:v>-618.0225</x:v>
      </x:c>
      <x:c r="BM172" s="12" t="n">
        <x:v>0</x:v>
      </x:c>
      <x:c r="BN172" s="12" t="n">
        <x:v>345.7911984077521</x:v>
      </x:c>
      <x:c r="BO172" s="12" t="n">
        <x:v>297.88152630626644</x:v>
      </x:c>
      <x:c r="BP172" s="12" t="n">
        <x:v>4262.2323103677045</x:v>
      </x:c>
      <x:c r="BQ172" s="12" t="n">
        <x:v>0</x:v>
      </x:c>
      <x:c r="BR172" s="12" t="n">
        <x:v>4287.882535081723</x:v>
      </x:c>
      <x:c r="BS172" s="12" t="n">
        <x:v>0.046548385024154586</x:v>
      </x:c>
    </x:row>
    <x:row r="173" ht="21" customHeight="1">
      <x:c r="A173" s="14" t="n">
        <x:v>45659.625</x:v>
      </x:c>
      <x:c r="B173" s="14" t="n">
        <x:v>45659.635416666664</x:v>
      </x:c>
      <x:c r="C173" s="14" t="n">
        <x:v>45659.708333333336</x:v>
      </x:c>
      <x:c r="D173" s="15" t="n">
        <x:v>45659</x:v>
      </x:c>
      <x:c r="E173" s="12" t="n">
        <x:v>0.25</x:v>
      </x:c>
      <x:c r="F173" s="12" t="str">
        <x:v>FORMAL</x:v>
      </x:c>
      <x:c r="G173" s="14" t="n">
        <x:v>45659.625</x:v>
      </x:c>
      <x:c r="H173" s="12" t="n">
        <x:v>159.64</x:v>
      </x:c>
      <x:c r="I173" s="12" t="str">
        <x:v>2025-01-02_17</x:v>
      </x:c>
      <x:c r="J173" s="12" t="n">
        <x:v>60</x:v>
      </x:c>
      <x:c r="K173" s="12" t="str">
        <x:v>DA_2025-01-02@4f6782768649</x:v>
      </x:c>
      <x:c r="L173" s="15" t="n">
        <x:v>45657</x:v>
      </x:c>
      <x:c r="M173" s="12" t="n">
        <x:v>4.9741</x:v>
      </x:c>
      <x:c r="N173" s="12" t="str">
        <x:v>BNR2024_BOUNDARY@c4397e7f9c31</x:v>
      </x:c>
      <x:c r="O173" s="12"/>
      <x:c r="P173" s="12"/>
      <x:c r="Q173" s="12"/>
      <x:c r="R173" s="12"/>
      <x:c r="S173" s="12" t="str">
        <x:v>OUT_OF_RESEARCH_COVERAGE_PRE_2025_06</x:v>
      </x:c>
      <x:c r="T173" s="12" t="n">
        <x:v>200</x:v>
      </x:c>
      <x:c r="U173" s="12" t="str">
        <x:v>aFRRUp_2025-01-02T15:00:00Z</x:v>
      </x:c>
      <x:c r="V173" s="12" t="str">
        <x:v>tenderStatistics_2025-01@c14c9dea784d</x:v>
      </x:c>
      <x:c r="W173" s="12" t="n">
        <x:v>13.831647936310086</x:v>
      </x:c>
      <x:c r="X173" s="12" t="str">
        <x:v>PUBLISHED_PROXY</x:v>
      </x:c>
      <x:c r="Y173" s="12" t="n">
        <x:v>200</x:v>
      </x:c>
      <x:c r="Z173" s="12" t="str">
        <x:v>aFRRDown_2025-01-02T15:00:00Z</x:v>
      </x:c>
      <x:c r="AA173" s="12" t="str">
        <x:v>tenderStatistics_2025-01@c14c9dea784d</x:v>
      </x:c>
      <x:c r="AB173" s="12" t="n">
        <x:v>14.676021792887155</x:v>
      </x:c>
      <x:c r="AC173" s="12" t="str">
        <x:v>PUBLISHED_PROXY</x:v>
      </x:c>
      <x:c r="AD173" s="12"/>
      <x:c r="AE173" s="12" t="str">
        <x:v>SOURCE_NULL_NOT_MODELED</x:v>
      </x:c>
      <x:c r="AF173" s="12"/>
      <x:c r="AG173" s="12" t="n">
        <x:v>200.99193824008364</x:v>
      </x:c>
      <x:c r="AH173" s="12" t="str">
        <x:v>PUBLISHED_PROXY</x:v>
      </x:c>
      <x:c r="AI173" s="12" t="n">
        <x:v>11.443</x:v>
      </x:c>
      <x:c r="AJ173" s="12" t="n">
        <x:v>0</x:v>
      </x:c>
      <x:c r="AK173" s="12" t="str">
        <x:v>PUBLISHED_PROXY</x:v>
      </x:c>
      <x:c r="AL173" s="12" t="n">
        <x:v>0</x:v>
      </x:c>
      <x:c r="AM173" s="12" t="str">
        <x:v>marginalPricesOverview_2025-01@5b9daf9d82d7</x:v>
      </x:c>
      <x:c r="AN173" s="12" t="str">
        <x:v>activatedBalancingEnergyOverview_2025-01@4135ac664b2a</x:v>
      </x:c>
      <x:c r="AO173" s="12" t="str">
        <x:v>PUBLISHED_NATIVE</x:v>
      </x:c>
      <x:c r="AP173" s="12" t="n">
        <x:v>0.2288599999999999</x:v>
      </x:c>
      <x:c r="AQ173" s="12" t="n">
        <x:v>0</x:v>
      </x:c>
      <x:c r="AR173" s="12" t="n">
        <x:v>0.2288599999999999</x:v>
      </x:c>
      <x:c r="AS173" s="13" t="b">
        <x:v>1</x:v>
      </x:c>
      <x:c r="AT173" s="13" t="b">
        <x:v>1</x:v>
      </x:c>
      <x:c r="AU173" s="13" t="b">
        <x:v>1</x:v>
      </x:c>
      <x:c r="AV173" s="13" t="b">
        <x:v>1</x:v>
      </x:c>
      <x:c r="AW173" s="13" t="b">
        <x:v>1</x:v>
      </x:c>
      <x:c r="AX173" s="13" t="b">
        <x:v>0</x:v>
      </x:c>
      <x:c r="AY173" s="13" t="b">
        <x:v>0</x:v>
      </x:c>
      <x:c r="AZ173" s="13" t="b">
        <x:v>1</x:v>
      </x:c>
      <x:c r="BA173" s="12" t="str">
        <x:v>OK</x:v>
      </x:c>
      <x:c r="BB173" s="12" t="str">
        <x:v>OK</x:v>
      </x:c>
      <x:c r="BC173" s="12" t="str">
        <x:v>EUR</x:v>
      </x:c>
      <x:c r="BD173" s="12" t="n">
        <x:v>154.4670238260865</x:v>
      </x:c>
      <x:c r="BE173" s="12" t="n">
        <x:v>148.24800208695606</x:v>
      </x:c>
      <x:c r="BF173" s="12" t="n">
        <x:v>0</x:v>
      </x:c>
      <x:c r="BG173" s="12" t="n">
        <x:v>0</x:v>
      </x:c>
      <x:c r="BH173" s="12" t="n">
        <x:v>100</x:v>
      </x:c>
      <x:c r="BI173" s="12" t="n">
        <x:v>100</x:v>
      </x:c>
      <x:c r="BJ173" s="12" t="n">
        <x:v>5.7215</x:v>
      </x:c>
      <x:c r="BK173" s="12" t="n">
        <x:v>0</x:v>
      </x:c>
      <x:c r="BL173" s="12" t="n">
        <x:v>0</x:v>
      </x:c>
      <x:c r="BM173" s="12" t="n">
        <x:v>0</x:v>
      </x:c>
      <x:c r="BN173" s="12" t="n">
        <x:v>345.7911984077521</x:v>
      </x:c>
      <x:c r="BO173" s="12" t="n">
        <x:v>366.90054482217886</x:v>
      </x:c>
      <x:c r="BP173" s="12" t="n">
        <x:v>1149.9753746406386</x:v>
      </x:c>
      <x:c r="BQ173" s="12" t="n">
        <x:v>0</x:v>
      </x:c>
      <x:c r="BR173" s="12" t="n">
        <x:v>1862.6671178705697</x:v>
      </x:c>
      <x:c r="BS173" s="12" t="n">
        <x:v>0.017275060386473428</x:v>
      </x:c>
    </x:row>
    <x:row r="174" ht="21" customHeight="1">
      <x:c r="A174" s="14" t="n">
        <x:v>45659.635416666664</x:v>
      </x:c>
      <x:c r="B174" s="14" t="n">
        <x:v>45659.645833333336</x:v>
      </x:c>
      <x:c r="C174" s="14" t="n">
        <x:v>45659.71875</x:v>
      </x:c>
      <x:c r="D174" s="15" t="n">
        <x:v>45659</x:v>
      </x:c>
      <x:c r="E174" s="12" t="n">
        <x:v>0.25</x:v>
      </x:c>
      <x:c r="F174" s="12" t="str">
        <x:v>FORMAL</x:v>
      </x:c>
      <x:c r="G174" s="14" t="n">
        <x:v>45659.625</x:v>
      </x:c>
      <x:c r="H174" s="12" t="n">
        <x:v>159.64</x:v>
      </x:c>
      <x:c r="I174" s="12" t="str">
        <x:v>2025-01-02_17</x:v>
      </x:c>
      <x:c r="J174" s="12" t="n">
        <x:v>60</x:v>
      </x:c>
      <x:c r="K174" s="12" t="str">
        <x:v>DA_2025-01-02@4f6782768649</x:v>
      </x:c>
      <x:c r="L174" s="15" t="n">
        <x:v>45657</x:v>
      </x:c>
      <x:c r="M174" s="12" t="n">
        <x:v>4.9741</x:v>
      </x:c>
      <x:c r="N174" s="12" t="str">
        <x:v>BNR2024_BOUNDARY@c4397e7f9c31</x:v>
      </x:c>
      <x:c r="O174" s="12"/>
      <x:c r="P174" s="12"/>
      <x:c r="Q174" s="12"/>
      <x:c r="R174" s="12"/>
      <x:c r="S174" s="12" t="str">
        <x:v>OUT_OF_RESEARCH_COVERAGE_PRE_2025_06</x:v>
      </x:c>
      <x:c r="T174" s="12" t="n">
        <x:v>200</x:v>
      </x:c>
      <x:c r="U174" s="12" t="str">
        <x:v>aFRRUp_2025-01-02T15:00:00Z</x:v>
      </x:c>
      <x:c r="V174" s="12" t="str">
        <x:v>tenderStatistics_2025-01@c14c9dea784d</x:v>
      </x:c>
      <x:c r="W174" s="12" t="n">
        <x:v>13.831647936310086</x:v>
      </x:c>
      <x:c r="X174" s="12" t="str">
        <x:v>PUBLISHED_PROXY</x:v>
      </x:c>
      <x:c r="Y174" s="12" t="n">
        <x:v>200</x:v>
      </x:c>
      <x:c r="Z174" s="12" t="str">
        <x:v>aFRRDown_2025-01-02T15:00:00Z</x:v>
      </x:c>
      <x:c r="AA174" s="12" t="str">
        <x:v>tenderStatistics_2025-01@c14c9dea784d</x:v>
      </x:c>
      <x:c r="AB174" s="12" t="n">
        <x:v>14.676021792887155</x:v>
      </x:c>
      <x:c r="AC174" s="12" t="str">
        <x:v>PUBLISHED_PROXY</x:v>
      </x:c>
      <x:c r="AD174" s="12"/>
      <x:c r="AE174" s="12" t="str">
        <x:v>SOURCE_NULL_NOT_MODELED</x:v>
      </x:c>
      <x:c r="AF174" s="12"/>
      <x:c r="AG174" s="12" t="n">
        <x:v>245.78838382823025</x:v>
      </x:c>
      <x:c r="AH174" s="12" t="str">
        <x:v>PUBLISHED_PROXY</x:v>
      </x:c>
      <x:c r="AI174" s="12" t="n">
        <x:v>25.431</x:v>
      </x:c>
      <x:c r="AJ174" s="12" t="n">
        <x:v>0</x:v>
      </x:c>
      <x:c r="AK174" s="12" t="str">
        <x:v>PUBLISHED_PROXY</x:v>
      </x:c>
      <x:c r="AL174" s="12" t="n">
        <x:v>0</x:v>
      </x:c>
      <x:c r="AM174" s="12" t="str">
        <x:v>marginalPricesOverview_2025-01@5b9daf9d82d7</x:v>
      </x:c>
      <x:c r="AN174" s="12" t="str">
        <x:v>activatedBalancingEnergyOverview_2025-01@4135ac664b2a</x:v>
      </x:c>
      <x:c r="AO174" s="12" t="str">
        <x:v>PUBLISHED_NATIVE</x:v>
      </x:c>
      <x:c r="AP174" s="12" t="n">
        <x:v>0.5086200000000001</x:v>
      </x:c>
      <x:c r="AQ174" s="12" t="n">
        <x:v>0</x:v>
      </x:c>
      <x:c r="AR174" s="12" t="n">
        <x:v>0.5086200000000001</x:v>
      </x:c>
      <x:c r="AS174" s="13" t="b">
        <x:v>1</x:v>
      </x:c>
      <x:c r="AT174" s="13" t="b">
        <x:v>1</x:v>
      </x:c>
      <x:c r="AU174" s="13" t="b">
        <x:v>1</x:v>
      </x:c>
      <x:c r="AV174" s="13" t="b">
        <x:v>1</x:v>
      </x:c>
      <x:c r="AW174" s="13" t="b">
        <x:v>1</x:v>
      </x:c>
      <x:c r="AX174" s="13" t="b">
        <x:v>0</x:v>
      </x:c>
      <x:c r="AY174" s="13" t="b">
        <x:v>0</x:v>
      </x:c>
      <x:c r="AZ174" s="13" t="b">
        <x:v>1</x:v>
      </x:c>
      <x:c r="BA174" s="12" t="str">
        <x:v>OK</x:v>
      </x:c>
      <x:c r="BB174" s="12" t="str">
        <x:v>OK</x:v>
      </x:c>
      <x:c r="BC174" s="12" t="str">
        <x:v>EUR</x:v>
      </x:c>
      <x:c r="BD174" s="12" t="n">
        <x:v>148.24800208695606</x:v>
      </x:c>
      <x:c r="BE174" s="12" t="n">
        <x:v>134.42680643478215</x:v>
      </x:c>
      <x:c r="BF174" s="12" t="n">
        <x:v>0</x:v>
      </x:c>
      <x:c r="BG174" s="12" t="n">
        <x:v>0</x:v>
      </x:c>
      <x:c r="BH174" s="12" t="n">
        <x:v>100</x:v>
      </x:c>
      <x:c r="BI174" s="12" t="n">
        <x:v>100</x:v>
      </x:c>
      <x:c r="BJ174" s="12" t="n">
        <x:v>12.715500000000002</x:v>
      </x:c>
      <x:c r="BK174" s="12" t="n">
        <x:v>0</x:v>
      </x:c>
      <x:c r="BL174" s="12" t="n">
        <x:v>0</x:v>
      </x:c>
      <x:c r="BM174" s="12" t="n">
        <x:v>0</x:v>
      </x:c>
      <x:c r="BN174" s="12" t="n">
        <x:v>345.7911984077521</x:v>
      </x:c>
      <x:c r="BO174" s="12" t="n">
        <x:v>366.90054482217886</x:v>
      </x:c>
      <x:c r="BP174" s="12" t="n">
        <x:v>3125.3221945678624</x:v>
      </x:c>
      <x:c r="BQ174" s="12" t="n">
        <x:v>0</x:v>
      </x:c>
      <x:c r="BR174" s="12" t="n">
        <x:v>3838.0139377977935</x:v>
      </x:c>
      <x:c r="BS174" s="12" t="n">
        <x:v>0.03839221014492754</x:v>
      </x:c>
    </x:row>
    <x:row r="175" ht="21" customHeight="1">
      <x:c r="A175" s="14" t="n">
        <x:v>45659.645833333336</x:v>
      </x:c>
      <x:c r="B175" s="14" t="n">
        <x:v>45659.65625</x:v>
      </x:c>
      <x:c r="C175" s="14" t="n">
        <x:v>45659.729166666664</x:v>
      </x:c>
      <x:c r="D175" s="15" t="n">
        <x:v>45659</x:v>
      </x:c>
      <x:c r="E175" s="12" t="n">
        <x:v>0.25</x:v>
      </x:c>
      <x:c r="F175" s="12" t="str">
        <x:v>FORMAL</x:v>
      </x:c>
      <x:c r="G175" s="14" t="n">
        <x:v>45659.625</x:v>
      </x:c>
      <x:c r="H175" s="12" t="n">
        <x:v>159.64</x:v>
      </x:c>
      <x:c r="I175" s="12" t="str">
        <x:v>2025-01-02_17</x:v>
      </x:c>
      <x:c r="J175" s="12" t="n">
        <x:v>60</x:v>
      </x:c>
      <x:c r="K175" s="12" t="str">
        <x:v>DA_2025-01-02@4f6782768649</x:v>
      </x:c>
      <x:c r="L175" s="15" t="n">
        <x:v>45657</x:v>
      </x:c>
      <x:c r="M175" s="12" t="n">
        <x:v>4.9741</x:v>
      </x:c>
      <x:c r="N175" s="12" t="str">
        <x:v>BNR2024_BOUNDARY@c4397e7f9c31</x:v>
      </x:c>
      <x:c r="O175" s="12"/>
      <x:c r="P175" s="12"/>
      <x:c r="Q175" s="12"/>
      <x:c r="R175" s="12"/>
      <x:c r="S175" s="12" t="str">
        <x:v>OUT_OF_RESEARCH_COVERAGE_PRE_2025_06</x:v>
      </x:c>
      <x:c r="T175" s="12" t="n">
        <x:v>200</x:v>
      </x:c>
      <x:c r="U175" s="12" t="str">
        <x:v>aFRRUp_2025-01-02T15:00:00Z</x:v>
      </x:c>
      <x:c r="V175" s="12" t="str">
        <x:v>tenderStatistics_2025-01@c14c9dea784d</x:v>
      </x:c>
      <x:c r="W175" s="12" t="n">
        <x:v>13.831647936310086</x:v>
      </x:c>
      <x:c r="X175" s="12" t="str">
        <x:v>PUBLISHED_PROXY</x:v>
      </x:c>
      <x:c r="Y175" s="12" t="n">
        <x:v>200</x:v>
      </x:c>
      <x:c r="Z175" s="12" t="str">
        <x:v>aFRRDown_2025-01-02T15:00:00Z</x:v>
      </x:c>
      <x:c r="AA175" s="12" t="str">
        <x:v>tenderStatistics_2025-01@c14c9dea784d</x:v>
      </x:c>
      <x:c r="AB175" s="12" t="n">
        <x:v>14.676021792887155</x:v>
      </x:c>
      <x:c r="AC175" s="12" t="str">
        <x:v>PUBLISHED_PROXY</x:v>
      </x:c>
      <x:c r="AD175" s="12"/>
      <x:c r="AE175" s="12" t="str">
        <x:v>SOURCE_NULL_NOT_MODELED</x:v>
      </x:c>
      <x:c r="AF175" s="12"/>
      <x:c r="AG175" s="12" t="n">
        <x:v>242.48768621459158</x:v>
      </x:c>
      <x:c r="AH175" s="12" t="str">
        <x:v>PUBLISHED_PROXY</x:v>
      </x:c>
      <x:c r="AI175" s="12" t="n">
        <x:v>22.024</x:v>
      </x:c>
      <x:c r="AJ175" s="12" t="n">
        <x:v>0</x:v>
      </x:c>
      <x:c r="AK175" s="12" t="str">
        <x:v>PUBLISHED_PROXY</x:v>
      </x:c>
      <x:c r="AL175" s="12" t="n">
        <x:v>0</x:v>
      </x:c>
      <x:c r="AM175" s="12" t="str">
        <x:v>marginalPricesOverview_2025-01@5b9daf9d82d7</x:v>
      </x:c>
      <x:c r="AN175" s="12" t="str">
        <x:v>activatedBalancingEnergyOverview_2025-01@4135ac664b2a</x:v>
      </x:c>
      <x:c r="AO175" s="12" t="str">
        <x:v>PUBLISHED_NATIVE</x:v>
      </x:c>
      <x:c r="AP175" s="12" t="n">
        <x:v>0.44048</x:v>
      </x:c>
      <x:c r="AQ175" s="12" t="n">
        <x:v>0</x:v>
      </x:c>
      <x:c r="AR175" s="12" t="n">
        <x:v>0.44048</x:v>
      </x:c>
      <x:c r="AS175" s="13" t="b">
        <x:v>1</x:v>
      </x:c>
      <x:c r="AT175" s="13" t="b">
        <x:v>1</x:v>
      </x:c>
      <x:c r="AU175" s="13" t="b">
        <x:v>1</x:v>
      </x:c>
      <x:c r="AV175" s="13" t="b">
        <x:v>1</x:v>
      </x:c>
      <x:c r="AW175" s="13" t="b">
        <x:v>1</x:v>
      </x:c>
      <x:c r="AX175" s="13" t="b">
        <x:v>0</x:v>
      </x:c>
      <x:c r="AY175" s="13" t="b">
        <x:v>0</x:v>
      </x:c>
      <x:c r="AZ175" s="13" t="b">
        <x:v>1</x:v>
      </x:c>
      <x:c r="BA175" s="12" t="str">
        <x:v>OK</x:v>
      </x:c>
      <x:c r="BB175" s="12" t="str">
        <x:v>OK</x:v>
      </x:c>
      <x:c r="BC175" s="12" t="str">
        <x:v>EUR</x:v>
      </x:c>
      <x:c r="BD175" s="12" t="n">
        <x:v>134.42680643478215</x:v>
      </x:c>
      <x:c r="BE175" s="12" t="n">
        <x:v>122.45724121739084</x:v>
      </x:c>
      <x:c r="BF175" s="12" t="n">
        <x:v>0</x:v>
      </x:c>
      <x:c r="BG175" s="12" t="n">
        <x:v>0</x:v>
      </x:c>
      <x:c r="BH175" s="12" t="n">
        <x:v>100</x:v>
      </x:c>
      <x:c r="BI175" s="12" t="n">
        <x:v>100</x:v>
      </x:c>
      <x:c r="BJ175" s="12" t="n">
        <x:v>11.012</x:v>
      </x:c>
      <x:c r="BK175" s="12" t="n">
        <x:v>0</x:v>
      </x:c>
      <x:c r="BL175" s="12" t="n">
        <x:v>0</x:v>
      </x:c>
      <x:c r="BM175" s="12" t="n">
        <x:v>0</x:v>
      </x:c>
      <x:c r="BN175" s="12" t="n">
        <x:v>345.7911984077521</x:v>
      </x:c>
      <x:c r="BO175" s="12" t="n">
        <x:v>366.90054482217886</x:v>
      </x:c>
      <x:c r="BP175" s="12" t="n">
        <x:v>2670.2744005950826</x:v>
      </x:c>
      <x:c r="BQ175" s="12" t="n">
        <x:v>0</x:v>
      </x:c>
      <x:c r="BR175" s="12" t="n">
        <x:v>3382.9661438250137</x:v>
      </x:c>
      <x:c r="BS175" s="12" t="n">
        <x:v>0.0332487922705314</x:v>
      </x:c>
    </x:row>
    <x:row r="176" ht="21" customHeight="1">
      <x:c r="A176" s="14" t="n">
        <x:v>45659.65625</x:v>
      </x:c>
      <x:c r="B176" s="14" t="n">
        <x:v>45659.666666666664</x:v>
      </x:c>
      <x:c r="C176" s="14" t="n">
        <x:v>45659.739583333336</x:v>
      </x:c>
      <x:c r="D176" s="15" t="n">
        <x:v>45659</x:v>
      </x:c>
      <x:c r="E176" s="12" t="n">
        <x:v>0.25</x:v>
      </x:c>
      <x:c r="F176" s="12" t="str">
        <x:v>FORMAL</x:v>
      </x:c>
      <x:c r="G176" s="14" t="n">
        <x:v>45659.625</x:v>
      </x:c>
      <x:c r="H176" s="12" t="n">
        <x:v>159.64</x:v>
      </x:c>
      <x:c r="I176" s="12" t="str">
        <x:v>2025-01-02_17</x:v>
      </x:c>
      <x:c r="J176" s="12" t="n">
        <x:v>60</x:v>
      </x:c>
      <x:c r="K176" s="12" t="str">
        <x:v>DA_2025-01-02@4f6782768649</x:v>
      </x:c>
      <x:c r="L176" s="15" t="n">
        <x:v>45657</x:v>
      </x:c>
      <x:c r="M176" s="12" t="n">
        <x:v>4.9741</x:v>
      </x:c>
      <x:c r="N176" s="12" t="str">
        <x:v>BNR2024_BOUNDARY@c4397e7f9c31</x:v>
      </x:c>
      <x:c r="O176" s="12"/>
      <x:c r="P176" s="12"/>
      <x:c r="Q176" s="12"/>
      <x:c r="R176" s="12"/>
      <x:c r="S176" s="12" t="str">
        <x:v>OUT_OF_RESEARCH_COVERAGE_PRE_2025_06</x:v>
      </x:c>
      <x:c r="T176" s="12" t="n">
        <x:v>200</x:v>
      </x:c>
      <x:c r="U176" s="12" t="str">
        <x:v>aFRRUp_2025-01-02T15:00:00Z</x:v>
      </x:c>
      <x:c r="V176" s="12" t="str">
        <x:v>tenderStatistics_2025-01@c14c9dea784d</x:v>
      </x:c>
      <x:c r="W176" s="12" t="n">
        <x:v>13.831647936310086</x:v>
      </x:c>
      <x:c r="X176" s="12" t="str">
        <x:v>PUBLISHED_PROXY</x:v>
      </x:c>
      <x:c r="Y176" s="12" t="n">
        <x:v>200</x:v>
      </x:c>
      <x:c r="Z176" s="12" t="str">
        <x:v>aFRRDown_2025-01-02T15:00:00Z</x:v>
      </x:c>
      <x:c r="AA176" s="12" t="str">
        <x:v>tenderStatistics_2025-01@c14c9dea784d</x:v>
      </x:c>
      <x:c r="AB176" s="12" t="n">
        <x:v>14.676021792887155</x:v>
      </x:c>
      <x:c r="AC176" s="12" t="str">
        <x:v>PUBLISHED_PROXY</x:v>
      </x:c>
      <x:c r="AD176" s="12"/>
      <x:c r="AE176" s="12" t="str">
        <x:v>SOURCE_NULL_NOT_MODELED</x:v>
      </x:c>
      <x:c r="AF176" s="12"/>
      <x:c r="AG176" s="12" t="n">
        <x:v>239.9469250718723</x:v>
      </x:c>
      <x:c r="AH176" s="12" t="str">
        <x:v>PUBLISHED_PROXY</x:v>
      </x:c>
      <x:c r="AI176" s="12" t="n">
        <x:v>20.02</x:v>
      </x:c>
      <x:c r="AJ176" s="12" t="n">
        <x:v>0</x:v>
      </x:c>
      <x:c r="AK176" s="12" t="str">
        <x:v>PUBLISHED_PROXY</x:v>
      </x:c>
      <x:c r="AL176" s="12" t="n">
        <x:v>0</x:v>
      </x:c>
      <x:c r="AM176" s="12" t="str">
        <x:v>marginalPricesOverview_2025-01@5b9daf9d82d7</x:v>
      </x:c>
      <x:c r="AN176" s="12" t="str">
        <x:v>activatedBalancingEnergyOverview_2025-01@4135ac664b2a</x:v>
      </x:c>
      <x:c r="AO176" s="12" t="str">
        <x:v>PUBLISHED_NATIVE</x:v>
      </x:c>
      <x:c r="AP176" s="12" t="n">
        <x:v>0.4004</x:v>
      </x:c>
      <x:c r="AQ176" s="12" t="n">
        <x:v>0</x:v>
      </x:c>
      <x:c r="AR176" s="12" t="n">
        <x:v>0.4004</x:v>
      </x:c>
      <x:c r="AS176" s="13" t="b">
        <x:v>1</x:v>
      </x:c>
      <x:c r="AT176" s="13" t="b">
        <x:v>1</x:v>
      </x:c>
      <x:c r="AU176" s="13" t="b">
        <x:v>1</x:v>
      </x:c>
      <x:c r="AV176" s="13" t="b">
        <x:v>1</x:v>
      </x:c>
      <x:c r="AW176" s="13" t="b">
        <x:v>1</x:v>
      </x:c>
      <x:c r="AX176" s="13" t="b">
        <x:v>0</x:v>
      </x:c>
      <x:c r="AY176" s="13" t="b">
        <x:v>0</x:v>
      </x:c>
      <x:c r="AZ176" s="13" t="b">
        <x:v>1</x:v>
      </x:c>
      <x:c r="BA176" s="12" t="str">
        <x:v>OK</x:v>
      </x:c>
      <x:c r="BB176" s="12" t="str">
        <x:v>OK</x:v>
      </x:c>
      <x:c r="BC176" s="12" t="str">
        <x:v>EUR</x:v>
      </x:c>
      <x:c r="BD176" s="12" t="n">
        <x:v>122.45724121739084</x:v>
      </x:c>
      <x:c r="BE176" s="12" t="n">
        <x:v>111.57680643478216</x:v>
      </x:c>
      <x:c r="BF176" s="12" t="n">
        <x:v>0</x:v>
      </x:c>
      <x:c r="BG176" s="12" t="n">
        <x:v>0</x:v>
      </x:c>
      <x:c r="BH176" s="12" t="n">
        <x:v>100</x:v>
      </x:c>
      <x:c r="BI176" s="12" t="n">
        <x:v>100</x:v>
      </x:c>
      <x:c r="BJ176" s="12" t="n">
        <x:v>10.01</x:v>
      </x:c>
      <x:c r="BK176" s="12" t="n">
        <x:v>0</x:v>
      </x:c>
      <x:c r="BL176" s="12" t="n">
        <x:v>0</x:v>
      </x:c>
      <x:c r="BM176" s="12" t="n">
        <x:v>0</x:v>
      </x:c>
      <x:c r="BN176" s="12" t="n">
        <x:v>345.7911984077521</x:v>
      </x:c>
      <x:c r="BO176" s="12" t="n">
        <x:v>366.90054482217886</x:v>
      </x:c>
      <x:c r="BP176" s="12" t="n">
        <x:v>2401.868719969442</x:v>
      </x:c>
      <x:c r="BQ176" s="12" t="n">
        <x:v>0</x:v>
      </x:c>
      <x:c r="BR176" s="12" t="n">
        <x:v>3114.560463199373</x:v>
      </x:c>
      <x:c r="BS176" s="12" t="n">
        <x:v>0.03022342995169082</x:v>
      </x:c>
    </x:row>
    <x:row r="177" ht="21" customHeight="1">
      <x:c r="A177" s="14" t="n">
        <x:v>45659.666666666664</x:v>
      </x:c>
      <x:c r="B177" s="14" t="n">
        <x:v>45659.677083333336</x:v>
      </x:c>
      <x:c r="C177" s="14" t="n">
        <x:v>45659.75</x:v>
      </x:c>
      <x:c r="D177" s="15" t="n">
        <x:v>45659</x:v>
      </x:c>
      <x:c r="E177" s="12" t="n">
        <x:v>0.25</x:v>
      </x:c>
      <x:c r="F177" s="12" t="str">
        <x:v>FORMAL</x:v>
      </x:c>
      <x:c r="G177" s="14" t="n">
        <x:v>45659.666666666664</x:v>
      </x:c>
      <x:c r="H177" s="12" t="n">
        <x:v>170</x:v>
      </x:c>
      <x:c r="I177" s="12" t="str">
        <x:v>2025-01-02_18</x:v>
      </x:c>
      <x:c r="J177" s="12" t="n">
        <x:v>60</x:v>
      </x:c>
      <x:c r="K177" s="12" t="str">
        <x:v>DA_2025-01-02@4f6782768649</x:v>
      </x:c>
      <x:c r="L177" s="15" t="n">
        <x:v>45657</x:v>
      </x:c>
      <x:c r="M177" s="12" t="n">
        <x:v>4.9741</x:v>
      </x:c>
      <x:c r="N177" s="12" t="str">
        <x:v>BNR2024_BOUNDARY@c4397e7f9c31</x:v>
      </x:c>
      <x:c r="O177" s="12"/>
      <x:c r="P177" s="12"/>
      <x:c r="Q177" s="12"/>
      <x:c r="R177" s="12"/>
      <x:c r="S177" s="12" t="str">
        <x:v>OUT_OF_RESEARCH_COVERAGE_PRE_2025_06</x:v>
      </x:c>
      <x:c r="T177" s="12" t="n">
        <x:v>200</x:v>
      </x:c>
      <x:c r="U177" s="12" t="str">
        <x:v>aFRRUp_2025-01-02T16:00:00Z</x:v>
      </x:c>
      <x:c r="V177" s="12" t="str">
        <x:v>tenderStatistics_2025-01@c14c9dea784d</x:v>
      </x:c>
      <x:c r="W177" s="12" t="n">
        <x:v>13.831647936310086</x:v>
      </x:c>
      <x:c r="X177" s="12" t="str">
        <x:v>PUBLISHED_PROXY</x:v>
      </x:c>
      <x:c r="Y177" s="12" t="n">
        <x:v>200</x:v>
      </x:c>
      <x:c r="Z177" s="12" t="str">
        <x:v>aFRRDown_2025-01-02T16:00:00Z</x:v>
      </x:c>
      <x:c r="AA177" s="12" t="str">
        <x:v>tenderStatistics_2025-01@c14c9dea784d</x:v>
      </x:c>
      <x:c r="AB177" s="12" t="n">
        <x:v>14.676021792887155</x:v>
      </x:c>
      <x:c r="AC177" s="12" t="str">
        <x:v>PUBLISHED_PROXY</x:v>
      </x:c>
      <x:c r="AD177" s="12"/>
      <x:c r="AE177" s="12" t="str">
        <x:v>SOURCE_NULL_NOT_MODELED</x:v>
      </x:c>
      <x:c r="AF177" s="12"/>
      <x:c r="AG177" s="12" t="n">
        <x:v>178.25837840011258</x:v>
      </x:c>
      <x:c r="AH177" s="12" t="str">
        <x:v>PUBLISHED_PROXY</x:v>
      </x:c>
      <x:c r="AI177" s="12" t="n">
        <x:v>2.784</x:v>
      </x:c>
      <x:c r="AJ177" s="12" t="n">
        <x:v>28.38744697533222</x:v>
      </x:c>
      <x:c r="AK177" s="12" t="str">
        <x:v>PUBLISHED_PROXY</x:v>
      </x:c>
      <x:c r="AL177" s="12" t="n">
        <x:v>0.946</x:v>
      </x:c>
      <x:c r="AM177" s="12" t="str">
        <x:v>marginalPricesOverview_2025-01@5b9daf9d82d7</x:v>
      </x:c>
      <x:c r="AN177" s="12" t="str">
        <x:v>activatedBalancingEnergyOverview_2025-01@4135ac664b2a</x:v>
      </x:c>
      <x:c r="AO177" s="12" t="str">
        <x:v>PUBLISHED_NATIVE</x:v>
      </x:c>
      <x:c r="AP177" s="12" t="n">
        <x:v>0.0556799999999999</x:v>
      </x:c>
      <x:c r="AQ177" s="12" t="n">
        <x:v>0.01892</x:v>
      </x:c>
      <x:c r="AR177" s="12" t="n">
        <x:v>0.0746</x:v>
      </x:c>
      <x:c r="AS177" s="13" t="b">
        <x:v>1</x:v>
      </x:c>
      <x:c r="AT177" s="13" t="b">
        <x:v>1</x:v>
      </x:c>
      <x:c r="AU177" s="13" t="b">
        <x:v>1</x:v>
      </x:c>
      <x:c r="AV177" s="13" t="b">
        <x:v>1</x:v>
      </x:c>
      <x:c r="AW177" s="13" t="b">
        <x:v>1</x:v>
      </x:c>
      <x:c r="AX177" s="13" t="b">
        <x:v>0</x:v>
      </x:c>
      <x:c r="AY177" s="13" t="b">
        <x:v>0</x:v>
      </x:c>
      <x:c r="AZ177" s="13" t="b">
        <x:v>1</x:v>
      </x:c>
      <x:c r="BA177" s="12" t="str">
        <x:v>OK</x:v>
      </x:c>
      <x:c r="BB177" s="12" t="str">
        <x:v>OK</x:v>
      </x:c>
      <x:c r="BC177" s="12" t="str">
        <x:v>EUR</x:v>
      </x:c>
      <x:c r="BD177" s="12" t="n">
        <x:v>111.57680643478216</x:v>
      </x:c>
      <x:c r="BE177" s="12" t="n">
        <x:v>84.9170238260865</x:v>
      </x:c>
      <x:c r="BF177" s="12" t="n">
        <x:v>100</x:v>
      </x:c>
      <x:c r="BG177" s="12" t="n">
        <x:v>0</x:v>
      </x:c>
      <x:c r="BH177" s="12" t="n">
        <x:v>0</x:v>
      </x:c>
      <x:c r="BI177" s="12" t="n">
        <x:v>100</x:v>
      </x:c>
      <x:c r="BJ177" s="12" t="n">
        <x:v>0</x:v>
      </x:c>
      <x:c r="BK177" s="12" t="n">
        <x:v>0.473</x:v>
      </x:c>
      <x:c r="BL177" s="12" t="n">
        <x:v>4250</x:v>
      </x:c>
      <x:c r="BM177" s="12" t="n">
        <x:v>0</x:v>
      </x:c>
      <x:c r="BN177" s="12" t="n">
        <x:v>0</x:v>
      </x:c>
      <x:c r="BO177" s="12" t="n">
        <x:v>366.90054482217886</x:v>
      </x:c>
      <x:c r="BP177" s="12" t="n">
        <x:v>0</x:v>
      </x:c>
      <x:c r="BQ177" s="12" t="n">
        <x:v>-13.42726241933214</x:v>
      </x:c>
      <x:c r="BR177" s="12" t="n">
        <x:v>4603.473282402847</x:v>
      </x:c>
      <x:c r="BS177" s="12" t="n">
        <x:v>0.07405495169082127</x:v>
      </x:c>
    </x:row>
    <x:row r="178" ht="21" customHeight="1">
      <x:c r="A178" s="14" t="n">
        <x:v>45659.677083333336</x:v>
      </x:c>
      <x:c r="B178" s="14" t="n">
        <x:v>45659.6875</x:v>
      </x:c>
      <x:c r="C178" s="14" t="n">
        <x:v>45659.760416666664</x:v>
      </x:c>
      <x:c r="D178" s="15" t="n">
        <x:v>45659</x:v>
      </x:c>
      <x:c r="E178" s="12" t="n">
        <x:v>0.25</x:v>
      </x:c>
      <x:c r="F178" s="12" t="str">
        <x:v>FORMAL</x:v>
      </x:c>
      <x:c r="G178" s="14" t="n">
        <x:v>45659.666666666664</x:v>
      </x:c>
      <x:c r="H178" s="12" t="n">
        <x:v>170</x:v>
      </x:c>
      <x:c r="I178" s="12" t="str">
        <x:v>2025-01-02_18</x:v>
      </x:c>
      <x:c r="J178" s="12" t="n">
        <x:v>60</x:v>
      </x:c>
      <x:c r="K178" s="12" t="str">
        <x:v>DA_2025-01-02@4f6782768649</x:v>
      </x:c>
      <x:c r="L178" s="15" t="n">
        <x:v>45657</x:v>
      </x:c>
      <x:c r="M178" s="12" t="n">
        <x:v>4.9741</x:v>
      </x:c>
      <x:c r="N178" s="12" t="str">
        <x:v>BNR2024_BOUNDARY@c4397e7f9c31</x:v>
      </x:c>
      <x:c r="O178" s="12"/>
      <x:c r="P178" s="12"/>
      <x:c r="Q178" s="12"/>
      <x:c r="R178" s="12"/>
      <x:c r="S178" s="12" t="str">
        <x:v>OUT_OF_RESEARCH_COVERAGE_PRE_2025_06</x:v>
      </x:c>
      <x:c r="T178" s="12" t="n">
        <x:v>200</x:v>
      </x:c>
      <x:c r="U178" s="12" t="str">
        <x:v>aFRRUp_2025-01-02T16:00:00Z</x:v>
      </x:c>
      <x:c r="V178" s="12" t="str">
        <x:v>tenderStatistics_2025-01@c14c9dea784d</x:v>
      </x:c>
      <x:c r="W178" s="12" t="n">
        <x:v>13.831647936310086</x:v>
      </x:c>
      <x:c r="X178" s="12" t="str">
        <x:v>PUBLISHED_PROXY</x:v>
      </x:c>
      <x:c r="Y178" s="12" t="n">
        <x:v>200</x:v>
      </x:c>
      <x:c r="Z178" s="12" t="str">
        <x:v>aFRRDown_2025-01-02T16:00:00Z</x:v>
      </x:c>
      <x:c r="AA178" s="12" t="str">
        <x:v>tenderStatistics_2025-01@c14c9dea784d</x:v>
      </x:c>
      <x:c r="AB178" s="12" t="n">
        <x:v>14.676021792887155</x:v>
      </x:c>
      <x:c r="AC178" s="12" t="str">
        <x:v>PUBLISHED_PROXY</x:v>
      </x:c>
      <x:c r="AD178" s="12"/>
      <x:c r="AE178" s="12" t="str">
        <x:v>SOURCE_NULL_NOT_MODELED</x:v>
      </x:c>
      <x:c r="AF178" s="12"/>
      <x:c r="AG178" s="12" t="n">
        <x:v>0</x:v>
      </x:c>
      <x:c r="AH178" s="12" t="str">
        <x:v>PUBLISHED_PROXY</x:v>
      </x:c>
      <x:c r="AI178" s="12" t="n">
        <x:v>0</x:v>
      </x:c>
      <x:c r="AJ178" s="12" t="n">
        <x:v>16.856114674011376</x:v>
      </x:c>
      <x:c r="AK178" s="12" t="str">
        <x:v>PUBLISHED_PROXY</x:v>
      </x:c>
      <x:c r="AL178" s="12" t="n">
        <x:v>10.049</x:v>
      </x:c>
      <x:c r="AM178" s="12" t="str">
        <x:v>marginalPricesOverview_2025-01@5b9daf9d82d7</x:v>
      </x:c>
      <x:c r="AN178" s="12" t="str">
        <x:v>activatedBalancingEnergyOverview_2025-01@4135ac664b2a</x:v>
      </x:c>
      <x:c r="AO178" s="12" t="str">
        <x:v>PUBLISHED_NATIVE</x:v>
      </x:c>
      <x:c r="AP178" s="12" t="n">
        <x:v>0</x:v>
      </x:c>
      <x:c r="AQ178" s="12" t="n">
        <x:v>0.20098</x:v>
      </x:c>
      <x:c r="AR178" s="12" t="n">
        <x:v>0.20098</x:v>
      </x:c>
      <x:c r="AS178" s="13" t="b">
        <x:v>1</x:v>
      </x:c>
      <x:c r="AT178" s="13" t="b">
        <x:v>1</x:v>
      </x:c>
      <x:c r="AU178" s="13" t="b">
        <x:v>1</x:v>
      </x:c>
      <x:c r="AV178" s="13" t="b">
        <x:v>1</x:v>
      </x:c>
      <x:c r="AW178" s="13" t="b">
        <x:v>1</x:v>
      </x:c>
      <x:c r="AX178" s="13" t="b">
        <x:v>0</x:v>
      </x:c>
      <x:c r="AY178" s="13" t="b">
        <x:v>0</x:v>
      </x:c>
      <x:c r="AZ178" s="13" t="b">
        <x:v>1</x:v>
      </x:c>
      <x:c r="BA178" s="12" t="str">
        <x:v>OK</x:v>
      </x:c>
      <x:c r="BB178" s="12" t="str">
        <x:v>OK</x:v>
      </x:c>
      <x:c r="BC178" s="12" t="str">
        <x:v>EUR</x:v>
      </x:c>
      <x:c r="BD178" s="12" t="n">
        <x:v>84.9170238260865</x:v>
      </x:c>
      <x:c r="BE178" s="12" t="n">
        <x:v>63.20452382608651</x:v>
      </x:c>
      <x:c r="BF178" s="12" t="n">
        <x:v>100</x:v>
      </x:c>
      <x:c r="BG178" s="12" t="n">
        <x:v>0</x:v>
      </x:c>
      <x:c r="BH178" s="12" t="n">
        <x:v>0</x:v>
      </x:c>
      <x:c r="BI178" s="12" t="n">
        <x:v>100</x:v>
      </x:c>
      <x:c r="BJ178" s="12" t="n">
        <x:v>0</x:v>
      </x:c>
      <x:c r="BK178" s="12" t="n">
        <x:v>5.0245</x:v>
      </x:c>
      <x:c r="BL178" s="12" t="n">
        <x:v>4250</x:v>
      </x:c>
      <x:c r="BM178" s="12" t="n">
        <x:v>0</x:v>
      </x:c>
      <x:c r="BN178" s="12" t="n">
        <x:v>0</x:v>
      </x:c>
      <x:c r="BO178" s="12" t="n">
        <x:v>366.90054482217886</x:v>
      </x:c>
      <x:c r="BP178" s="12" t="n">
        <x:v>0</x:v>
      </x:c>
      <x:c r="BQ178" s="12" t="n">
        <x:v>-84.69354817957016</x:v>
      </x:c>
      <x:c r="BR178" s="12" t="n">
        <x:v>4532.206996642609</x:v>
      </x:c>
      <x:c r="BS178" s="12" t="n">
        <x:v>0.0603125</x:v>
      </x:c>
    </x:row>
    <x:row r="179" ht="21" customHeight="1">
      <x:c r="A179" s="14" t="n">
        <x:v>45659.6875</x:v>
      </x:c>
      <x:c r="B179" s="14" t="n">
        <x:v>45659.697916666664</x:v>
      </x:c>
      <x:c r="C179" s="14" t="n">
        <x:v>45659.770833333336</x:v>
      </x:c>
      <x:c r="D179" s="15" t="n">
        <x:v>45659</x:v>
      </x:c>
      <x:c r="E179" s="12" t="n">
        <x:v>0.25</x:v>
      </x:c>
      <x:c r="F179" s="12" t="str">
        <x:v>FORMAL</x:v>
      </x:c>
      <x:c r="G179" s="14" t="n">
        <x:v>45659.666666666664</x:v>
      </x:c>
      <x:c r="H179" s="12" t="n">
        <x:v>170</x:v>
      </x:c>
      <x:c r="I179" s="12" t="str">
        <x:v>2025-01-02_18</x:v>
      </x:c>
      <x:c r="J179" s="12" t="n">
        <x:v>60</x:v>
      </x:c>
      <x:c r="K179" s="12" t="str">
        <x:v>DA_2025-01-02@4f6782768649</x:v>
      </x:c>
      <x:c r="L179" s="15" t="n">
        <x:v>45657</x:v>
      </x:c>
      <x:c r="M179" s="12" t="n">
        <x:v>4.9741</x:v>
      </x:c>
      <x:c r="N179" s="12" t="str">
        <x:v>BNR2024_BOUNDARY@c4397e7f9c31</x:v>
      </x:c>
      <x:c r="O179" s="12"/>
      <x:c r="P179" s="12"/>
      <x:c r="Q179" s="12"/>
      <x:c r="R179" s="12"/>
      <x:c r="S179" s="12" t="str">
        <x:v>OUT_OF_RESEARCH_COVERAGE_PRE_2025_06</x:v>
      </x:c>
      <x:c r="T179" s="12" t="n">
        <x:v>200</x:v>
      </x:c>
      <x:c r="U179" s="12" t="str">
        <x:v>aFRRUp_2025-01-02T16:00:00Z</x:v>
      </x:c>
      <x:c r="V179" s="12" t="str">
        <x:v>tenderStatistics_2025-01@c14c9dea784d</x:v>
      </x:c>
      <x:c r="W179" s="12" t="n">
        <x:v>13.831647936310086</x:v>
      </x:c>
      <x:c r="X179" s="12" t="str">
        <x:v>PUBLISHED_PROXY</x:v>
      </x:c>
      <x:c r="Y179" s="12" t="n">
        <x:v>200</x:v>
      </x:c>
      <x:c r="Z179" s="12" t="str">
        <x:v>aFRRDown_2025-01-02T16:00:00Z</x:v>
      </x:c>
      <x:c r="AA179" s="12" t="str">
        <x:v>tenderStatistics_2025-01@c14c9dea784d</x:v>
      </x:c>
      <x:c r="AB179" s="12" t="n">
        <x:v>14.676021792887155</x:v>
      </x:c>
      <x:c r="AC179" s="12" t="str">
        <x:v>PUBLISHED_PROXY</x:v>
      </x:c>
      <x:c r="AD179" s="12"/>
      <x:c r="AE179" s="12" t="str">
        <x:v>SOURCE_NULL_NOT_MODELED</x:v>
      </x:c>
      <x:c r="AF179" s="12"/>
      <x:c r="AG179" s="12" t="n">
        <x:v>0</x:v>
      </x:c>
      <x:c r="AH179" s="12" t="str">
        <x:v>PUBLISHED_PROXY</x:v>
      </x:c>
      <x:c r="AI179" s="12" t="n">
        <x:v>0</x:v>
      </x:c>
      <x:c r="AJ179" s="12" t="n">
        <x:v>22.3956092559458</x:v>
      </x:c>
      <x:c r="AK179" s="12" t="str">
        <x:v>PUBLISHED_PROXY</x:v>
      </x:c>
      <x:c r="AL179" s="12" t="n">
        <x:v>4.554</x:v>
      </x:c>
      <x:c r="AM179" s="12" t="str">
        <x:v>marginalPricesOverview_2025-01@5b9daf9d82d7</x:v>
      </x:c>
      <x:c r="AN179" s="12" t="str">
        <x:v>activatedBalancingEnergyOverview_2025-01@4135ac664b2a</x:v>
      </x:c>
      <x:c r="AO179" s="12" t="str">
        <x:v>PUBLISHED_NATIVE</x:v>
      </x:c>
      <x:c r="AP179" s="12" t="n">
        <x:v>0</x:v>
      </x:c>
      <x:c r="AQ179" s="12" t="n">
        <x:v>0.09108</x:v>
      </x:c>
      <x:c r="AR179" s="12" t="n">
        <x:v>0.09108</x:v>
      </x:c>
      <x:c r="AS179" s="13" t="b">
        <x:v>1</x:v>
      </x:c>
      <x:c r="AT179" s="13" t="b">
        <x:v>1</x:v>
      </x:c>
      <x:c r="AU179" s="13" t="b">
        <x:v>1</x:v>
      </x:c>
      <x:c r="AV179" s="13" t="b">
        <x:v>1</x:v>
      </x:c>
      <x:c r="AW179" s="13" t="b">
        <x:v>1</x:v>
      </x:c>
      <x:c r="AX179" s="13" t="b">
        <x:v>0</x:v>
      </x:c>
      <x:c r="AY179" s="13" t="b">
        <x:v>0</x:v>
      </x:c>
      <x:c r="AZ179" s="13" t="b">
        <x:v>1</x:v>
      </x:c>
      <x:c r="BA179" s="12" t="str">
        <x:v>OK</x:v>
      </x:c>
      <x:c r="BB179" s="12" t="str">
        <x:v>OK</x:v>
      </x:c>
      <x:c r="BC179" s="12" t="str">
        <x:v>EUR</x:v>
      </x:c>
      <x:c r="BD179" s="12" t="n">
        <x:v>63.20452382608651</x:v>
      </x:c>
      <x:c r="BE179" s="12" t="n">
        <x:v>38.505610782608244</x:v>
      </x:c>
      <x:c r="BF179" s="12" t="n">
        <x:v>100</x:v>
      </x:c>
      <x:c r="BG179" s="12" t="n">
        <x:v>0</x:v>
      </x:c>
      <x:c r="BH179" s="12" t="n">
        <x:v>0</x:v>
      </x:c>
      <x:c r="BI179" s="12" t="n">
        <x:v>100</x:v>
      </x:c>
      <x:c r="BJ179" s="12" t="n">
        <x:v>0</x:v>
      </x:c>
      <x:c r="BK179" s="12" t="n">
        <x:v>2.277</x:v>
      </x:c>
      <x:c r="BL179" s="12" t="n">
        <x:v>4250</x:v>
      </x:c>
      <x:c r="BM179" s="12" t="n">
        <x:v>0</x:v>
      </x:c>
      <x:c r="BN179" s="12" t="n">
        <x:v>0</x:v>
      </x:c>
      <x:c r="BO179" s="12" t="n">
        <x:v>366.90054482217886</x:v>
      </x:c>
      <x:c r="BP179" s="12" t="n">
        <x:v>0</x:v>
      </x:c>
      <x:c r="BQ179" s="12" t="n">
        <x:v>-50.99480227578859</x:v>
      </x:c>
      <x:c r="BR179" s="12" t="n">
        <x:v>4565.905742546391</x:v>
      </x:c>
      <x:c r="BS179" s="12" t="n">
        <x:v>0.06860809178743961</x:v>
      </x:c>
    </x:row>
    <x:row r="180" ht="21" customHeight="1">
      <x:c r="A180" s="14" t="n">
        <x:v>45659.697916666664</x:v>
      </x:c>
      <x:c r="B180" s="14" t="n">
        <x:v>45659.708333333336</x:v>
      </x:c>
      <x:c r="C180" s="14" t="n">
        <x:v>45659.78125</x:v>
      </x:c>
      <x:c r="D180" s="15" t="n">
        <x:v>45659</x:v>
      </x:c>
      <x:c r="E180" s="12" t="n">
        <x:v>0.25</x:v>
      </x:c>
      <x:c r="F180" s="12" t="str">
        <x:v>FORMAL</x:v>
      </x:c>
      <x:c r="G180" s="14" t="n">
        <x:v>45659.666666666664</x:v>
      </x:c>
      <x:c r="H180" s="12" t="n">
        <x:v>170</x:v>
      </x:c>
      <x:c r="I180" s="12" t="str">
        <x:v>2025-01-02_18</x:v>
      </x:c>
      <x:c r="J180" s="12" t="n">
        <x:v>60</x:v>
      </x:c>
      <x:c r="K180" s="12" t="str">
        <x:v>DA_2025-01-02@4f6782768649</x:v>
      </x:c>
      <x:c r="L180" s="15" t="n">
        <x:v>45657</x:v>
      </x:c>
      <x:c r="M180" s="12" t="n">
        <x:v>4.9741</x:v>
      </x:c>
      <x:c r="N180" s="12" t="str">
        <x:v>BNR2024_BOUNDARY@c4397e7f9c31</x:v>
      </x:c>
      <x:c r="O180" s="12"/>
      <x:c r="P180" s="12"/>
      <x:c r="Q180" s="12"/>
      <x:c r="R180" s="12"/>
      <x:c r="S180" s="12" t="str">
        <x:v>OUT_OF_RESEARCH_COVERAGE_PRE_2025_06</x:v>
      </x:c>
      <x:c r="T180" s="12" t="n">
        <x:v>200</x:v>
      </x:c>
      <x:c r="U180" s="12" t="str">
        <x:v>aFRRUp_2025-01-02T16:00:00Z</x:v>
      </x:c>
      <x:c r="V180" s="12" t="str">
        <x:v>tenderStatistics_2025-01@c14c9dea784d</x:v>
      </x:c>
      <x:c r="W180" s="12" t="n">
        <x:v>13.831647936310086</x:v>
      </x:c>
      <x:c r="X180" s="12" t="str">
        <x:v>PUBLISHED_PROXY</x:v>
      </x:c>
      <x:c r="Y180" s="12" t="n">
        <x:v>200</x:v>
      </x:c>
      <x:c r="Z180" s="12" t="str">
        <x:v>aFRRDown_2025-01-02T16:00:00Z</x:v>
      </x:c>
      <x:c r="AA180" s="12" t="str">
        <x:v>tenderStatistics_2025-01@c14c9dea784d</x:v>
      </x:c>
      <x:c r="AB180" s="12" t="n">
        <x:v>14.676021792887155</x:v>
      </x:c>
      <x:c r="AC180" s="12" t="str">
        <x:v>PUBLISHED_PROXY</x:v>
      </x:c>
      <x:c r="AD180" s="12"/>
      <x:c r="AE180" s="12" t="str">
        <x:v>SOURCE_NULL_NOT_MODELED</x:v>
      </x:c>
      <x:c r="AF180" s="12"/>
      <x:c r="AG180" s="12" t="n">
        <x:v>0</x:v>
      </x:c>
      <x:c r="AH180" s="12" t="str">
        <x:v>PUBLISHED_PROXY</x:v>
      </x:c>
      <x:c r="AI180" s="12" t="n">
        <x:v>0</x:v>
      </x:c>
      <x:c r="AJ180" s="12" t="n">
        <x:v>53.934380088860294</x:v>
      </x:c>
      <x:c r="AK180" s="12" t="str">
        <x:v>PUBLISHED_PROXY</x:v>
      </x:c>
      <x:c r="AL180" s="12" t="n">
        <x:v>1.553</x:v>
      </x:c>
      <x:c r="AM180" s="12" t="str">
        <x:v>marginalPricesOverview_2025-01@5b9daf9d82d7</x:v>
      </x:c>
      <x:c r="AN180" s="12" t="str">
        <x:v>activatedBalancingEnergyOverview_2025-01@4135ac664b2a</x:v>
      </x:c>
      <x:c r="AO180" s="12" t="str">
        <x:v>PUBLISHED_NATIVE</x:v>
      </x:c>
      <x:c r="AP180" s="12" t="n">
        <x:v>0</x:v>
      </x:c>
      <x:c r="AQ180" s="12" t="n">
        <x:v>0.0310599999999999</x:v>
      </x:c>
      <x:c r="AR180" s="12" t="n">
        <x:v>0.0310599999999999</x:v>
      </x:c>
      <x:c r="AS180" s="13" t="b">
        <x:v>1</x:v>
      </x:c>
      <x:c r="AT180" s="13" t="b">
        <x:v>1</x:v>
      </x:c>
      <x:c r="AU180" s="13" t="b">
        <x:v>1</x:v>
      </x:c>
      <x:c r="AV180" s="13" t="b">
        <x:v>1</x:v>
      </x:c>
      <x:c r="AW180" s="13" t="b">
        <x:v>1</x:v>
      </x:c>
      <x:c r="AX180" s="13" t="b">
        <x:v>0</x:v>
      </x:c>
      <x:c r="AY180" s="13" t="b">
        <x:v>0</x:v>
      </x:c>
      <x:c r="AZ180" s="13" t="b">
        <x:v>1</x:v>
      </x:c>
      <x:c r="BA180" s="12" t="str">
        <x:v>OK</x:v>
      </x:c>
      <x:c r="BB180" s="12" t="str">
        <x:v>OK</x:v>
      </x:c>
      <x:c r="BC180" s="12" t="str">
        <x:v>EUR</x:v>
      </x:c>
      <x:c r="BD180" s="12" t="n">
        <x:v>38.505610782608244</x:v>
      </x:c>
      <x:c r="BE180" s="12" t="n">
        <x:v>12.175719478260419</x:v>
      </x:c>
      <x:c r="BF180" s="12" t="n">
        <x:v>100</x:v>
      </x:c>
      <x:c r="BG180" s="12" t="n">
        <x:v>0</x:v>
      </x:c>
      <x:c r="BH180" s="12" t="n">
        <x:v>0</x:v>
      </x:c>
      <x:c r="BI180" s="12" t="n">
        <x:v>100</x:v>
      </x:c>
      <x:c r="BJ180" s="12" t="n">
        <x:v>0</x:v>
      </x:c>
      <x:c r="BK180" s="12" t="n">
        <x:v>0.7765</x:v>
      </x:c>
      <x:c r="BL180" s="12" t="n">
        <x:v>4250</x:v>
      </x:c>
      <x:c r="BM180" s="12" t="n">
        <x:v>0</x:v>
      </x:c>
      <x:c r="BN180" s="12" t="n">
        <x:v>0</x:v>
      </x:c>
      <x:c r="BO180" s="12" t="n">
        <x:v>366.90054482217886</x:v>
      </x:c>
      <x:c r="BP180" s="12" t="n">
        <x:v>0</x:v>
      </x:c>
      <x:c r="BQ180" s="12" t="n">
        <x:v>-41.880046139000015</x:v>
      </x:c>
      <x:c r="BR180" s="12" t="n">
        <x:v>4575.020498683179</x:v>
      </x:c>
      <x:c r="BS180" s="12" t="n">
        <x:v>0.07313858695652174</x:v>
      </x:c>
    </x:row>
    <x:row r="181" ht="21" customHeight="1">
      <x:c r="A181" s="14" t="n">
        <x:v>45659.708333333336</x:v>
      </x:c>
      <x:c r="B181" s="14" t="n">
        <x:v>45659.71875</x:v>
      </x:c>
      <x:c r="C181" s="14" t="n">
        <x:v>45659.791666666664</x:v>
      </x:c>
      <x:c r="D181" s="15" t="n">
        <x:v>45659</x:v>
      </x:c>
      <x:c r="E181" s="12" t="n">
        <x:v>0.25</x:v>
      </x:c>
      <x:c r="F181" s="12" t="str">
        <x:v>FORMAL</x:v>
      </x:c>
      <x:c r="G181" s="14" t="n">
        <x:v>45659.708333333336</x:v>
      </x:c>
      <x:c r="H181" s="12" t="n">
        <x:v>159.64</x:v>
      </x:c>
      <x:c r="I181" s="12" t="str">
        <x:v>2025-01-02_19</x:v>
      </x:c>
      <x:c r="J181" s="12" t="n">
        <x:v>60</x:v>
      </x:c>
      <x:c r="K181" s="12" t="str">
        <x:v>DA_2025-01-02@4f6782768649</x:v>
      </x:c>
      <x:c r="L181" s="15" t="n">
        <x:v>45657</x:v>
      </x:c>
      <x:c r="M181" s="12" t="n">
        <x:v>4.9741</x:v>
      </x:c>
      <x:c r="N181" s="12" t="str">
        <x:v>BNR2024_BOUNDARY@c4397e7f9c31</x:v>
      </x:c>
      <x:c r="O181" s="12"/>
      <x:c r="P181" s="12"/>
      <x:c r="Q181" s="12"/>
      <x:c r="R181" s="12"/>
      <x:c r="S181" s="12" t="str">
        <x:v>OUT_OF_RESEARCH_COVERAGE_PRE_2025_06</x:v>
      </x:c>
      <x:c r="T181" s="12" t="n">
        <x:v>200</x:v>
      </x:c>
      <x:c r="U181" s="12" t="str">
        <x:v>aFRRUp_2025-01-02T17:00:00Z</x:v>
      </x:c>
      <x:c r="V181" s="12" t="str">
        <x:v>tenderStatistics_2025-01@c14c9dea784d</x:v>
      </x:c>
      <x:c r="W181" s="12" t="n">
        <x:v>13.831647936310086</x:v>
      </x:c>
      <x:c r="X181" s="12" t="str">
        <x:v>PUBLISHED_PROXY</x:v>
      </x:c>
      <x:c r="Y181" s="12" t="n">
        <x:v>200</x:v>
      </x:c>
      <x:c r="Z181" s="12" t="str">
        <x:v>aFRRDown_2025-01-02T17:00:00Z</x:v>
      </x:c>
      <x:c r="AA181" s="12" t="str">
        <x:v>tenderStatistics_2025-01@c14c9dea784d</x:v>
      </x:c>
      <x:c r="AB181" s="12" t="n">
        <x:v>14.676021792887155</x:v>
      </x:c>
      <x:c r="AC181" s="12" t="str">
        <x:v>PUBLISHED_PROXY</x:v>
      </x:c>
      <x:c r="AD181" s="12"/>
      <x:c r="AE181" s="12" t="str">
        <x:v>SOURCE_NULL_NOT_MODELED</x:v>
      </x:c>
      <x:c r="AF181" s="12"/>
      <x:c r="AG181" s="12" t="n">
        <x:v>0</x:v>
      </x:c>
      <x:c r="AH181" s="12" t="str">
        <x:v>PUBLISHED_PROXY</x:v>
      </x:c>
      <x:c r="AI181" s="12" t="n">
        <x:v>0</x:v>
      </x:c>
      <x:c r="AJ181" s="12" t="n">
        <x:v>-479.45879656621304</x:v>
      </x:c>
      <x:c r="AK181" s="12" t="str">
        <x:v>PUBLISHED_PROXY</x:v>
      </x:c>
      <x:c r="AL181" s="12" t="n">
        <x:v>27.199</x:v>
      </x:c>
      <x:c r="AM181" s="12" t="str">
        <x:v>marginalPricesOverview_2025-01@5b9daf9d82d7</x:v>
      </x:c>
      <x:c r="AN181" s="12" t="str">
        <x:v>activatedBalancingEnergyOverview_2025-01@4135ac664b2a</x:v>
      </x:c>
      <x:c r="AO181" s="12" t="str">
        <x:v>PUBLISHED_NATIVE</x:v>
      </x:c>
      <x:c r="AP181" s="12" t="n">
        <x:v>0</x:v>
      </x:c>
      <x:c r="AQ181" s="12" t="n">
        <x:v>0.54398</x:v>
      </x:c>
      <x:c r="AR181" s="12" t="n">
        <x:v>0.54398</x:v>
      </x:c>
      <x:c r="AS181" s="13" t="b">
        <x:v>1</x:v>
      </x:c>
      <x:c r="AT181" s="13" t="b">
        <x:v>1</x:v>
      </x:c>
      <x:c r="AU181" s="13" t="b">
        <x:v>1</x:v>
      </x:c>
      <x:c r="AV181" s="13" t="b">
        <x:v>1</x:v>
      </x:c>
      <x:c r="AW181" s="13" t="b">
        <x:v>1</x:v>
      </x:c>
      <x:c r="AX181" s="13" t="b">
        <x:v>0</x:v>
      </x:c>
      <x:c r="AY181" s="13" t="b">
        <x:v>0</x:v>
      </x:c>
      <x:c r="AZ181" s="13" t="b">
        <x:v>1</x:v>
      </x:c>
      <x:c r="BA181" s="12" t="str">
        <x:v>OK</x:v>
      </x:c>
      <x:c r="BB181" s="12" t="str">
        <x:v>OK</x:v>
      </x:c>
      <x:c r="BC181" s="12" t="str">
        <x:v>EUR</x:v>
      </x:c>
      <x:c r="BD181" s="12" t="n">
        <x:v>12.175719478260419</x:v>
      </x:c>
      <x:c r="BE181" s="12" t="n">
        <x:v>24.687259478260422</x:v>
      </x:c>
      <x:c r="BF181" s="12" t="n">
        <x:v>0</x:v>
      </x:c>
      <x:c r="BG181" s="12" t="n">
        <x:v>0</x:v>
      </x:c>
      <x:c r="BH181" s="12" t="n">
        <x:v>100</x:v>
      </x:c>
      <x:c r="BI181" s="12" t="n">
        <x:v>100</x:v>
      </x:c>
      <x:c r="BJ181" s="12" t="n">
        <x:v>0</x:v>
      </x:c>
      <x:c r="BK181" s="12" t="n">
        <x:v>13.5995</x:v>
      </x:c>
      <x:c r="BL181" s="12" t="n">
        <x:v>0</x:v>
      </x:c>
      <x:c r="BM181" s="12" t="n">
        <x:v>0</x:v>
      </x:c>
      <x:c r="BN181" s="12" t="n">
        <x:v>345.7911984077521</x:v>
      </x:c>
      <x:c r="BO181" s="12" t="n">
        <x:v>366.90054482217886</x:v>
      </x:c>
      <x:c r="BP181" s="12" t="n">
        <x:v>0</x:v>
      </x:c>
      <x:c r="BQ181" s="12" t="n">
        <x:v>6520.399903902215</x:v>
      </x:c>
      <x:c r="BR181" s="12" t="n">
        <x:v>7233.091647132145</x:v>
      </x:c>
      <x:c r="BS181" s="12" t="n">
        <x:v>0.03475427777777778</x:v>
      </x:c>
    </x:row>
    <x:row r="182" ht="21" customHeight="1">
      <x:c r="A182" s="14" t="n">
        <x:v>45659.71875</x:v>
      </x:c>
      <x:c r="B182" s="14" t="n">
        <x:v>45659.729166666664</x:v>
      </x:c>
      <x:c r="C182" s="14" t="n">
        <x:v>45659.802083333336</x:v>
      </x:c>
      <x:c r="D182" s="15" t="n">
        <x:v>45659</x:v>
      </x:c>
      <x:c r="E182" s="12" t="n">
        <x:v>0.25</x:v>
      </x:c>
      <x:c r="F182" s="12" t="str">
        <x:v>FORMAL</x:v>
      </x:c>
      <x:c r="G182" s="14" t="n">
        <x:v>45659.708333333336</x:v>
      </x:c>
      <x:c r="H182" s="12" t="n">
        <x:v>159.64</x:v>
      </x:c>
      <x:c r="I182" s="12" t="str">
        <x:v>2025-01-02_19</x:v>
      </x:c>
      <x:c r="J182" s="12" t="n">
        <x:v>60</x:v>
      </x:c>
      <x:c r="K182" s="12" t="str">
        <x:v>DA_2025-01-02@4f6782768649</x:v>
      </x:c>
      <x:c r="L182" s="15" t="n">
        <x:v>45657</x:v>
      </x:c>
      <x:c r="M182" s="12" t="n">
        <x:v>4.9741</x:v>
      </x:c>
      <x:c r="N182" s="12" t="str">
        <x:v>BNR2024_BOUNDARY@c4397e7f9c31</x:v>
      </x:c>
      <x:c r="O182" s="12"/>
      <x:c r="P182" s="12"/>
      <x:c r="Q182" s="12"/>
      <x:c r="R182" s="12"/>
      <x:c r="S182" s="12" t="str">
        <x:v>OUT_OF_RESEARCH_COVERAGE_PRE_2025_06</x:v>
      </x:c>
      <x:c r="T182" s="12" t="n">
        <x:v>200</x:v>
      </x:c>
      <x:c r="U182" s="12" t="str">
        <x:v>aFRRUp_2025-01-02T17:00:00Z</x:v>
      </x:c>
      <x:c r="V182" s="12" t="str">
        <x:v>tenderStatistics_2025-01@c14c9dea784d</x:v>
      </x:c>
      <x:c r="W182" s="12" t="n">
        <x:v>13.831647936310086</x:v>
      </x:c>
      <x:c r="X182" s="12" t="str">
        <x:v>PUBLISHED_PROXY</x:v>
      </x:c>
      <x:c r="Y182" s="12" t="n">
        <x:v>200</x:v>
      </x:c>
      <x:c r="Z182" s="12" t="str">
        <x:v>aFRRDown_2025-01-02T17:00:00Z</x:v>
      </x:c>
      <x:c r="AA182" s="12" t="str">
        <x:v>tenderStatistics_2025-01@c14c9dea784d</x:v>
      </x:c>
      <x:c r="AB182" s="12" t="n">
        <x:v>14.676021792887155</x:v>
      </x:c>
      <x:c r="AC182" s="12" t="str">
        <x:v>PUBLISHED_PROXY</x:v>
      </x:c>
      <x:c r="AD182" s="12"/>
      <x:c r="AE182" s="12" t="str">
        <x:v>SOURCE_NULL_NOT_MODELED</x:v>
      </x:c>
      <x:c r="AF182" s="12"/>
      <x:c r="AG182" s="12" t="n">
        <x:v>0</x:v>
      </x:c>
      <x:c r="AH182" s="12" t="str">
        <x:v>PUBLISHED_PROXY</x:v>
      </x:c>
      <x:c r="AI182" s="12" t="n">
        <x:v>0</x:v>
      </x:c>
      <x:c r="AJ182" s="12" t="n">
        <x:v>-162.58901107738083</x:v>
      </x:c>
      <x:c r="AK182" s="12" t="str">
        <x:v>PUBLISHED_PROXY</x:v>
      </x:c>
      <x:c r="AL182" s="12" t="n">
        <x:v>11.932</x:v>
      </x:c>
      <x:c r="AM182" s="12" t="str">
        <x:v>marginalPricesOverview_2025-01@5b9daf9d82d7</x:v>
      </x:c>
      <x:c r="AN182" s="12" t="str">
        <x:v>activatedBalancingEnergyOverview_2025-01@4135ac664b2a</x:v>
      </x:c>
      <x:c r="AO182" s="12" t="str">
        <x:v>PUBLISHED_NATIVE</x:v>
      </x:c>
      <x:c r="AP182" s="12" t="n">
        <x:v>0</x:v>
      </x:c>
      <x:c r="AQ182" s="12" t="n">
        <x:v>0.23864</x:v>
      </x:c>
      <x:c r="AR182" s="12" t="n">
        <x:v>0.23864</x:v>
      </x:c>
      <x:c r="AS182" s="13" t="b">
        <x:v>1</x:v>
      </x:c>
      <x:c r="AT182" s="13" t="b">
        <x:v>1</x:v>
      </x:c>
      <x:c r="AU182" s="13" t="b">
        <x:v>1</x:v>
      </x:c>
      <x:c r="AV182" s="13" t="b">
        <x:v>1</x:v>
      </x:c>
      <x:c r="AW182" s="13" t="b">
        <x:v>1</x:v>
      </x:c>
      <x:c r="AX182" s="13" t="b">
        <x:v>0</x:v>
      </x:c>
      <x:c r="AY182" s="13" t="b">
        <x:v>0</x:v>
      </x:c>
      <x:c r="AZ182" s="13" t="b">
        <x:v>1</x:v>
      </x:c>
      <x:c r="BA182" s="12" t="str">
        <x:v>OK</x:v>
      </x:c>
      <x:c r="BB182" s="12" t="str">
        <x:v>OK</x:v>
      </x:c>
      <x:c r="BC182" s="12" t="str">
        <x:v>EUR</x:v>
      </x:c>
      <x:c r="BD182" s="12" t="n">
        <x:v>24.687259478260422</x:v>
      </x:c>
      <x:c r="BE182" s="12" t="n">
        <x:v>30.175979478260423</x:v>
      </x:c>
      <x:c r="BF182" s="12" t="n">
        <x:v>0</x:v>
      </x:c>
      <x:c r="BG182" s="12" t="n">
        <x:v>0</x:v>
      </x:c>
      <x:c r="BH182" s="12" t="n">
        <x:v>100</x:v>
      </x:c>
      <x:c r="BI182" s="12" t="n">
        <x:v>100</x:v>
      </x:c>
      <x:c r="BJ182" s="12" t="n">
        <x:v>0</x:v>
      </x:c>
      <x:c r="BK182" s="12" t="n">
        <x:v>5.966</x:v>
      </x:c>
      <x:c r="BL182" s="12" t="n">
        <x:v>0</x:v>
      </x:c>
      <x:c r="BM182" s="12" t="n">
        <x:v>0</x:v>
      </x:c>
      <x:c r="BN182" s="12" t="n">
        <x:v>345.7911984077521</x:v>
      </x:c>
      <x:c r="BO182" s="12" t="n">
        <x:v>366.90054482217886</x:v>
      </x:c>
      <x:c r="BP182" s="12" t="n">
        <x:v>0</x:v>
      </x:c>
      <x:c r="BQ182" s="12" t="n">
        <x:v>970.0060400876541</x:v>
      </x:c>
      <x:c r="BR182" s="12" t="n">
        <x:v>1682.6977833175852</x:v>
      </x:c>
      <x:c r="BS182" s="12" t="n">
        <x:v>0.015246444444444446</x:v>
      </x:c>
    </x:row>
    <x:row r="183" ht="21" customHeight="1">
      <x:c r="A183" s="14" t="n">
        <x:v>45659.729166666664</x:v>
      </x:c>
      <x:c r="B183" s="14" t="n">
        <x:v>45659.739583333336</x:v>
      </x:c>
      <x:c r="C183" s="14" t="n">
        <x:v>45659.8125</x:v>
      </x:c>
      <x:c r="D183" s="15" t="n">
        <x:v>45659</x:v>
      </x:c>
      <x:c r="E183" s="12" t="n">
        <x:v>0.25</x:v>
      </x:c>
      <x:c r="F183" s="12" t="str">
        <x:v>FORMAL</x:v>
      </x:c>
      <x:c r="G183" s="14" t="n">
        <x:v>45659.708333333336</x:v>
      </x:c>
      <x:c r="H183" s="12" t="n">
        <x:v>159.64</x:v>
      </x:c>
      <x:c r="I183" s="12" t="str">
        <x:v>2025-01-02_19</x:v>
      </x:c>
      <x:c r="J183" s="12" t="n">
        <x:v>60</x:v>
      </x:c>
      <x:c r="K183" s="12" t="str">
        <x:v>DA_2025-01-02@4f6782768649</x:v>
      </x:c>
      <x:c r="L183" s="15" t="n">
        <x:v>45657</x:v>
      </x:c>
      <x:c r="M183" s="12" t="n">
        <x:v>4.9741</x:v>
      </x:c>
      <x:c r="N183" s="12" t="str">
        <x:v>BNR2024_BOUNDARY@c4397e7f9c31</x:v>
      </x:c>
      <x:c r="O183" s="12"/>
      <x:c r="P183" s="12"/>
      <x:c r="Q183" s="12"/>
      <x:c r="R183" s="12"/>
      <x:c r="S183" s="12" t="str">
        <x:v>OUT_OF_RESEARCH_COVERAGE_PRE_2025_06</x:v>
      </x:c>
      <x:c r="T183" s="12" t="n">
        <x:v>200</x:v>
      </x:c>
      <x:c r="U183" s="12" t="str">
        <x:v>aFRRUp_2025-01-02T17:00:00Z</x:v>
      </x:c>
      <x:c r="V183" s="12" t="str">
        <x:v>tenderStatistics_2025-01@c14c9dea784d</x:v>
      </x:c>
      <x:c r="W183" s="12" t="n">
        <x:v>13.831647936310086</x:v>
      </x:c>
      <x:c r="X183" s="12" t="str">
        <x:v>PUBLISHED_PROXY</x:v>
      </x:c>
      <x:c r="Y183" s="12" t="n">
        <x:v>200</x:v>
      </x:c>
      <x:c r="Z183" s="12" t="str">
        <x:v>aFRRDown_2025-01-02T17:00:00Z</x:v>
      </x:c>
      <x:c r="AA183" s="12" t="str">
        <x:v>tenderStatistics_2025-01@c14c9dea784d</x:v>
      </x:c>
      <x:c r="AB183" s="12" t="n">
        <x:v>14.676021792887155</x:v>
      </x:c>
      <x:c r="AC183" s="12" t="str">
        <x:v>PUBLISHED_PROXY</x:v>
      </x:c>
      <x:c r="AD183" s="12"/>
      <x:c r="AE183" s="12" t="str">
        <x:v>SOURCE_NULL_NOT_MODELED</x:v>
      </x:c>
      <x:c r="AF183" s="12"/>
      <x:c r="AG183" s="12" t="n">
        <x:v>60.31241832693352</x:v>
      </x:c>
      <x:c r="AH183" s="12" t="str">
        <x:v>PUBLISHED_PROXY</x:v>
      </x:c>
      <x:c r="AI183" s="12" t="n">
        <x:v>0.034</x:v>
      </x:c>
      <x:c r="AJ183" s="12" t="n">
        <x:v>19.669286906173983</x:v>
      </x:c>
      <x:c r="AK183" s="12" t="str">
        <x:v>PUBLISHED_PROXY</x:v>
      </x:c>
      <x:c r="AL183" s="12" t="n">
        <x:v>5.552</x:v>
      </x:c>
      <x:c r="AM183" s="12" t="str">
        <x:v>marginalPricesOverview_2025-01@5b9daf9d82d7</x:v>
      </x:c>
      <x:c r="AN183" s="12" t="str">
        <x:v>activatedBalancingEnergyOverview_2025-01@4135ac664b2a</x:v>
      </x:c>
      <x:c r="AO183" s="12" t="str">
        <x:v>PUBLISHED_NATIVE</x:v>
      </x:c>
      <x:c r="AP183" s="12" t="n">
        <x:v>0.00068</x:v>
      </x:c>
      <x:c r="AQ183" s="12" t="n">
        <x:v>0.1110399999999999</x:v>
      </x:c>
      <x:c r="AR183" s="12" t="n">
        <x:v>0.1117199999999999</x:v>
      </x:c>
      <x:c r="AS183" s="13" t="b">
        <x:v>1</x:v>
      </x:c>
      <x:c r="AT183" s="13" t="b">
        <x:v>1</x:v>
      </x:c>
      <x:c r="AU183" s="13" t="b">
        <x:v>1</x:v>
      </x:c>
      <x:c r="AV183" s="13" t="b">
        <x:v>1</x:v>
      </x:c>
      <x:c r="AW183" s="13" t="b">
        <x:v>1</x:v>
      </x:c>
      <x:c r="AX183" s="13" t="b">
        <x:v>0</x:v>
      </x:c>
      <x:c r="AY183" s="13" t="b">
        <x:v>0</x:v>
      </x:c>
      <x:c r="AZ183" s="13" t="b">
        <x:v>1</x:v>
      </x:c>
      <x:c r="BA183" s="12" t="str">
        <x:v>OK</x:v>
      </x:c>
      <x:c r="BB183" s="12" t="str">
        <x:v>OK</x:v>
      </x:c>
      <x:c r="BC183" s="12" t="str">
        <x:v>EUR</x:v>
      </x:c>
      <x:c r="BD183" s="12" t="n">
        <x:v>30.175979478260423</x:v>
      </x:c>
      <x:c r="BE183" s="12" t="n">
        <x:v>32.71142121739086</x:v>
      </x:c>
      <x:c r="BF183" s="12" t="n">
        <x:v>0</x:v>
      </x:c>
      <x:c r="BG183" s="12" t="n">
        <x:v>0</x:v>
      </x:c>
      <x:c r="BH183" s="12" t="n">
        <x:v>100</x:v>
      </x:c>
      <x:c r="BI183" s="12" t="n">
        <x:v>100</x:v>
      </x:c>
      <x:c r="BJ183" s="12" t="n">
        <x:v>0.017</x:v>
      </x:c>
      <x:c r="BK183" s="12" t="n">
        <x:v>2.776</x:v>
      </x:c>
      <x:c r="BL183" s="12" t="n">
        <x:v>0</x:v>
      </x:c>
      <x:c r="BM183" s="12" t="n">
        <x:v>0</x:v>
      </x:c>
      <x:c r="BN183" s="12" t="n">
        <x:v>345.7911984077521</x:v>
      </x:c>
      <x:c r="BO183" s="12" t="n">
        <x:v>366.90054482217886</x:v>
      </x:c>
      <x:c r="BP183" s="12" t="n">
        <x:v>1.02531111155787</x:v>
      </x:c>
      <x:c r="BQ183" s="12" t="n">
        <x:v>-54.60194045153897</x:v>
      </x:c>
      <x:c r="BR183" s="12" t="n">
        <x:v>659.1151138899498</x:v>
      </x:c>
      <x:c r="BS183" s="12" t="n">
        <x:v>0.00714555072463768</x:v>
      </x:c>
    </x:row>
    <x:row r="184" ht="21" customHeight="1">
      <x:c r="A184" s="14" t="n">
        <x:v>45659.739583333336</x:v>
      </x:c>
      <x:c r="B184" s="14" t="n">
        <x:v>45659.75</x:v>
      </x:c>
      <x:c r="C184" s="14" t="n">
        <x:v>45659.822916666664</x:v>
      </x:c>
      <x:c r="D184" s="15" t="n">
        <x:v>45659</x:v>
      </x:c>
      <x:c r="E184" s="12" t="n">
        <x:v>0.25</x:v>
      </x:c>
      <x:c r="F184" s="12" t="str">
        <x:v>FORMAL</x:v>
      </x:c>
      <x:c r="G184" s="14" t="n">
        <x:v>45659.708333333336</x:v>
      </x:c>
      <x:c r="H184" s="12" t="n">
        <x:v>159.64</x:v>
      </x:c>
      <x:c r="I184" s="12" t="str">
        <x:v>2025-01-02_19</x:v>
      </x:c>
      <x:c r="J184" s="12" t="n">
        <x:v>60</x:v>
      </x:c>
      <x:c r="K184" s="12" t="str">
        <x:v>DA_2025-01-02@4f6782768649</x:v>
      </x:c>
      <x:c r="L184" s="15" t="n">
        <x:v>45657</x:v>
      </x:c>
      <x:c r="M184" s="12" t="n">
        <x:v>4.9741</x:v>
      </x:c>
      <x:c r="N184" s="12" t="str">
        <x:v>BNR2024_BOUNDARY@c4397e7f9c31</x:v>
      </x:c>
      <x:c r="O184" s="12"/>
      <x:c r="P184" s="12"/>
      <x:c r="Q184" s="12"/>
      <x:c r="R184" s="12"/>
      <x:c r="S184" s="12" t="str">
        <x:v>OUT_OF_RESEARCH_COVERAGE_PRE_2025_06</x:v>
      </x:c>
      <x:c r="T184" s="12" t="n">
        <x:v>200</x:v>
      </x:c>
      <x:c r="U184" s="12" t="str">
        <x:v>aFRRUp_2025-01-02T17:00:00Z</x:v>
      </x:c>
      <x:c r="V184" s="12" t="str">
        <x:v>tenderStatistics_2025-01@c14c9dea784d</x:v>
      </x:c>
      <x:c r="W184" s="12" t="n">
        <x:v>13.831647936310086</x:v>
      </x:c>
      <x:c r="X184" s="12" t="str">
        <x:v>PUBLISHED_PROXY</x:v>
      </x:c>
      <x:c r="Y184" s="12" t="n">
        <x:v>200</x:v>
      </x:c>
      <x:c r="Z184" s="12" t="str">
        <x:v>aFRRDown_2025-01-02T17:00:00Z</x:v>
      </x:c>
      <x:c r="AA184" s="12" t="str">
        <x:v>tenderStatistics_2025-01@c14c9dea784d</x:v>
      </x:c>
      <x:c r="AB184" s="12" t="n">
        <x:v>14.676021792887155</x:v>
      </x:c>
      <x:c r="AC184" s="12" t="str">
        <x:v>PUBLISHED_PROXY</x:v>
      </x:c>
      <x:c r="AD184" s="12"/>
      <x:c r="AE184" s="12" t="str">
        <x:v>SOURCE_NULL_NOT_MODELED</x:v>
      </x:c>
      <x:c r="AF184" s="12"/>
      <x:c r="AG184" s="12" t="n">
        <x:v>0</x:v>
      </x:c>
      <x:c r="AH184" s="12" t="str">
        <x:v>PUBLISHED_PROXY</x:v>
      </x:c>
      <x:c r="AI184" s="12" t="n">
        <x:v>0</x:v>
      </x:c>
      <x:c r="AJ184" s="12" t="n">
        <x:v>12.25286986590539</x:v>
      </x:c>
      <x:c r="AK184" s="12" t="str">
        <x:v>PUBLISHED_PROXY</x:v>
      </x:c>
      <x:c r="AL184" s="12" t="n">
        <x:v>11.471</x:v>
      </x:c>
      <x:c r="AM184" s="12" t="str">
        <x:v>marginalPricesOverview_2025-01@5b9daf9d82d7</x:v>
      </x:c>
      <x:c r="AN184" s="12" t="str">
        <x:v>activatedBalancingEnergyOverview_2025-01@4135ac664b2a</x:v>
      </x:c>
      <x:c r="AO184" s="12" t="str">
        <x:v>PUBLISHED_NATIVE</x:v>
      </x:c>
      <x:c r="AP184" s="12" t="n">
        <x:v>0</x:v>
      </x:c>
      <x:c r="AQ184" s="12" t="n">
        <x:v>0.22942</x:v>
      </x:c>
      <x:c r="AR184" s="12" t="n">
        <x:v>0.22942</x:v>
      </x:c>
      <x:c r="AS184" s="13" t="b">
        <x:v>1</x:v>
      </x:c>
      <x:c r="AT184" s="13" t="b">
        <x:v>1</x:v>
      </x:c>
      <x:c r="AU184" s="13" t="b">
        <x:v>1</x:v>
      </x:c>
      <x:c r="AV184" s="13" t="b">
        <x:v>1</x:v>
      </x:c>
      <x:c r="AW184" s="13" t="b">
        <x:v>1</x:v>
      </x:c>
      <x:c r="AX184" s="13" t="b">
        <x:v>0</x:v>
      </x:c>
      <x:c r="AY184" s="13" t="b">
        <x:v>0</x:v>
      </x:c>
      <x:c r="AZ184" s="13" t="b">
        <x:v>1</x:v>
      </x:c>
      <x:c r="BA184" s="12" t="str">
        <x:v>OK</x:v>
      </x:c>
      <x:c r="BB184" s="12" t="str">
        <x:v>OK</x:v>
      </x:c>
      <x:c r="BC184" s="12" t="str">
        <x:v>EUR</x:v>
      </x:c>
      <x:c r="BD184" s="12" t="n">
        <x:v>32.71142121739086</x:v>
      </x:c>
      <x:c r="BE184" s="12" t="n">
        <x:v>37.98808121739086</x:v>
      </x:c>
      <x:c r="BF184" s="12" t="n">
        <x:v>0</x:v>
      </x:c>
      <x:c r="BG184" s="12" t="n">
        <x:v>0</x:v>
      </x:c>
      <x:c r="BH184" s="12" t="n">
        <x:v>100</x:v>
      </x:c>
      <x:c r="BI184" s="12" t="n">
        <x:v>100</x:v>
      </x:c>
      <x:c r="BJ184" s="12" t="n">
        <x:v>0</x:v>
      </x:c>
      <x:c r="BK184" s="12" t="n">
        <x:v>5.7355</x:v>
      </x:c>
      <x:c r="BL184" s="12" t="n">
        <x:v>0</x:v>
      </x:c>
      <x:c r="BM184" s="12" t="n">
        <x:v>0</x:v>
      </x:c>
      <x:c r="BN184" s="12" t="n">
        <x:v>345.7911984077521</x:v>
      </x:c>
      <x:c r="BO184" s="12" t="n">
        <x:v>366.90054482217886</x:v>
      </x:c>
      <x:c r="BP184" s="12" t="n">
        <x:v>0</x:v>
      </x:c>
      <x:c r="BQ184" s="12" t="n">
        <x:v>-70.27633511590037</x:v>
      </x:c>
      <x:c r="BR184" s="12" t="n">
        <x:v>642.4154081140306</x:v>
      </x:c>
      <x:c r="BS184" s="12" t="n">
        <x:v>0.01465738888888889</x:v>
      </x:c>
    </x:row>
    <x:row r="185" ht="21" customHeight="1">
      <x:c r="A185" s="14" t="n">
        <x:v>45659.75</x:v>
      </x:c>
      <x:c r="B185" s="14" t="n">
        <x:v>45659.760416666664</x:v>
      </x:c>
      <x:c r="C185" s="14" t="n">
        <x:v>45659.833333333336</x:v>
      </x:c>
      <x:c r="D185" s="15" t="n">
        <x:v>45659</x:v>
      </x:c>
      <x:c r="E185" s="12" t="n">
        <x:v>0.25</x:v>
      </x:c>
      <x:c r="F185" s="12" t="str">
        <x:v>FORMAL</x:v>
      </x:c>
      <x:c r="G185" s="14" t="n">
        <x:v>45659.75</x:v>
      </x:c>
      <x:c r="H185" s="12" t="n">
        <x:v>159.64</x:v>
      </x:c>
      <x:c r="I185" s="12" t="str">
        <x:v>2025-01-02_20</x:v>
      </x:c>
      <x:c r="J185" s="12" t="n">
        <x:v>60</x:v>
      </x:c>
      <x:c r="K185" s="12" t="str">
        <x:v>DA_2025-01-02@4f6782768649</x:v>
      </x:c>
      <x:c r="L185" s="15" t="n">
        <x:v>45657</x:v>
      </x:c>
      <x:c r="M185" s="12" t="n">
        <x:v>4.9741</x:v>
      </x:c>
      <x:c r="N185" s="12" t="str">
        <x:v>BNR2024_BOUNDARY@c4397e7f9c31</x:v>
      </x:c>
      <x:c r="O185" s="12"/>
      <x:c r="P185" s="12"/>
      <x:c r="Q185" s="12"/>
      <x:c r="R185" s="12"/>
      <x:c r="S185" s="12" t="str">
        <x:v>OUT_OF_RESEARCH_COVERAGE_PRE_2025_06</x:v>
      </x:c>
      <x:c r="T185" s="12" t="n">
        <x:v>200</x:v>
      </x:c>
      <x:c r="U185" s="12" t="str">
        <x:v>aFRRUp_2025-01-02T18:00:00Z</x:v>
      </x:c>
      <x:c r="V185" s="12" t="str">
        <x:v>tenderStatistics_2025-01@c14c9dea784d</x:v>
      </x:c>
      <x:c r="W185" s="12" t="n">
        <x:v>13.831647936310086</x:v>
      </x:c>
      <x:c r="X185" s="12" t="str">
        <x:v>PUBLISHED_PROXY</x:v>
      </x:c>
      <x:c r="Y185" s="12" t="n">
        <x:v>200</x:v>
      </x:c>
      <x:c r="Z185" s="12" t="str">
        <x:v>aFRRDown_2025-01-02T18:00:00Z</x:v>
      </x:c>
      <x:c r="AA185" s="12" t="str">
        <x:v>tenderStatistics_2025-01@c14c9dea784d</x:v>
      </x:c>
      <x:c r="AB185" s="12" t="n">
        <x:v>14.710198829939085</x:v>
      </x:c>
      <x:c r="AC185" s="12" t="str">
        <x:v>PUBLISHED_PROXY</x:v>
      </x:c>
      <x:c r="AD185" s="12"/>
      <x:c r="AE185" s="12" t="str">
        <x:v>SOURCE_NULL_NOT_MODELED</x:v>
      </x:c>
      <x:c r="AF185" s="12"/>
      <x:c r="AG185" s="12" t="n">
        <x:v>195.37805834221268</x:v>
      </x:c>
      <x:c r="AH185" s="12" t="str">
        <x:v>PUBLISHED_PROXY</x:v>
      </x:c>
      <x:c r="AI185" s="12" t="n">
        <x:v>10.148</x:v>
      </x:c>
      <x:c r="AJ185" s="12" t="n">
        <x:v>22.700790092680084</x:v>
      </x:c>
      <x:c r="AK185" s="12" t="str">
        <x:v>PUBLISHED_PROXY</x:v>
      </x:c>
      <x:c r="AL185" s="12" t="n">
        <x:v>0.812</x:v>
      </x:c>
      <x:c r="AM185" s="12" t="str">
        <x:v>marginalPricesOverview_2025-01@5b9daf9d82d7</x:v>
      </x:c>
      <x:c r="AN185" s="12" t="str">
        <x:v>activatedBalancingEnergyOverview_2025-01@4135ac664b2a</x:v>
      </x:c>
      <x:c r="AO185" s="12" t="str">
        <x:v>PUBLISHED_NATIVE</x:v>
      </x:c>
      <x:c r="AP185" s="12" t="n">
        <x:v>0.20296</x:v>
      </x:c>
      <x:c r="AQ185" s="12" t="n">
        <x:v>0.01624</x:v>
      </x:c>
      <x:c r="AR185" s="12" t="n">
        <x:v>0.2192</x:v>
      </x:c>
      <x:c r="AS185" s="13" t="b">
        <x:v>1</x:v>
      </x:c>
      <x:c r="AT185" s="13" t="b">
        <x:v>1</x:v>
      </x:c>
      <x:c r="AU185" s="13" t="b">
        <x:v>1</x:v>
      </x:c>
      <x:c r="AV185" s="13" t="b">
        <x:v>1</x:v>
      </x:c>
      <x:c r="AW185" s="13" t="b">
        <x:v>1</x:v>
      </x:c>
      <x:c r="AX185" s="13" t="b">
        <x:v>0</x:v>
      </x:c>
      <x:c r="AY185" s="13" t="b">
        <x:v>0</x:v>
      </x:c>
      <x:c r="AZ185" s="13" t="b">
        <x:v>1</x:v>
      </x:c>
      <x:c r="BA185" s="12" t="str">
        <x:v>OK</x:v>
      </x:c>
      <x:c r="BB185" s="12" t="str">
        <x:v>OK</x:v>
      </x:c>
      <x:c r="BC185" s="12" t="str">
        <x:v>EUR</x:v>
      </x:c>
      <x:c r="BD185" s="12" t="n">
        <x:v>37.98808121739086</x:v>
      </x:c>
      <x:c r="BE185" s="12" t="n">
        <x:v>32.84638382608651</x:v>
      </x:c>
      <x:c r="BF185" s="12" t="n">
        <x:v>0</x:v>
      </x:c>
      <x:c r="BG185" s="12" t="n">
        <x:v>0</x:v>
      </x:c>
      <x:c r="BH185" s="12" t="n">
        <x:v>100</x:v>
      </x:c>
      <x:c r="BI185" s="12" t="n">
        <x:v>100</x:v>
      </x:c>
      <x:c r="BJ185" s="12" t="n">
        <x:v>5.074</x:v>
      </x:c>
      <x:c r="BK185" s="12" t="n">
        <x:v>0.406</x:v>
      </x:c>
      <x:c r="BL185" s="12" t="n">
        <x:v>0</x:v>
      </x:c>
      <x:c r="BM185" s="12" t="n">
        <x:v>0</x:v>
      </x:c>
      <x:c r="BN185" s="12" t="n">
        <x:v>345.7911984077521</x:v>
      </x:c>
      <x:c r="BO185" s="12" t="n">
        <x:v>367.7549707484771</x:v>
      </x:c>
      <x:c r="BP185" s="12" t="n">
        <x:v>991.3482680283871</x:v>
      </x:c>
      <x:c r="BQ185" s="12" t="n">
        <x:v>-9.216520777628114</x:v>
      </x:c>
      <x:c r="BR185" s="12" t="n">
        <x:v>1695.6779164069883</x:v>
      </x:c>
      <x:c r="BS185" s="12" t="n">
        <x:v>0.0163576038647343</x:v>
      </x:c>
    </x:row>
    <x:row r="186" ht="21" customHeight="1">
      <x:c r="A186" s="14" t="n">
        <x:v>45659.760416666664</x:v>
      </x:c>
      <x:c r="B186" s="14" t="n">
        <x:v>45659.770833333336</x:v>
      </x:c>
      <x:c r="C186" s="14" t="n">
        <x:v>45659.84375</x:v>
      </x:c>
      <x:c r="D186" s="15" t="n">
        <x:v>45659</x:v>
      </x:c>
      <x:c r="E186" s="12" t="n">
        <x:v>0.25</x:v>
      </x:c>
      <x:c r="F186" s="12" t="str">
        <x:v>FORMAL</x:v>
      </x:c>
      <x:c r="G186" s="14" t="n">
        <x:v>45659.75</x:v>
      </x:c>
      <x:c r="H186" s="12" t="n">
        <x:v>159.64</x:v>
      </x:c>
      <x:c r="I186" s="12" t="str">
        <x:v>2025-01-02_20</x:v>
      </x:c>
      <x:c r="J186" s="12" t="n">
        <x:v>60</x:v>
      </x:c>
      <x:c r="K186" s="12" t="str">
        <x:v>DA_2025-01-02@4f6782768649</x:v>
      </x:c>
      <x:c r="L186" s="15" t="n">
        <x:v>45657</x:v>
      </x:c>
      <x:c r="M186" s="12" t="n">
        <x:v>4.9741</x:v>
      </x:c>
      <x:c r="N186" s="12" t="str">
        <x:v>BNR2024_BOUNDARY@c4397e7f9c31</x:v>
      </x:c>
      <x:c r="O186" s="12"/>
      <x:c r="P186" s="12"/>
      <x:c r="Q186" s="12"/>
      <x:c r="R186" s="12"/>
      <x:c r="S186" s="12" t="str">
        <x:v>OUT_OF_RESEARCH_COVERAGE_PRE_2025_06</x:v>
      </x:c>
      <x:c r="T186" s="12" t="n">
        <x:v>200</x:v>
      </x:c>
      <x:c r="U186" s="12" t="str">
        <x:v>aFRRUp_2025-01-02T18:00:00Z</x:v>
      </x:c>
      <x:c r="V186" s="12" t="str">
        <x:v>tenderStatistics_2025-01@c14c9dea784d</x:v>
      </x:c>
      <x:c r="W186" s="12" t="n">
        <x:v>13.831647936310086</x:v>
      </x:c>
      <x:c r="X186" s="12" t="str">
        <x:v>PUBLISHED_PROXY</x:v>
      </x:c>
      <x:c r="Y186" s="12" t="n">
        <x:v>200</x:v>
      </x:c>
      <x:c r="Z186" s="12" t="str">
        <x:v>aFRRDown_2025-01-02T18:00:00Z</x:v>
      </x:c>
      <x:c r="AA186" s="12" t="str">
        <x:v>tenderStatistics_2025-01@c14c9dea784d</x:v>
      </x:c>
      <x:c r="AB186" s="12" t="n">
        <x:v>14.710198829939085</x:v>
      </x:c>
      <x:c r="AC186" s="12" t="str">
        <x:v>PUBLISHED_PROXY</x:v>
      </x:c>
      <x:c r="AD186" s="12"/>
      <x:c r="AE186" s="12" t="str">
        <x:v>SOURCE_NULL_NOT_MODELED</x:v>
      </x:c>
      <x:c r="AF186" s="12"/>
      <x:c r="AG186" s="12" t="n">
        <x:v>162.63685892925352</x:v>
      </x:c>
      <x:c r="AH186" s="12" t="str">
        <x:v>PUBLISHED_PROXY</x:v>
      </x:c>
      <x:c r="AI186" s="12" t="n">
        <x:v>8.025</x:v>
      </x:c>
      <x:c r="AJ186" s="12" t="n">
        <x:v>0</x:v>
      </x:c>
      <x:c r="AK186" s="12" t="str">
        <x:v>PUBLISHED_PROXY</x:v>
      </x:c>
      <x:c r="AL186" s="12" t="n">
        <x:v>0</x:v>
      </x:c>
      <x:c r="AM186" s="12" t="str">
        <x:v>marginalPricesOverview_2025-01@5b9daf9d82d7</x:v>
      </x:c>
      <x:c r="AN186" s="12" t="str">
        <x:v>activatedBalancingEnergyOverview_2025-01@4135ac664b2a</x:v>
      </x:c>
      <x:c r="AO186" s="12" t="str">
        <x:v>PUBLISHED_NATIVE</x:v>
      </x:c>
      <x:c r="AP186" s="12" t="n">
        <x:v>0.1605</x:v>
      </x:c>
      <x:c r="AQ186" s="12" t="n">
        <x:v>0</x:v>
      </x:c>
      <x:c r="AR186" s="12" t="n">
        <x:v>0.1605</x:v>
      </x:c>
      <x:c r="AS186" s="13" t="b">
        <x:v>1</x:v>
      </x:c>
      <x:c r="AT186" s="13" t="b">
        <x:v>1</x:v>
      </x:c>
      <x:c r="AU186" s="13" t="b">
        <x:v>1</x:v>
      </x:c>
      <x:c r="AV186" s="13" t="b">
        <x:v>1</x:v>
      </x:c>
      <x:c r="AW186" s="13" t="b">
        <x:v>1</x:v>
      </x:c>
      <x:c r="AX186" s="13" t="b">
        <x:v>0</x:v>
      </x:c>
      <x:c r="AY186" s="13" t="b">
        <x:v>0</x:v>
      </x:c>
      <x:c r="AZ186" s="13" t="b">
        <x:v>1</x:v>
      </x:c>
      <x:c r="BA186" s="12" t="str">
        <x:v>OK</x:v>
      </x:c>
      <x:c r="BB186" s="12" t="str">
        <x:v>OK</x:v>
      </x:c>
      <x:c r="BC186" s="12" t="str">
        <x:v>EUR</x:v>
      </x:c>
      <x:c r="BD186" s="12" t="n">
        <x:v>32.84638382608651</x:v>
      </x:c>
      <x:c r="BE186" s="12" t="n">
        <x:v>28.484970782608247</x:v>
      </x:c>
      <x:c r="BF186" s="12" t="n">
        <x:v>0</x:v>
      </x:c>
      <x:c r="BG186" s="12" t="n">
        <x:v>0</x:v>
      </x:c>
      <x:c r="BH186" s="12" t="n">
        <x:v>100</x:v>
      </x:c>
      <x:c r="BI186" s="12" t="n">
        <x:v>100</x:v>
      </x:c>
      <x:c r="BJ186" s="12" t="n">
        <x:v>4.0125</x:v>
      </x:c>
      <x:c r="BK186" s="12" t="n">
        <x:v>0</x:v>
      </x:c>
      <x:c r="BL186" s="12" t="n">
        <x:v>0</x:v>
      </x:c>
      <x:c r="BM186" s="12" t="n">
        <x:v>0</x:v>
      </x:c>
      <x:c r="BN186" s="12" t="n">
        <x:v>345.7911984077521</x:v>
      </x:c>
      <x:c r="BO186" s="12" t="n">
        <x:v>367.7549707484771</x:v>
      </x:c>
      <x:c r="BP186" s="12" t="n">
        <x:v>652.5803964536298</x:v>
      </x:c>
      <x:c r="BQ186" s="12" t="n">
        <x:v>0</x:v>
      </x:c>
      <x:c r="BR186" s="12" t="n">
        <x:v>1366.126565609859</x:v>
      </x:c>
      <x:c r="BS186" s="12" t="n">
        <x:v>0.012115036231884058</x:v>
      </x:c>
    </x:row>
    <x:row r="187" ht="21" customHeight="1">
      <x:c r="A187" s="14" t="n">
        <x:v>45659.770833333336</x:v>
      </x:c>
      <x:c r="B187" s="14" t="n">
        <x:v>45659.78125</x:v>
      </x:c>
      <x:c r="C187" s="14" t="n">
        <x:v>45659.854166666664</x:v>
      </x:c>
      <x:c r="D187" s="15" t="n">
        <x:v>45659</x:v>
      </x:c>
      <x:c r="E187" s="12" t="n">
        <x:v>0.25</x:v>
      </x:c>
      <x:c r="F187" s="12" t="str">
        <x:v>FORMAL</x:v>
      </x:c>
      <x:c r="G187" s="14" t="n">
        <x:v>45659.75</x:v>
      </x:c>
      <x:c r="H187" s="12" t="n">
        <x:v>159.64</x:v>
      </x:c>
      <x:c r="I187" s="12" t="str">
        <x:v>2025-01-02_20</x:v>
      </x:c>
      <x:c r="J187" s="12" t="n">
        <x:v>60</x:v>
      </x:c>
      <x:c r="K187" s="12" t="str">
        <x:v>DA_2025-01-02@4f6782768649</x:v>
      </x:c>
      <x:c r="L187" s="15" t="n">
        <x:v>45657</x:v>
      </x:c>
      <x:c r="M187" s="12" t="n">
        <x:v>4.9741</x:v>
      </x:c>
      <x:c r="N187" s="12" t="str">
        <x:v>BNR2024_BOUNDARY@c4397e7f9c31</x:v>
      </x:c>
      <x:c r="O187" s="12"/>
      <x:c r="P187" s="12"/>
      <x:c r="Q187" s="12"/>
      <x:c r="R187" s="12"/>
      <x:c r="S187" s="12" t="str">
        <x:v>OUT_OF_RESEARCH_COVERAGE_PRE_2025_06</x:v>
      </x:c>
      <x:c r="T187" s="12" t="n">
        <x:v>200</x:v>
      </x:c>
      <x:c r="U187" s="12" t="str">
        <x:v>aFRRUp_2025-01-02T18:00:00Z</x:v>
      </x:c>
      <x:c r="V187" s="12" t="str">
        <x:v>tenderStatistics_2025-01@c14c9dea784d</x:v>
      </x:c>
      <x:c r="W187" s="12" t="n">
        <x:v>13.831647936310086</x:v>
      </x:c>
      <x:c r="X187" s="12" t="str">
        <x:v>PUBLISHED_PROXY</x:v>
      </x:c>
      <x:c r="Y187" s="12" t="n">
        <x:v>200</x:v>
      </x:c>
      <x:c r="Z187" s="12" t="str">
        <x:v>aFRRDown_2025-01-02T18:00:00Z</x:v>
      </x:c>
      <x:c r="AA187" s="12" t="str">
        <x:v>tenderStatistics_2025-01@c14c9dea784d</x:v>
      </x:c>
      <x:c r="AB187" s="12" t="n">
        <x:v>14.710198829939085</x:v>
      </x:c>
      <x:c r="AC187" s="12" t="str">
        <x:v>PUBLISHED_PROXY</x:v>
      </x:c>
      <x:c r="AD187" s="12"/>
      <x:c r="AE187" s="12" t="str">
        <x:v>SOURCE_NULL_NOT_MODELED</x:v>
      </x:c>
      <x:c r="AF187" s="12"/>
      <x:c r="AG187" s="12" t="n">
        <x:v>156.78233248225808</x:v>
      </x:c>
      <x:c r="AH187" s="12" t="str">
        <x:v>PUBLISHED_PROXY</x:v>
      </x:c>
      <x:c r="AI187" s="12" t="n">
        <x:v>5.925</x:v>
      </x:c>
      <x:c r="AJ187" s="12" t="n">
        <x:v>0</x:v>
      </x:c>
      <x:c r="AK187" s="12" t="str">
        <x:v>PUBLISHED_PROXY</x:v>
      </x:c>
      <x:c r="AL187" s="12" t="n">
        <x:v>0</x:v>
      </x:c>
      <x:c r="AM187" s="12" t="str">
        <x:v>marginalPricesOverview_2025-01@5b9daf9d82d7</x:v>
      </x:c>
      <x:c r="AN187" s="12" t="str">
        <x:v>activatedBalancingEnergyOverview_2025-01@4135ac664b2a</x:v>
      </x:c>
      <x:c r="AO187" s="12" t="str">
        <x:v>PUBLISHED_NATIVE</x:v>
      </x:c>
      <x:c r="AP187" s="12" t="n">
        <x:v>0.1185</x:v>
      </x:c>
      <x:c r="AQ187" s="12" t="n">
        <x:v>0</x:v>
      </x:c>
      <x:c r="AR187" s="12" t="n">
        <x:v>0.1185</x:v>
      </x:c>
      <x:c r="AS187" s="13" t="b">
        <x:v>1</x:v>
      </x:c>
      <x:c r="AT187" s="13" t="b">
        <x:v>1</x:v>
      </x:c>
      <x:c r="AU187" s="13" t="b">
        <x:v>1</x:v>
      </x:c>
      <x:c r="AV187" s="13" t="b">
        <x:v>1</x:v>
      </x:c>
      <x:c r="AW187" s="13" t="b">
        <x:v>1</x:v>
      </x:c>
      <x:c r="AX187" s="13" t="b">
        <x:v>0</x:v>
      </x:c>
      <x:c r="AY187" s="13" t="b">
        <x:v>0</x:v>
      </x:c>
      <x:c r="AZ187" s="13" t="b">
        <x:v>1</x:v>
      </x:c>
      <x:c r="BA187" s="12" t="str">
        <x:v>OK</x:v>
      </x:c>
      <x:c r="BB187" s="12" t="str">
        <x:v>OK</x:v>
      </x:c>
      <x:c r="BC187" s="12" t="str">
        <x:v>EUR</x:v>
      </x:c>
      <x:c r="BD187" s="12" t="n">
        <x:v>28.484970782608247</x:v>
      </x:c>
      <x:c r="BE187" s="12" t="n">
        <x:v>25.26486208695607</x:v>
      </x:c>
      <x:c r="BF187" s="12" t="n">
        <x:v>0</x:v>
      </x:c>
      <x:c r="BG187" s="12" t="n">
        <x:v>0</x:v>
      </x:c>
      <x:c r="BH187" s="12" t="n">
        <x:v>100</x:v>
      </x:c>
      <x:c r="BI187" s="12" t="n">
        <x:v>100</x:v>
      </x:c>
      <x:c r="BJ187" s="12" t="n">
        <x:v>2.9625</x:v>
      </x:c>
      <x:c r="BK187" s="12" t="n">
        <x:v>0</x:v>
      </x:c>
      <x:c r="BL187" s="12" t="n">
        <x:v>0</x:v>
      </x:c>
      <x:c r="BM187" s="12" t="n">
        <x:v>0</x:v>
      </x:c>
      <x:c r="BN187" s="12" t="n">
        <x:v>345.7911984077521</x:v>
      </x:c>
      <x:c r="BO187" s="12" t="n">
        <x:v>367.7549707484771</x:v>
      </x:c>
      <x:c r="BP187" s="12" t="n">
        <x:v>464.46765997868954</x:v>
      </x:c>
      <x:c r="BQ187" s="12" t="n">
        <x:v>0</x:v>
      </x:c>
      <x:c r="BR187" s="12" t="n">
        <x:v>1178.0138291349188</x:v>
      </x:c>
      <x:c r="BS187" s="12" t="n">
        <x:v>0.008944746376811594</x:v>
      </x:c>
    </x:row>
    <x:row r="188" ht="21" customHeight="1">
      <x:c r="A188" s="14" t="n">
        <x:v>45659.78125</x:v>
      </x:c>
      <x:c r="B188" s="14" t="n">
        <x:v>45659.791666666664</x:v>
      </x:c>
      <x:c r="C188" s="14" t="n">
        <x:v>45659.864583333336</x:v>
      </x:c>
      <x:c r="D188" s="15" t="n">
        <x:v>45659</x:v>
      </x:c>
      <x:c r="E188" s="12" t="n">
        <x:v>0.25</x:v>
      </x:c>
      <x:c r="F188" s="12" t="str">
        <x:v>FORMAL</x:v>
      </x:c>
      <x:c r="G188" s="14" t="n">
        <x:v>45659.75</x:v>
      </x:c>
      <x:c r="H188" s="12" t="n">
        <x:v>159.64</x:v>
      </x:c>
      <x:c r="I188" s="12" t="str">
        <x:v>2025-01-02_20</x:v>
      </x:c>
      <x:c r="J188" s="12" t="n">
        <x:v>60</x:v>
      </x:c>
      <x:c r="K188" s="12" t="str">
        <x:v>DA_2025-01-02@4f6782768649</x:v>
      </x:c>
      <x:c r="L188" s="15" t="n">
        <x:v>45657</x:v>
      </x:c>
      <x:c r="M188" s="12" t="n">
        <x:v>4.9741</x:v>
      </x:c>
      <x:c r="N188" s="12" t="str">
        <x:v>BNR2024_BOUNDARY@c4397e7f9c31</x:v>
      </x:c>
      <x:c r="O188" s="12"/>
      <x:c r="P188" s="12"/>
      <x:c r="Q188" s="12"/>
      <x:c r="R188" s="12"/>
      <x:c r="S188" s="12" t="str">
        <x:v>OUT_OF_RESEARCH_COVERAGE_PRE_2025_06</x:v>
      </x:c>
      <x:c r="T188" s="12" t="n">
        <x:v>200</x:v>
      </x:c>
      <x:c r="U188" s="12" t="str">
        <x:v>aFRRUp_2025-01-02T18:00:00Z</x:v>
      </x:c>
      <x:c r="V188" s="12" t="str">
        <x:v>tenderStatistics_2025-01@c14c9dea784d</x:v>
      </x:c>
      <x:c r="W188" s="12" t="n">
        <x:v>13.831647936310086</x:v>
      </x:c>
      <x:c r="X188" s="12" t="str">
        <x:v>PUBLISHED_PROXY</x:v>
      </x:c>
      <x:c r="Y188" s="12" t="n">
        <x:v>200</x:v>
      </x:c>
      <x:c r="Z188" s="12" t="str">
        <x:v>aFRRDown_2025-01-02T18:00:00Z</x:v>
      </x:c>
      <x:c r="AA188" s="12" t="str">
        <x:v>tenderStatistics_2025-01@c14c9dea784d</x:v>
      </x:c>
      <x:c r="AB188" s="12" t="n">
        <x:v>14.710198829939085</x:v>
      </x:c>
      <x:c r="AC188" s="12" t="str">
        <x:v>PUBLISHED_PROXY</x:v>
      </x:c>
      <x:c r="AD188" s="12"/>
      <x:c r="AE188" s="12" t="str">
        <x:v>SOURCE_NULL_NOT_MODELED</x:v>
      </x:c>
      <x:c r="AF188" s="12"/>
      <x:c r="AG188" s="12" t="n">
        <x:v>183.02708027582878</x:v>
      </x:c>
      <x:c r="AH188" s="12" t="str">
        <x:v>PUBLISHED_PROXY</x:v>
      </x:c>
      <x:c r="AI188" s="12" t="n">
        <x:v>8.067</x:v>
      </x:c>
      <x:c r="AJ188" s="12" t="n">
        <x:v>0</x:v>
      </x:c>
      <x:c r="AK188" s="12" t="str">
        <x:v>PUBLISHED_PROXY</x:v>
      </x:c>
      <x:c r="AL188" s="12" t="n">
        <x:v>0</x:v>
      </x:c>
      <x:c r="AM188" s="12" t="str">
        <x:v>marginalPricesOverview_2025-01@5b9daf9d82d7</x:v>
      </x:c>
      <x:c r="AN188" s="12" t="str">
        <x:v>activatedBalancingEnergyOverview_2025-01@4135ac664b2a</x:v>
      </x:c>
      <x:c r="AO188" s="12" t="str">
        <x:v>PUBLISHED_NATIVE</x:v>
      </x:c>
      <x:c r="AP188" s="12" t="n">
        <x:v>0.16134</x:v>
      </x:c>
      <x:c r="AQ188" s="12" t="n">
        <x:v>0</x:v>
      </x:c>
      <x:c r="AR188" s="12" t="n">
        <x:v>0.16134</x:v>
      </x:c>
      <x:c r="AS188" s="13" t="b">
        <x:v>1</x:v>
      </x:c>
      <x:c r="AT188" s="13" t="b">
        <x:v>1</x:v>
      </x:c>
      <x:c r="AU188" s="13" t="b">
        <x:v>1</x:v>
      </x:c>
      <x:c r="AV188" s="13" t="b">
        <x:v>1</x:v>
      </x:c>
      <x:c r="AW188" s="13" t="b">
        <x:v>1</x:v>
      </x:c>
      <x:c r="AX188" s="13" t="b">
        <x:v>0</x:v>
      </x:c>
      <x:c r="AY188" s="13" t="b">
        <x:v>0</x:v>
      </x:c>
      <x:c r="AZ188" s="13" t="b">
        <x:v>1</x:v>
      </x:c>
      <x:c r="BA188" s="12" t="str">
        <x:v>OK</x:v>
      </x:c>
      <x:c r="BB188" s="12" t="str">
        <x:v>OK</x:v>
      </x:c>
      <x:c r="BC188" s="12" t="str">
        <x:v>EUR</x:v>
      </x:c>
      <x:c r="BD188" s="12" t="n">
        <x:v>25.26486208695607</x:v>
      </x:c>
      <x:c r="BE188" s="12" t="n">
        <x:v>20.88062295652129</x:v>
      </x:c>
      <x:c r="BF188" s="12" t="n">
        <x:v>0</x:v>
      </x:c>
      <x:c r="BG188" s="12" t="n">
        <x:v>0</x:v>
      </x:c>
      <x:c r="BH188" s="12" t="n">
        <x:v>100</x:v>
      </x:c>
      <x:c r="BI188" s="12" t="n">
        <x:v>100</x:v>
      </x:c>
      <x:c r="BJ188" s="12" t="n">
        <x:v>4.0335</x:v>
      </x:c>
      <x:c r="BK188" s="12" t="n">
        <x:v>0</x:v>
      </x:c>
      <x:c r="BL188" s="12" t="n">
        <x:v>0</x:v>
      </x:c>
      <x:c r="BM188" s="12" t="n">
        <x:v>0</x:v>
      </x:c>
      <x:c r="BN188" s="12" t="n">
        <x:v>345.7911984077521</x:v>
      </x:c>
      <x:c r="BO188" s="12" t="n">
        <x:v>367.7549707484771</x:v>
      </x:c>
      <x:c r="BP188" s="12" t="n">
        <x:v>738.2397282925554</x:v>
      </x:c>
      <x:c r="BQ188" s="12" t="n">
        <x:v>0</x:v>
      </x:c>
      <x:c r="BR188" s="12" t="n">
        <x:v>1451.7858974487845</x:v>
      </x:c>
      <x:c r="BS188" s="12" t="n">
        <x:v>0.012178442028985506</x:v>
      </x:c>
    </x:row>
    <x:row r="189" ht="21" customHeight="1">
      <x:c r="A189" s="14" t="n">
        <x:v>45659.791666666664</x:v>
      </x:c>
      <x:c r="B189" s="14" t="n">
        <x:v>45659.802083333336</x:v>
      </x:c>
      <x:c r="C189" s="14" t="n">
        <x:v>45659.875</x:v>
      </x:c>
      <x:c r="D189" s="15" t="n">
        <x:v>45659</x:v>
      </x:c>
      <x:c r="E189" s="12" t="n">
        <x:v>0.25</x:v>
      </x:c>
      <x:c r="F189" s="12" t="str">
        <x:v>FORMAL</x:v>
      </x:c>
      <x:c r="G189" s="14" t="n">
        <x:v>45659.791666666664</x:v>
      </x:c>
      <x:c r="H189" s="12" t="n">
        <x:v>131.19</x:v>
      </x:c>
      <x:c r="I189" s="12" t="str">
        <x:v>2025-01-02_21</x:v>
      </x:c>
      <x:c r="J189" s="12" t="n">
        <x:v>60</x:v>
      </x:c>
      <x:c r="K189" s="12" t="str">
        <x:v>DA_2025-01-02@4f6782768649</x:v>
      </x:c>
      <x:c r="L189" s="15" t="n">
        <x:v>45657</x:v>
      </x:c>
      <x:c r="M189" s="12" t="n">
        <x:v>4.9741</x:v>
      </x:c>
      <x:c r="N189" s="12" t="str">
        <x:v>BNR2024_BOUNDARY@c4397e7f9c31</x:v>
      </x:c>
      <x:c r="O189" s="12"/>
      <x:c r="P189" s="12"/>
      <x:c r="Q189" s="12"/>
      <x:c r="R189" s="12"/>
      <x:c r="S189" s="12" t="str">
        <x:v>OUT_OF_RESEARCH_COVERAGE_PRE_2025_06</x:v>
      </x:c>
      <x:c r="T189" s="12" t="n">
        <x:v>200</x:v>
      </x:c>
      <x:c r="U189" s="12" t="str">
        <x:v>aFRRUp_2025-01-02T19:00:00Z</x:v>
      </x:c>
      <x:c r="V189" s="12" t="str">
        <x:v>tenderStatistics_2025-01@c14c9dea784d</x:v>
      </x:c>
      <x:c r="W189" s="12" t="n">
        <x:v>13.831647936310086</x:v>
      </x:c>
      <x:c r="X189" s="12" t="str">
        <x:v>PUBLISHED_PROXY</x:v>
      </x:c>
      <x:c r="Y189" s="12" t="n">
        <x:v>200</x:v>
      </x:c>
      <x:c r="Z189" s="12" t="str">
        <x:v>aFRRDown_2025-01-02T19:00:00Z</x:v>
      </x:c>
      <x:c r="AA189" s="12" t="str">
        <x:v>tenderStatistics_2025-01@c14c9dea784d</x:v>
      </x:c>
      <x:c r="AB189" s="12" t="n">
        <x:v>14.710198829939085</x:v>
      </x:c>
      <x:c r="AC189" s="12" t="str">
        <x:v>PUBLISHED_PROXY</x:v>
      </x:c>
      <x:c r="AD189" s="12"/>
      <x:c r="AE189" s="12" t="str">
        <x:v>SOURCE_NULL_NOT_MODELED</x:v>
      </x:c>
      <x:c r="AF189" s="12"/>
      <x:c r="AG189" s="12" t="n">
        <x:v>172.98606783136648</x:v>
      </x:c>
      <x:c r="AH189" s="12" t="str">
        <x:v>PUBLISHED_PROXY</x:v>
      </x:c>
      <x:c r="AI189" s="12" t="n">
        <x:v>3.572</x:v>
      </x:c>
      <x:c r="AJ189" s="12" t="n">
        <x:v>27.437928469471867</x:v>
      </x:c>
      <x:c r="AK189" s="12" t="str">
        <x:v>PUBLISHED_PROXY</x:v>
      </x:c>
      <x:c r="AL189" s="12" t="n">
        <x:v>1.32</x:v>
      </x:c>
      <x:c r="AM189" s="12" t="str">
        <x:v>marginalPricesOverview_2025-01@5b9daf9d82d7</x:v>
      </x:c>
      <x:c r="AN189" s="12" t="str">
        <x:v>activatedBalancingEnergyOverview_2025-01@4135ac664b2a</x:v>
      </x:c>
      <x:c r="AO189" s="12" t="str">
        <x:v>PUBLISHED_NATIVE</x:v>
      </x:c>
      <x:c r="AP189" s="12" t="n">
        <x:v>0.07144</x:v>
      </x:c>
      <x:c r="AQ189" s="12" t="n">
        <x:v>0.0264</x:v>
      </x:c>
      <x:c r="AR189" s="12" t="n">
        <x:v>0.09784</x:v>
      </x:c>
      <x:c r="AS189" s="13" t="b">
        <x:v>1</x:v>
      </x:c>
      <x:c r="AT189" s="13" t="b">
        <x:v>1</x:v>
      </x:c>
      <x:c r="AU189" s="13" t="b">
        <x:v>1</x:v>
      </x:c>
      <x:c r="AV189" s="13" t="b">
        <x:v>1</x:v>
      </x:c>
      <x:c r="AW189" s="13" t="b">
        <x:v>1</x:v>
      </x:c>
      <x:c r="AX189" s="13" t="b">
        <x:v>0</x:v>
      </x:c>
      <x:c r="AY189" s="13" t="b">
        <x:v>0</x:v>
      </x:c>
      <x:c r="AZ189" s="13" t="b">
        <x:v>1</x:v>
      </x:c>
      <x:c r="BA189" s="12" t="str">
        <x:v>OK</x:v>
      </x:c>
      <x:c r="BB189" s="12" t="str">
        <x:v>OK</x:v>
      </x:c>
      <x:c r="BC189" s="12" t="str">
        <x:v>EUR</x:v>
      </x:c>
      <x:c r="BD189" s="12" t="n">
        <x:v>20.88062295652129</x:v>
      </x:c>
      <x:c r="BE189" s="12" t="n">
        <x:v>9.999999999997465</x:v>
      </x:c>
      <x:c r="BF189" s="12" t="n">
        <x:v>38.0000000000077</x:v>
      </x:c>
      <x:c r="BG189" s="12" t="n">
        <x:v>0</x:v>
      </x:c>
      <x:c r="BH189" s="12" t="n">
        <x:v>62</x:v>
      </x:c>
      <x:c r="BI189" s="12" t="n">
        <x:v>100</x:v>
      </x:c>
      <x:c r="BJ189" s="12" t="n">
        <x:v>1.10732</x:v>
      </x:c>
      <x:c r="BK189" s="12" t="n">
        <x:v>0.66</x:v>
      </x:c>
      <x:c r="BL189" s="12" t="n">
        <x:v>1246.3050000002527</x:v>
      </x:c>
      <x:c r="BM189" s="12" t="n">
        <x:v>0</x:v>
      </x:c>
      <x:c r="BN189" s="12" t="n">
        <x:v>214.39054301280632</x:v>
      </x:c>
      <x:c r="BO189" s="12" t="n">
        <x:v>367.7549707484771</x:v>
      </x:c>
      <x:c r="BP189" s="12" t="n">
        <x:v>191.55093263102876</x:v>
      </x:c>
      <x:c r="BQ189" s="12" t="n">
        <x:v>-18.109032789851433</x:v>
      </x:c>
      <x:c r="BR189" s="12" t="n">
        <x:v>2001.8924136027133</x:v>
      </x:c>
      <x:c r="BS189" s="12" t="n">
        <x:v>0.03231541932367703</x:v>
      </x:c>
    </x:row>
    <x:row r="190" ht="21" customHeight="1">
      <x:c r="A190" s="14" t="n">
        <x:v>45659.802083333336</x:v>
      </x:c>
      <x:c r="B190" s="14" t="n">
        <x:v>45659.8125</x:v>
      </x:c>
      <x:c r="C190" s="14" t="n">
        <x:v>45659.885416666664</x:v>
      </x:c>
      <x:c r="D190" s="15" t="n">
        <x:v>45659</x:v>
      </x:c>
      <x:c r="E190" s="12" t="n">
        <x:v>0.25</x:v>
      </x:c>
      <x:c r="F190" s="12" t="str">
        <x:v>FORMAL</x:v>
      </x:c>
      <x:c r="G190" s="14" t="n">
        <x:v>45659.791666666664</x:v>
      </x:c>
      <x:c r="H190" s="12" t="n">
        <x:v>131.19</x:v>
      </x:c>
      <x:c r="I190" s="12" t="str">
        <x:v>2025-01-02_21</x:v>
      </x:c>
      <x:c r="J190" s="12" t="n">
        <x:v>60</x:v>
      </x:c>
      <x:c r="K190" s="12" t="str">
        <x:v>DA_2025-01-02@4f6782768649</x:v>
      </x:c>
      <x:c r="L190" s="15" t="n">
        <x:v>45657</x:v>
      </x:c>
      <x:c r="M190" s="12" t="n">
        <x:v>4.9741</x:v>
      </x:c>
      <x:c r="N190" s="12" t="str">
        <x:v>BNR2024_BOUNDARY@c4397e7f9c31</x:v>
      </x:c>
      <x:c r="O190" s="12"/>
      <x:c r="P190" s="12"/>
      <x:c r="Q190" s="12"/>
      <x:c r="R190" s="12"/>
      <x:c r="S190" s="12" t="str">
        <x:v>OUT_OF_RESEARCH_COVERAGE_PRE_2025_06</x:v>
      </x:c>
      <x:c r="T190" s="12" t="n">
        <x:v>200</x:v>
      </x:c>
      <x:c r="U190" s="12" t="str">
        <x:v>aFRRUp_2025-01-02T19:00:00Z</x:v>
      </x:c>
      <x:c r="V190" s="12" t="str">
        <x:v>tenderStatistics_2025-01@c14c9dea784d</x:v>
      </x:c>
      <x:c r="W190" s="12" t="n">
        <x:v>13.831647936310086</x:v>
      </x:c>
      <x:c r="X190" s="12" t="str">
        <x:v>PUBLISHED_PROXY</x:v>
      </x:c>
      <x:c r="Y190" s="12" t="n">
        <x:v>200</x:v>
      </x:c>
      <x:c r="Z190" s="12" t="str">
        <x:v>aFRRDown_2025-01-02T19:00:00Z</x:v>
      </x:c>
      <x:c r="AA190" s="12" t="str">
        <x:v>tenderStatistics_2025-01@c14c9dea784d</x:v>
      </x:c>
      <x:c r="AB190" s="12" t="n">
        <x:v>14.710198829939085</x:v>
      </x:c>
      <x:c r="AC190" s="12" t="str">
        <x:v>PUBLISHED_PROXY</x:v>
      </x:c>
      <x:c r="AD190" s="12"/>
      <x:c r="AE190" s="12" t="str">
        <x:v>SOURCE_NULL_NOT_MODELED</x:v>
      </x:c>
      <x:c r="AF190" s="12"/>
      <x:c r="AG190" s="12" t="n">
        <x:v>0</x:v>
      </x:c>
      <x:c r="AH190" s="12" t="str">
        <x:v>PUBLISHED_PROXY</x:v>
      </x:c>
      <x:c r="AI190" s="12" t="n">
        <x:v>0</x:v>
      </x:c>
      <x:c r="AJ190" s="12" t="n">
        <x:v>2.203011600088458</x:v>
      </x:c>
      <x:c r="AK190" s="12" t="str">
        <x:v>PUBLISHED_PROXY</x:v>
      </x:c>
      <x:c r="AL190" s="12" t="n">
        <x:v>22.302</x:v>
      </x:c>
      <x:c r="AM190" s="12" t="str">
        <x:v>marginalPricesOverview_2025-01@5b9daf9d82d7</x:v>
      </x:c>
      <x:c r="AN190" s="12" t="str">
        <x:v>activatedBalancingEnergyOverview_2025-01@4135ac664b2a</x:v>
      </x:c>
      <x:c r="AO190" s="12" t="str">
        <x:v>PUBLISHED_NATIVE</x:v>
      </x:c>
      <x:c r="AP190" s="12" t="n">
        <x:v>0</x:v>
      </x:c>
      <x:c r="AQ190" s="12" t="n">
        <x:v>0.44604</x:v>
      </x:c>
      <x:c r="AR190" s="12" t="n">
        <x:v>0.44604</x:v>
      </x:c>
      <x:c r="AS190" s="13" t="b">
        <x:v>1</x:v>
      </x:c>
      <x:c r="AT190" s="13" t="b">
        <x:v>1</x:v>
      </x:c>
      <x:c r="AU190" s="13" t="b">
        <x:v>1</x:v>
      </x:c>
      <x:c r="AV190" s="13" t="b">
        <x:v>1</x:v>
      </x:c>
      <x:c r="AW190" s="13" t="b">
        <x:v>1</x:v>
      </x:c>
      <x:c r="AX190" s="13" t="b">
        <x:v>0</x:v>
      </x:c>
      <x:c r="AY190" s="13" t="b">
        <x:v>0</x:v>
      </x:c>
      <x:c r="AZ190" s="13" t="b">
        <x:v>1</x:v>
      </x:c>
      <x:c r="BA190" s="12" t="str">
        <x:v>OK</x:v>
      </x:c>
      <x:c r="BB190" s="12" t="str">
        <x:v>OK</x:v>
      </x:c>
      <x:c r="BC190" s="12" t="str">
        <x:v>EUR</x:v>
      </x:c>
      <x:c r="BD190" s="12" t="n">
        <x:v>9.999999999997465</x:v>
      </x:c>
      <x:c r="BE190" s="12" t="n">
        <x:v>10.640291269560734</x:v>
      </x:c>
      <x:c r="BF190" s="12" t="n">
        <x:v>38.0000000000077</x:v>
      </x:c>
      <x:c r="BG190" s="12" t="n">
        <x:v>0</x:v>
      </x:c>
      <x:c r="BH190" s="12" t="n">
        <x:v>62</x:v>
      </x:c>
      <x:c r="BI190" s="12" t="n">
        <x:v>100</x:v>
      </x:c>
      <x:c r="BJ190" s="12" t="n">
        <x:v>0</x:v>
      </x:c>
      <x:c r="BK190" s="12" t="n">
        <x:v>11.151</x:v>
      </x:c>
      <x:c r="BL190" s="12" t="n">
        <x:v>1246.3050000002527</x:v>
      </x:c>
      <x:c r="BM190" s="12" t="n">
        <x:v>0</x:v>
      </x:c>
      <x:c r="BN190" s="12" t="n">
        <x:v>214.39054301280632</x:v>
      </x:c>
      <x:c r="BO190" s="12" t="n">
        <x:v>367.7549707484771</x:v>
      </x:c>
      <x:c r="BP190" s="12" t="n">
        <x:v>0</x:v>
      </x:c>
      <x:c r="BQ190" s="12" t="n">
        <x:v>-24.565782352586396</x:v>
      </x:c>
      <x:c r="BR190" s="12" t="n">
        <x:v>1803.8847314089496</x:v>
      </x:c>
      <x:c r="BS190" s="12" t="n">
        <x:v>0.03355769314009764</x:v>
      </x:c>
    </x:row>
    <x:row r="191" ht="21" customHeight="1">
      <x:c r="A191" s="14" t="n">
        <x:v>45659.8125</x:v>
      </x:c>
      <x:c r="B191" s="14" t="n">
        <x:v>45659.822916666664</x:v>
      </x:c>
      <x:c r="C191" s="14" t="n">
        <x:v>45659.895833333336</x:v>
      </x:c>
      <x:c r="D191" s="15" t="n">
        <x:v>45659</x:v>
      </x:c>
      <x:c r="E191" s="12" t="n">
        <x:v>0.25</x:v>
      </x:c>
      <x:c r="F191" s="12" t="str">
        <x:v>FORMAL</x:v>
      </x:c>
      <x:c r="G191" s="14" t="n">
        <x:v>45659.791666666664</x:v>
      </x:c>
      <x:c r="H191" s="12" t="n">
        <x:v>131.19</x:v>
      </x:c>
      <x:c r="I191" s="12" t="str">
        <x:v>2025-01-02_21</x:v>
      </x:c>
      <x:c r="J191" s="12" t="n">
        <x:v>60</x:v>
      </x:c>
      <x:c r="K191" s="12" t="str">
        <x:v>DA_2025-01-02@4f6782768649</x:v>
      </x:c>
      <x:c r="L191" s="15" t="n">
        <x:v>45657</x:v>
      </x:c>
      <x:c r="M191" s="12" t="n">
        <x:v>4.9741</x:v>
      </x:c>
      <x:c r="N191" s="12" t="str">
        <x:v>BNR2024_BOUNDARY@c4397e7f9c31</x:v>
      </x:c>
      <x:c r="O191" s="12"/>
      <x:c r="P191" s="12"/>
      <x:c r="Q191" s="12"/>
      <x:c r="R191" s="12"/>
      <x:c r="S191" s="12" t="str">
        <x:v>OUT_OF_RESEARCH_COVERAGE_PRE_2025_06</x:v>
      </x:c>
      <x:c r="T191" s="12" t="n">
        <x:v>200</x:v>
      </x:c>
      <x:c r="U191" s="12" t="str">
        <x:v>aFRRUp_2025-01-02T19:00:00Z</x:v>
      </x:c>
      <x:c r="V191" s="12" t="str">
        <x:v>tenderStatistics_2025-01@c14c9dea784d</x:v>
      </x:c>
      <x:c r="W191" s="12" t="n">
        <x:v>13.831647936310086</x:v>
      </x:c>
      <x:c r="X191" s="12" t="str">
        <x:v>PUBLISHED_PROXY</x:v>
      </x:c>
      <x:c r="Y191" s="12" t="n">
        <x:v>200</x:v>
      </x:c>
      <x:c r="Z191" s="12" t="str">
        <x:v>aFRRDown_2025-01-02T19:00:00Z</x:v>
      </x:c>
      <x:c r="AA191" s="12" t="str">
        <x:v>tenderStatistics_2025-01@c14c9dea784d</x:v>
      </x:c>
      <x:c r="AB191" s="12" t="n">
        <x:v>14.710198829939085</x:v>
      </x:c>
      <x:c r="AC191" s="12" t="str">
        <x:v>PUBLISHED_PROXY</x:v>
      </x:c>
      <x:c r="AD191" s="12"/>
      <x:c r="AE191" s="12" t="str">
        <x:v>SOURCE_NULL_NOT_MODELED</x:v>
      </x:c>
      <x:c r="AF191" s="12"/>
      <x:c r="AG191" s="12" t="n">
        <x:v>0</x:v>
      </x:c>
      <x:c r="AH191" s="12" t="str">
        <x:v>PUBLISHED_PROXY</x:v>
      </x:c>
      <x:c r="AI191" s="12" t="n">
        <x:v>0</x:v>
      </x:c>
      <x:c r="AJ191" s="12" t="n">
        <x:v>-100.98228825315132</x:v>
      </x:c>
      <x:c r="AK191" s="12" t="str">
        <x:v>PUBLISHED_PROXY</x:v>
      </x:c>
      <x:c r="AL191" s="12" t="n">
        <x:v>29.687</x:v>
      </x:c>
      <x:c r="AM191" s="12" t="str">
        <x:v>marginalPricesOverview_2025-01@5b9daf9d82d7</x:v>
      </x:c>
      <x:c r="AN191" s="12" t="str">
        <x:v>activatedBalancingEnergyOverview_2025-01@4135ac664b2a</x:v>
      </x:c>
      <x:c r="AO191" s="12" t="str">
        <x:v>PUBLISHED_NATIVE</x:v>
      </x:c>
      <x:c r="AP191" s="12" t="n">
        <x:v>0</x:v>
      </x:c>
      <x:c r="AQ191" s="12" t="n">
        <x:v>0.59374</x:v>
      </x:c>
      <x:c r="AR191" s="12" t="n">
        <x:v>0.59374</x:v>
      </x:c>
      <x:c r="AS191" s="13" t="b">
        <x:v>1</x:v>
      </x:c>
      <x:c r="AT191" s="13" t="b">
        <x:v>1</x:v>
      </x:c>
      <x:c r="AU191" s="13" t="b">
        <x:v>1</x:v>
      </x:c>
      <x:c r="AV191" s="13" t="b">
        <x:v>1</x:v>
      </x:c>
      <x:c r="AW191" s="13" t="b">
        <x:v>1</x:v>
      </x:c>
      <x:c r="AX191" s="13" t="b">
        <x:v>0</x:v>
      </x:c>
      <x:c r="AY191" s="13" t="b">
        <x:v>0</x:v>
      </x:c>
      <x:c r="AZ191" s="13" t="b">
        <x:v>1</x:v>
      </x:c>
      <x:c r="BA191" s="12" t="str">
        <x:v>OK</x:v>
      </x:c>
      <x:c r="BB191" s="12" t="str">
        <x:v>OK</x:v>
      </x:c>
      <x:c r="BC191" s="12" t="str">
        <x:v>EUR</x:v>
      </x:c>
      <x:c r="BD191" s="12" t="n">
        <x:v>10.640291269560734</x:v>
      </x:c>
      <x:c r="BE191" s="12" t="n">
        <x:v>14.91194758260231</x:v>
      </x:c>
      <x:c r="BF191" s="12" t="n">
        <x:v>38.0000000000077</x:v>
      </x:c>
      <x:c r="BG191" s="12" t="n">
        <x:v>0</x:v>
      </x:c>
      <x:c r="BH191" s="12" t="n">
        <x:v>62</x:v>
      </x:c>
      <x:c r="BI191" s="12" t="n">
        <x:v>100</x:v>
      </x:c>
      <x:c r="BJ191" s="12" t="n">
        <x:v>0</x:v>
      </x:c>
      <x:c r="BK191" s="12" t="n">
        <x:v>14.8435</x:v>
      </x:c>
      <x:c r="BL191" s="12" t="n">
        <x:v>1246.3050000002527</x:v>
      </x:c>
      <x:c r="BM191" s="12" t="n">
        <x:v>0</x:v>
      </x:c>
      <x:c r="BN191" s="12" t="n">
        <x:v>214.39054301280632</x:v>
      </x:c>
      <x:c r="BO191" s="12" t="n">
        <x:v>367.7549707484771</x:v>
      </x:c>
      <x:c r="BP191" s="12" t="n">
        <x:v>0</x:v>
      </x:c>
      <x:c r="BQ191" s="12" t="n">
        <x:v>1498.9305956856517</x:v>
      </x:c>
      <x:c r="BR191" s="12" t="n">
        <x:v>3327.381109447188</x:v>
      </x:c>
      <x:c r="BS191" s="12" t="n">
        <x:v>0.03517169024154533</x:v>
      </x:c>
    </x:row>
    <x:row r="192" ht="21" customHeight="1">
      <x:c r="A192" s="14" t="n">
        <x:v>45659.822916666664</x:v>
      </x:c>
      <x:c r="B192" s="14" t="n">
        <x:v>45659.833333333336</x:v>
      </x:c>
      <x:c r="C192" s="14" t="n">
        <x:v>45659.90625</x:v>
      </x:c>
      <x:c r="D192" s="15" t="n">
        <x:v>45659</x:v>
      </x:c>
      <x:c r="E192" s="12" t="n">
        <x:v>0.25</x:v>
      </x:c>
      <x:c r="F192" s="12" t="str">
        <x:v>FORMAL</x:v>
      </x:c>
      <x:c r="G192" s="14" t="n">
        <x:v>45659.791666666664</x:v>
      </x:c>
      <x:c r="H192" s="12" t="n">
        <x:v>131.19</x:v>
      </x:c>
      <x:c r="I192" s="12" t="str">
        <x:v>2025-01-02_21</x:v>
      </x:c>
      <x:c r="J192" s="12" t="n">
        <x:v>60</x:v>
      </x:c>
      <x:c r="K192" s="12" t="str">
        <x:v>DA_2025-01-02@4f6782768649</x:v>
      </x:c>
      <x:c r="L192" s="15" t="n">
        <x:v>45657</x:v>
      </x:c>
      <x:c r="M192" s="12" t="n">
        <x:v>4.9741</x:v>
      </x:c>
      <x:c r="N192" s="12" t="str">
        <x:v>BNR2024_BOUNDARY@c4397e7f9c31</x:v>
      </x:c>
      <x:c r="O192" s="12"/>
      <x:c r="P192" s="12"/>
      <x:c r="Q192" s="12"/>
      <x:c r="R192" s="12"/>
      <x:c r="S192" s="12" t="str">
        <x:v>OUT_OF_RESEARCH_COVERAGE_PRE_2025_06</x:v>
      </x:c>
      <x:c r="T192" s="12" t="n">
        <x:v>200</x:v>
      </x:c>
      <x:c r="U192" s="12" t="str">
        <x:v>aFRRUp_2025-01-02T19:00:00Z</x:v>
      </x:c>
      <x:c r="V192" s="12" t="str">
        <x:v>tenderStatistics_2025-01@c14c9dea784d</x:v>
      </x:c>
      <x:c r="W192" s="12" t="n">
        <x:v>13.831647936310086</x:v>
      </x:c>
      <x:c r="X192" s="12" t="str">
        <x:v>PUBLISHED_PROXY</x:v>
      </x:c>
      <x:c r="Y192" s="12" t="n">
        <x:v>200</x:v>
      </x:c>
      <x:c r="Z192" s="12" t="str">
        <x:v>aFRRDown_2025-01-02T19:00:00Z</x:v>
      </x:c>
      <x:c r="AA192" s="12" t="str">
        <x:v>tenderStatistics_2025-01@c14c9dea784d</x:v>
      </x:c>
      <x:c r="AB192" s="12" t="n">
        <x:v>14.710198829939085</x:v>
      </x:c>
      <x:c r="AC192" s="12" t="str">
        <x:v>PUBLISHED_PROXY</x:v>
      </x:c>
      <x:c r="AD192" s="12"/>
      <x:c r="AE192" s="12" t="str">
        <x:v>SOURCE_NULL_NOT_MODELED</x:v>
      </x:c>
      <x:c r="AF192" s="12"/>
      <x:c r="AG192" s="12" t="n">
        <x:v>0</x:v>
      </x:c>
      <x:c r="AH192" s="12" t="str">
        <x:v>PUBLISHED_PROXY</x:v>
      </x:c>
      <x:c r="AI192" s="12" t="n">
        <x:v>0</x:v>
      </x:c>
      <x:c r="AJ192" s="12" t="n">
        <x:v>-223.71966787961642</x:v>
      </x:c>
      <x:c r="AK192" s="12" t="str">
        <x:v>PUBLISHED_PROXY</x:v>
      </x:c>
      <x:c r="AL192" s="12" t="n">
        <x:v>39.505</x:v>
      </x:c>
      <x:c r="AM192" s="12" t="str">
        <x:v>marginalPricesOverview_2025-01@5b9daf9d82d7</x:v>
      </x:c>
      <x:c r="AN192" s="12" t="str">
        <x:v>activatedBalancingEnergyOverview_2025-01@4135ac664b2a</x:v>
      </x:c>
      <x:c r="AO192" s="12" t="str">
        <x:v>PUBLISHED_NATIVE</x:v>
      </x:c>
      <x:c r="AP192" s="12" t="n">
        <x:v>0</x:v>
      </x:c>
      <x:c r="AQ192" s="12" t="n">
        <x:v>0.7901</x:v>
      </x:c>
      <x:c r="AR192" s="12" t="n">
        <x:v>0.7901</x:v>
      </x:c>
      <x:c r="AS192" s="13" t="b">
        <x:v>1</x:v>
      </x:c>
      <x:c r="AT192" s="13" t="b">
        <x:v>1</x:v>
      </x:c>
      <x:c r="AU192" s="13" t="b">
        <x:v>1</x:v>
      </x:c>
      <x:c r="AV192" s="13" t="b">
        <x:v>1</x:v>
      </x:c>
      <x:c r="AW192" s="13" t="b">
        <x:v>1</x:v>
      </x:c>
      <x:c r="AX192" s="13" t="b">
        <x:v>0</x:v>
      </x:c>
      <x:c r="AY192" s="13" t="b">
        <x:v>0</x:v>
      </x:c>
      <x:c r="AZ192" s="13" t="b">
        <x:v>1</x:v>
      </x:c>
      <x:c r="BA192" s="12" t="str">
        <x:v>OK</x:v>
      </x:c>
      <x:c r="BB192" s="12" t="str">
        <x:v>OK</x:v>
      </x:c>
      <x:c r="BC192" s="12" t="str">
        <x:v>EUR</x:v>
      </x:c>
      <x:c r="BD192" s="12" t="n">
        <x:v>14.91194758260231</x:v>
      </x:c>
      <x:c r="BE192" s="12" t="n">
        <x:v>24.01132793042656</x:v>
      </x:c>
      <x:c r="BF192" s="12" t="n">
        <x:v>38.0000000000077</x:v>
      </x:c>
      <x:c r="BG192" s="12" t="n">
        <x:v>0</x:v>
      </x:c>
      <x:c r="BH192" s="12" t="n">
        <x:v>62</x:v>
      </x:c>
      <x:c r="BI192" s="12" t="n">
        <x:v>100</x:v>
      </x:c>
      <x:c r="BJ192" s="12" t="n">
        <x:v>0</x:v>
      </x:c>
      <x:c r="BK192" s="12" t="n">
        <x:v>19.7525</x:v>
      </x:c>
      <x:c r="BL192" s="12" t="n">
        <x:v>1246.3050000002527</x:v>
      </x:c>
      <x:c r="BM192" s="12" t="n">
        <x:v>0</x:v>
      </x:c>
      <x:c r="BN192" s="12" t="n">
        <x:v>214.39054301280632</x:v>
      </x:c>
      <x:c r="BO192" s="12" t="n">
        <x:v>367.7549707484771</x:v>
      </x:c>
      <x:c r="BP192" s="12" t="n">
        <x:v>0</x:v>
      </x:c>
      <x:c r="BQ192" s="12" t="n">
        <x:v>4419.0227397921235</x:v>
      </x:c>
      <x:c r="BR192" s="12" t="n">
        <x:v>6247.47325355366</x:v>
      </x:c>
      <x:c r="BS192" s="12" t="n">
        <x:v>0.037317421256035974</x:v>
      </x:c>
    </x:row>
    <x:row r="193" ht="21" customHeight="1">
      <x:c r="A193" s="14" t="n">
        <x:v>45659.833333333336</x:v>
      </x:c>
      <x:c r="B193" s="14" t="n">
        <x:v>45659.84375</x:v>
      </x:c>
      <x:c r="C193" s="14" t="n">
        <x:v>45659.916666666664</x:v>
      </x:c>
      <x:c r="D193" s="15" t="n">
        <x:v>45659</x:v>
      </x:c>
      <x:c r="E193" s="12" t="n">
        <x:v>0.25</x:v>
      </x:c>
      <x:c r="F193" s="12" t="str">
        <x:v>FORMAL</x:v>
      </x:c>
      <x:c r="G193" s="14" t="n">
        <x:v>45659.833333333336</x:v>
      </x:c>
      <x:c r="H193" s="12" t="n">
        <x:v>123.8</x:v>
      </x:c>
      <x:c r="I193" s="12" t="str">
        <x:v>2025-01-02_22</x:v>
      </x:c>
      <x:c r="J193" s="12" t="n">
        <x:v>60</x:v>
      </x:c>
      <x:c r="K193" s="12" t="str">
        <x:v>DA_2025-01-02@4f6782768649</x:v>
      </x:c>
      <x:c r="L193" s="15" t="n">
        <x:v>45657</x:v>
      </x:c>
      <x:c r="M193" s="12" t="n">
        <x:v>4.9741</x:v>
      </x:c>
      <x:c r="N193" s="12" t="str">
        <x:v>BNR2024_BOUNDARY@c4397e7f9c31</x:v>
      </x:c>
      <x:c r="O193" s="12"/>
      <x:c r="P193" s="12"/>
      <x:c r="Q193" s="12"/>
      <x:c r="R193" s="12"/>
      <x:c r="S193" s="12" t="str">
        <x:v>OUT_OF_RESEARCH_COVERAGE_PRE_2025_06</x:v>
      </x:c>
      <x:c r="T193" s="12" t="n">
        <x:v>200</x:v>
      </x:c>
      <x:c r="U193" s="12" t="str">
        <x:v>aFRRUp_2025-01-02T20:00:00Z</x:v>
      </x:c>
      <x:c r="V193" s="12" t="str">
        <x:v>tenderStatistics_2025-01@c14c9dea784d</x:v>
      </x:c>
      <x:c r="W193" s="12" t="n">
        <x:v>13.831647936310086</x:v>
      </x:c>
      <x:c r="X193" s="12" t="str">
        <x:v>PUBLISHED_PROXY</x:v>
      </x:c>
      <x:c r="Y193" s="12" t="n">
        <x:v>200</x:v>
      </x:c>
      <x:c r="Z193" s="12" t="str">
        <x:v>aFRRDown_2025-01-02T20:00:00Z</x:v>
      </x:c>
      <x:c r="AA193" s="12" t="str">
        <x:v>tenderStatistics_2025-01@c14c9dea784d</x:v>
      </x:c>
      <x:c r="AB193" s="12" t="n">
        <x:v>14.710198829939085</x:v>
      </x:c>
      <x:c r="AC193" s="12" t="str">
        <x:v>PUBLISHED_PROXY</x:v>
      </x:c>
      <x:c r="AD193" s="12"/>
      <x:c r="AE193" s="12" t="str">
        <x:v>SOURCE_NULL_NOT_MODELED</x:v>
      </x:c>
      <x:c r="AF193" s="12"/>
      <x:c r="AG193" s="12" t="n">
        <x:v>0</x:v>
      </x:c>
      <x:c r="AH193" s="12" t="str">
        <x:v>PUBLISHED_PROXY</x:v>
      </x:c>
      <x:c r="AI193" s="12" t="n">
        <x:v>0</x:v>
      </x:c>
      <x:c r="AJ193" s="12" t="n">
        <x:v>-60.837538449166686</x:v>
      </x:c>
      <x:c r="AK193" s="12" t="str">
        <x:v>PUBLISHED_PROXY</x:v>
      </x:c>
      <x:c r="AL193" s="12" t="n">
        <x:v>8.309</x:v>
      </x:c>
      <x:c r="AM193" s="12" t="str">
        <x:v>marginalPricesOverview_2025-01@5b9daf9d82d7</x:v>
      </x:c>
      <x:c r="AN193" s="12" t="str">
        <x:v>activatedBalancingEnergyOverview_2025-01@4135ac664b2a</x:v>
      </x:c>
      <x:c r="AO193" s="12" t="str">
        <x:v>PUBLISHED_NATIVE</x:v>
      </x:c>
      <x:c r="AP193" s="12" t="n">
        <x:v>0</x:v>
      </x:c>
      <x:c r="AQ193" s="12" t="n">
        <x:v>0.16618</x:v>
      </x:c>
      <x:c r="AR193" s="12" t="n">
        <x:v>0.16618</x:v>
      </x:c>
      <x:c r="AS193" s="13" t="b">
        <x:v>1</x:v>
      </x:c>
      <x:c r="AT193" s="13" t="b">
        <x:v>1</x:v>
      </x:c>
      <x:c r="AU193" s="13" t="b">
        <x:v>1</x:v>
      </x:c>
      <x:c r="AV193" s="13" t="b">
        <x:v>1</x:v>
      </x:c>
      <x:c r="AW193" s="13" t="b">
        <x:v>1</x:v>
      </x:c>
      <x:c r="AX193" s="13" t="b">
        <x:v>0</x:v>
      </x:c>
      <x:c r="AY193" s="13" t="b">
        <x:v>0</x:v>
      </x:c>
      <x:c r="AZ193" s="13" t="b">
        <x:v>1</x:v>
      </x:c>
      <x:c r="BA193" s="12" t="str">
        <x:v>OK</x:v>
      </x:c>
      <x:c r="BB193" s="12" t="str">
        <x:v>OK</x:v>
      </x:c>
      <x:c r="BC193" s="12" t="str">
        <x:v>EUR</x:v>
      </x:c>
      <x:c r="BD193" s="12" t="n">
        <x:v>24.01132793042656</x:v>
      </x:c>
      <x:c r="BE193" s="12" t="n">
        <x:v>19.624577356513527</x:v>
      </x:c>
      <x:c r="BF193" s="12" t="n">
        <x:v>30.999999999999964</x:v>
      </x:c>
      <x:c r="BG193" s="12" t="n">
        <x:v>0</x:v>
      </x:c>
      <x:c r="BH193" s="12" t="n">
        <x:v>69</x:v>
      </x:c>
      <x:c r="BI193" s="12" t="n">
        <x:v>100</x:v>
      </x:c>
      <x:c r="BJ193" s="12" t="n">
        <x:v>0</x:v>
      </x:c>
      <x:c r="BK193" s="12" t="n">
        <x:v>4.1545</x:v>
      </x:c>
      <x:c r="BL193" s="12" t="n">
        <x:v>959.4499999999989</x:v>
      </x:c>
      <x:c r="BM193" s="12" t="n">
        <x:v>0</x:v>
      </x:c>
      <x:c r="BN193" s="12" t="n">
        <x:v>238.59592690134897</x:v>
      </x:c>
      <x:c r="BO193" s="12" t="n">
        <x:v>367.7549707484771</x:v>
      </x:c>
      <x:c r="BP193" s="12" t="n">
        <x:v>0</x:v>
      </x:c>
      <x:c r="BQ193" s="12" t="n">
        <x:v>252.74955348706297</x:v>
      </x:c>
      <x:c r="BR193" s="12" t="n">
        <x:v>1818.550451136888</x:v>
      </x:c>
      <x:c r="BS193" s="12" t="n">
        <x:v>0.02683695492753621</x:v>
      </x:c>
    </x:row>
    <x:row r="194" ht="21" customHeight="1">
      <x:c r="A194" s="14" t="n">
        <x:v>45659.84375</x:v>
      </x:c>
      <x:c r="B194" s="14" t="n">
        <x:v>45659.854166666664</x:v>
      </x:c>
      <x:c r="C194" s="14" t="n">
        <x:v>45659.927083333336</x:v>
      </x:c>
      <x:c r="D194" s="15" t="n">
        <x:v>45659</x:v>
      </x:c>
      <x:c r="E194" s="12" t="n">
        <x:v>0.25</x:v>
      </x:c>
      <x:c r="F194" s="12" t="str">
        <x:v>FORMAL</x:v>
      </x:c>
      <x:c r="G194" s="14" t="n">
        <x:v>45659.833333333336</x:v>
      </x:c>
      <x:c r="H194" s="12" t="n">
        <x:v>123.8</x:v>
      </x:c>
      <x:c r="I194" s="12" t="str">
        <x:v>2025-01-02_22</x:v>
      </x:c>
      <x:c r="J194" s="12" t="n">
        <x:v>60</x:v>
      </x:c>
      <x:c r="K194" s="12" t="str">
        <x:v>DA_2025-01-02@4f6782768649</x:v>
      </x:c>
      <x:c r="L194" s="15" t="n">
        <x:v>45657</x:v>
      </x:c>
      <x:c r="M194" s="12" t="n">
        <x:v>4.9741</x:v>
      </x:c>
      <x:c r="N194" s="12" t="str">
        <x:v>BNR2024_BOUNDARY@c4397e7f9c31</x:v>
      </x:c>
      <x:c r="O194" s="12"/>
      <x:c r="P194" s="12"/>
      <x:c r="Q194" s="12"/>
      <x:c r="R194" s="12"/>
      <x:c r="S194" s="12" t="str">
        <x:v>OUT_OF_RESEARCH_COVERAGE_PRE_2025_06</x:v>
      </x:c>
      <x:c r="T194" s="12" t="n">
        <x:v>200</x:v>
      </x:c>
      <x:c r="U194" s="12" t="str">
        <x:v>aFRRUp_2025-01-02T20:00:00Z</x:v>
      </x:c>
      <x:c r="V194" s="12" t="str">
        <x:v>tenderStatistics_2025-01@c14c9dea784d</x:v>
      </x:c>
      <x:c r="W194" s="12" t="n">
        <x:v>13.831647936310086</x:v>
      </x:c>
      <x:c r="X194" s="12" t="str">
        <x:v>PUBLISHED_PROXY</x:v>
      </x:c>
      <x:c r="Y194" s="12" t="n">
        <x:v>200</x:v>
      </x:c>
      <x:c r="Z194" s="12" t="str">
        <x:v>aFRRDown_2025-01-02T20:00:00Z</x:v>
      </x:c>
      <x:c r="AA194" s="12" t="str">
        <x:v>tenderStatistics_2025-01@c14c9dea784d</x:v>
      </x:c>
      <x:c r="AB194" s="12" t="n">
        <x:v>14.710198829939085</x:v>
      </x:c>
      <x:c r="AC194" s="12" t="str">
        <x:v>PUBLISHED_PROXY</x:v>
      </x:c>
      <x:c r="AD194" s="12"/>
      <x:c r="AE194" s="12" t="str">
        <x:v>SOURCE_NULL_NOT_MODELED</x:v>
      </x:c>
      <x:c r="AF194" s="12"/>
      <x:c r="AG194" s="12" t="n">
        <x:v>0</x:v>
      </x:c>
      <x:c r="AH194" s="12" t="str">
        <x:v>PUBLISHED_PROXY</x:v>
      </x:c>
      <x:c r="AI194" s="12" t="n">
        <x:v>0</x:v>
      </x:c>
      <x:c r="AJ194" s="12" t="n">
        <x:v>12.475824772320621</x:v>
      </x:c>
      <x:c r="AK194" s="12" t="str">
        <x:v>PUBLISHED_PROXY</x:v>
      </x:c>
      <x:c r="AL194" s="12" t="n">
        <x:v>4.715</x:v>
      </x:c>
      <x:c r="AM194" s="12" t="str">
        <x:v>marginalPricesOverview_2025-01@5b9daf9d82d7</x:v>
      </x:c>
      <x:c r="AN194" s="12" t="str">
        <x:v>activatedBalancingEnergyOverview_2025-01@4135ac664b2a</x:v>
      </x:c>
      <x:c r="AO194" s="12" t="str">
        <x:v>PUBLISHED_NATIVE</x:v>
      </x:c>
      <x:c r="AP194" s="12" t="n">
        <x:v>0</x:v>
      </x:c>
      <x:c r="AQ194" s="12" t="n">
        <x:v>0.0943</x:v>
      </x:c>
      <x:c r="AR194" s="12" t="n">
        <x:v>0.0943</x:v>
      </x:c>
      <x:c r="AS194" s="13" t="b">
        <x:v>1</x:v>
      </x:c>
      <x:c r="AT194" s="13" t="b">
        <x:v>1</x:v>
      </x:c>
      <x:c r="AU194" s="13" t="b">
        <x:v>1</x:v>
      </x:c>
      <x:c r="AV194" s="13" t="b">
        <x:v>1</x:v>
      </x:c>
      <x:c r="AW194" s="13" t="b">
        <x:v>1</x:v>
      </x:c>
      <x:c r="AX194" s="13" t="b">
        <x:v>0</x:v>
      </x:c>
      <x:c r="AY194" s="13" t="b">
        <x:v>0</x:v>
      </x:c>
      <x:c r="AZ194" s="13" t="b">
        <x:v>1</x:v>
      </x:c>
      <x:c r="BA194" s="12" t="str">
        <x:v>OK</x:v>
      </x:c>
      <x:c r="BB194" s="12" t="str">
        <x:v>OK</x:v>
      </x:c>
      <x:c r="BC194" s="12" t="str">
        <x:v>EUR</x:v>
      </x:c>
      <x:c r="BD194" s="12" t="n">
        <x:v>19.624577356513527</x:v>
      </x:c>
      <x:c r="BE194" s="12" t="n">
        <x:v>13.491580313035275</x:v>
      </x:c>
      <x:c r="BF194" s="12" t="n">
        <x:v>30.999999999999964</x:v>
      </x:c>
      <x:c r="BG194" s="12" t="n">
        <x:v>0</x:v>
      </x:c>
      <x:c r="BH194" s="12" t="n">
        <x:v>69</x:v>
      </x:c>
      <x:c r="BI194" s="12" t="n">
        <x:v>100</x:v>
      </x:c>
      <x:c r="BJ194" s="12" t="n">
        <x:v>0</x:v>
      </x:c>
      <x:c r="BK194" s="12" t="n">
        <x:v>2.3575</x:v>
      </x:c>
      <x:c r="BL194" s="12" t="n">
        <x:v>959.4499999999989</x:v>
      </x:c>
      <x:c r="BM194" s="12" t="n">
        <x:v>0</x:v>
      </x:c>
      <x:c r="BN194" s="12" t="n">
        <x:v>238.59592690134897</x:v>
      </x:c>
      <x:c r="BO194" s="12" t="n">
        <x:v>367.7549707484771</x:v>
      </x:c>
      <x:c r="BP194" s="12" t="n">
        <x:v>0</x:v>
      </x:c>
      <x:c r="BQ194" s="12" t="n">
        <x:v>-29.411756900745864</x:v>
      </x:c>
      <x:c r="BR194" s="12" t="n">
        <x:v>1536.3891407490792</x:v>
      </x:c>
      <x:c r="BS194" s="12" t="n">
        <x:v>0.025350219565217366</x:v>
      </x:c>
    </x:row>
    <x:row r="195" ht="21" customHeight="1">
      <x:c r="A195" s="14" t="n">
        <x:v>45659.854166666664</x:v>
      </x:c>
      <x:c r="B195" s="14" t="n">
        <x:v>45659.864583333336</x:v>
      </x:c>
      <x:c r="C195" s="14" t="n">
        <x:v>45659.9375</x:v>
      </x:c>
      <x:c r="D195" s="15" t="n">
        <x:v>45659</x:v>
      </x:c>
      <x:c r="E195" s="12" t="n">
        <x:v>0.25</x:v>
      </x:c>
      <x:c r="F195" s="12" t="str">
        <x:v>FORMAL</x:v>
      </x:c>
      <x:c r="G195" s="14" t="n">
        <x:v>45659.833333333336</x:v>
      </x:c>
      <x:c r="H195" s="12" t="n">
        <x:v>123.8</x:v>
      </x:c>
      <x:c r="I195" s="12" t="str">
        <x:v>2025-01-02_22</x:v>
      </x:c>
      <x:c r="J195" s="12" t="n">
        <x:v>60</x:v>
      </x:c>
      <x:c r="K195" s="12" t="str">
        <x:v>DA_2025-01-02@4f6782768649</x:v>
      </x:c>
      <x:c r="L195" s="15" t="n">
        <x:v>45657</x:v>
      </x:c>
      <x:c r="M195" s="12" t="n">
        <x:v>4.9741</x:v>
      </x:c>
      <x:c r="N195" s="12" t="str">
        <x:v>BNR2024_BOUNDARY@c4397e7f9c31</x:v>
      </x:c>
      <x:c r="O195" s="12"/>
      <x:c r="P195" s="12"/>
      <x:c r="Q195" s="12"/>
      <x:c r="R195" s="12"/>
      <x:c r="S195" s="12" t="str">
        <x:v>OUT_OF_RESEARCH_COVERAGE_PRE_2025_06</x:v>
      </x:c>
      <x:c r="T195" s="12" t="n">
        <x:v>200</x:v>
      </x:c>
      <x:c r="U195" s="12" t="str">
        <x:v>aFRRUp_2025-01-02T20:00:00Z</x:v>
      </x:c>
      <x:c r="V195" s="12" t="str">
        <x:v>tenderStatistics_2025-01@c14c9dea784d</x:v>
      </x:c>
      <x:c r="W195" s="12" t="n">
        <x:v>13.831647936310086</x:v>
      </x:c>
      <x:c r="X195" s="12" t="str">
        <x:v>PUBLISHED_PROXY</x:v>
      </x:c>
      <x:c r="Y195" s="12" t="n">
        <x:v>200</x:v>
      </x:c>
      <x:c r="Z195" s="12" t="str">
        <x:v>aFRRDown_2025-01-02T20:00:00Z</x:v>
      </x:c>
      <x:c r="AA195" s="12" t="str">
        <x:v>tenderStatistics_2025-01@c14c9dea784d</x:v>
      </x:c>
      <x:c r="AB195" s="12" t="n">
        <x:v>14.710198829939085</x:v>
      </x:c>
      <x:c r="AC195" s="12" t="str">
        <x:v>PUBLISHED_PROXY</x:v>
      </x:c>
      <x:c r="AD195" s="12"/>
      <x:c r="AE195" s="12" t="str">
        <x:v>SOURCE_NULL_NOT_MODELED</x:v>
      </x:c>
      <x:c r="AF195" s="12"/>
      <x:c r="AG195" s="12" t="n">
        <x:v>0</x:v>
      </x:c>
      <x:c r="AH195" s="12" t="str">
        <x:v>PUBLISHED_PROXY</x:v>
      </x:c>
      <x:c r="AI195" s="12" t="n">
        <x:v>0</x:v>
      </x:c>
      <x:c r="AJ195" s="12" t="n">
        <x:v>8.356285559196639</x:v>
      </x:c>
      <x:c r="AK195" s="12" t="str">
        <x:v>PUBLISHED_PROXY</x:v>
      </x:c>
      <x:c r="AL195" s="12" t="n">
        <x:v>11.2</x:v>
      </x:c>
      <x:c r="AM195" s="12" t="str">
        <x:v>marginalPricesOverview_2025-01@5b9daf9d82d7</x:v>
      </x:c>
      <x:c r="AN195" s="12" t="str">
        <x:v>activatedBalancingEnergyOverview_2025-01@4135ac664b2a</x:v>
      </x:c>
      <x:c r="AO195" s="12" t="str">
        <x:v>PUBLISHED_NATIVE</x:v>
      </x:c>
      <x:c r="AP195" s="12" t="n">
        <x:v>0</x:v>
      </x:c>
      <x:c r="AQ195" s="12" t="n">
        <x:v>0.2239999999999999</x:v>
      </x:c>
      <x:c r="AR195" s="12" t="n">
        <x:v>0.2239999999999999</x:v>
      </x:c>
      <x:c r="AS195" s="13" t="b">
        <x:v>1</x:v>
      </x:c>
      <x:c r="AT195" s="13" t="b">
        <x:v>1</x:v>
      </x:c>
      <x:c r="AU195" s="13" t="b">
        <x:v>1</x:v>
      </x:c>
      <x:c r="AV195" s="13" t="b">
        <x:v>1</x:v>
      </x:c>
      <x:c r="AW195" s="13" t="b">
        <x:v>1</x:v>
      </x:c>
      <x:c r="AX195" s="13" t="b">
        <x:v>0</x:v>
      </x:c>
      <x:c r="AY195" s="13" t="b">
        <x:v>0</x:v>
      </x:c>
      <x:c r="AZ195" s="13" t="b">
        <x:v>1</x:v>
      </x:c>
      <x:c r="BA195" s="12" t="str">
        <x:v>OK</x:v>
      </x:c>
      <x:c r="BB195" s="12" t="str">
        <x:v>OK</x:v>
      </x:c>
      <x:c r="BC195" s="12" t="str">
        <x:v>EUR</x:v>
      </x:c>
      <x:c r="BD195" s="12" t="n">
        <x:v>13.491580313035275</x:v>
      </x:c>
      <x:c r="BE195" s="12" t="n">
        <x:v>10.509503791296153</x:v>
      </x:c>
      <x:c r="BF195" s="12" t="n">
        <x:v>30.999999999999964</x:v>
      </x:c>
      <x:c r="BG195" s="12" t="n">
        <x:v>0</x:v>
      </x:c>
      <x:c r="BH195" s="12" t="n">
        <x:v>69</x:v>
      </x:c>
      <x:c r="BI195" s="12" t="n">
        <x:v>100</x:v>
      </x:c>
      <x:c r="BJ195" s="12" t="n">
        <x:v>0</x:v>
      </x:c>
      <x:c r="BK195" s="12" t="n">
        <x:v>5.6</x:v>
      </x:c>
      <x:c r="BL195" s="12" t="n">
        <x:v>959.4499999999989</x:v>
      </x:c>
      <x:c r="BM195" s="12" t="n">
        <x:v>0</x:v>
      </x:c>
      <x:c r="BN195" s="12" t="n">
        <x:v>238.59592690134897</x:v>
      </x:c>
      <x:c r="BO195" s="12" t="n">
        <x:v>367.7549707484771</x:v>
      </x:c>
      <x:c r="BP195" s="12" t="n">
        <x:v>0</x:v>
      </x:c>
      <x:c r="BQ195" s="12" t="n">
        <x:v>-46.79519913150118</x:v>
      </x:c>
      <x:c r="BR195" s="12" t="n">
        <x:v>1519.0056985183237</x:v>
      </x:c>
      <x:c r="BS195" s="12" t="n">
        <x:v>0.028032879227053123</x:v>
      </x:c>
    </x:row>
    <x:row r="196" ht="21" customHeight="1">
      <x:c r="A196" s="14" t="n">
        <x:v>45659.864583333336</x:v>
      </x:c>
      <x:c r="B196" s="14" t="n">
        <x:v>45659.875</x:v>
      </x:c>
      <x:c r="C196" s="14" t="n">
        <x:v>45659.947916666664</x:v>
      </x:c>
      <x:c r="D196" s="15" t="n">
        <x:v>45659</x:v>
      </x:c>
      <x:c r="E196" s="12" t="n">
        <x:v>0.25</x:v>
      </x:c>
      <x:c r="F196" s="12" t="str">
        <x:v>FORMAL</x:v>
      </x:c>
      <x:c r="G196" s="14" t="n">
        <x:v>45659.833333333336</x:v>
      </x:c>
      <x:c r="H196" s="12" t="n">
        <x:v>123.8</x:v>
      </x:c>
      <x:c r="I196" s="12" t="str">
        <x:v>2025-01-02_22</x:v>
      </x:c>
      <x:c r="J196" s="12" t="n">
        <x:v>60</x:v>
      </x:c>
      <x:c r="K196" s="12" t="str">
        <x:v>DA_2025-01-02@4f6782768649</x:v>
      </x:c>
      <x:c r="L196" s="15" t="n">
        <x:v>45657</x:v>
      </x:c>
      <x:c r="M196" s="12" t="n">
        <x:v>4.9741</x:v>
      </x:c>
      <x:c r="N196" s="12" t="str">
        <x:v>BNR2024_BOUNDARY@c4397e7f9c31</x:v>
      </x:c>
      <x:c r="O196" s="12"/>
      <x:c r="P196" s="12"/>
      <x:c r="Q196" s="12"/>
      <x:c r="R196" s="12"/>
      <x:c r="S196" s="12" t="str">
        <x:v>OUT_OF_RESEARCH_COVERAGE_PRE_2025_06</x:v>
      </x:c>
      <x:c r="T196" s="12" t="n">
        <x:v>200</x:v>
      </x:c>
      <x:c r="U196" s="12" t="str">
        <x:v>aFRRUp_2025-01-02T20:00:00Z</x:v>
      </x:c>
      <x:c r="V196" s="12" t="str">
        <x:v>tenderStatistics_2025-01@c14c9dea784d</x:v>
      </x:c>
      <x:c r="W196" s="12" t="n">
        <x:v>13.831647936310086</x:v>
      </x:c>
      <x:c r="X196" s="12" t="str">
        <x:v>PUBLISHED_PROXY</x:v>
      </x:c>
      <x:c r="Y196" s="12" t="n">
        <x:v>200</x:v>
      </x:c>
      <x:c r="Z196" s="12" t="str">
        <x:v>aFRRDown_2025-01-02T20:00:00Z</x:v>
      </x:c>
      <x:c r="AA196" s="12" t="str">
        <x:v>tenderStatistics_2025-01@c14c9dea784d</x:v>
      </x:c>
      <x:c r="AB196" s="12" t="n">
        <x:v>14.710198829939085</x:v>
      </x:c>
      <x:c r="AC196" s="12" t="str">
        <x:v>PUBLISHED_PROXY</x:v>
      </x:c>
      <x:c r="AD196" s="12"/>
      <x:c r="AE196" s="12" t="str">
        <x:v>SOURCE_NULL_NOT_MODELED</x:v>
      </x:c>
      <x:c r="AF196" s="12"/>
      <x:c r="AG196" s="12" t="n">
        <x:v>0</x:v>
      </x:c>
      <x:c r="AH196" s="12" t="str">
        <x:v>PUBLISHED_PROXY</x:v>
      </x:c>
      <x:c r="AI196" s="12" t="n">
        <x:v>0</x:v>
      </x:c>
      <x:c r="AJ196" s="12" t="n">
        <x:v>0.35624535091775394</x:v>
      </x:c>
      <x:c r="AK196" s="12" t="str">
        <x:v>PUBLISHED_PROXY</x:v>
      </x:c>
      <x:c r="AL196" s="12" t="n">
        <x:v>21.352</x:v>
      </x:c>
      <x:c r="AM196" s="12" t="str">
        <x:v>marginalPricesOverview_2025-01@5b9daf9d82d7</x:v>
      </x:c>
      <x:c r="AN196" s="12" t="str">
        <x:v>activatedBalancingEnergyOverview_2025-01@4135ac664b2a</x:v>
      </x:c>
      <x:c r="AO196" s="12" t="str">
        <x:v>PUBLISHED_NATIVE</x:v>
      </x:c>
      <x:c r="AP196" s="12" t="n">
        <x:v>0</x:v>
      </x:c>
      <x:c r="AQ196" s="12" t="n">
        <x:v>0.42704</x:v>
      </x:c>
      <x:c r="AR196" s="12" t="n">
        <x:v>0.42704</x:v>
      </x:c>
      <x:c r="AS196" s="13" t="b">
        <x:v>1</x:v>
      </x:c>
      <x:c r="AT196" s="13" t="b">
        <x:v>1</x:v>
      </x:c>
      <x:c r="AU196" s="13" t="b">
        <x:v>1</x:v>
      </x:c>
      <x:c r="AV196" s="13" t="b">
        <x:v>1</x:v>
      </x:c>
      <x:c r="AW196" s="13" t="b">
        <x:v>1</x:v>
      </x:c>
      <x:c r="AX196" s="13" t="b">
        <x:v>0</x:v>
      </x:c>
      <x:c r="AY196" s="13" t="b">
        <x:v>0</x:v>
      </x:c>
      <x:c r="AZ196" s="13" t="b">
        <x:v>1</x:v>
      </x:c>
      <x:c r="BA196" s="12" t="str">
        <x:v>OK</x:v>
      </x:c>
      <x:c r="BB196" s="12" t="str">
        <x:v>OK</x:v>
      </x:c>
      <x:c r="BC196" s="12" t="str">
        <x:v>EUR</x:v>
      </x:c>
      <x:c r="BD196" s="12" t="n">
        <x:v>10.509503791296153</x:v>
      </x:c>
      <x:c r="BE196" s="12" t="n">
        <x:v>12.460063373904859</x:v>
      </x:c>
      <x:c r="BF196" s="12" t="n">
        <x:v>30.999999999999964</x:v>
      </x:c>
      <x:c r="BG196" s="12" t="n">
        <x:v>0</x:v>
      </x:c>
      <x:c r="BH196" s="12" t="n">
        <x:v>69</x:v>
      </x:c>
      <x:c r="BI196" s="12" t="n">
        <x:v>100</x:v>
      </x:c>
      <x:c r="BJ196" s="12" t="n">
        <x:v>0</x:v>
      </x:c>
      <x:c r="BK196" s="12" t="n">
        <x:v>10.676</x:v>
      </x:c>
      <x:c r="BL196" s="12" t="n">
        <x:v>959.4499999999989</x:v>
      </x:c>
      <x:c r="BM196" s="12" t="n">
        <x:v>0</x:v>
      </x:c>
      <x:c r="BN196" s="12" t="n">
        <x:v>238.59592690134897</x:v>
      </x:c>
      <x:c r="BO196" s="12" t="n">
        <x:v>367.7549707484771</x:v>
      </x:c>
      <x:c r="BP196" s="12" t="n">
        <x:v>0</x:v>
      </x:c>
      <x:c r="BQ196" s="12" t="n">
        <x:v>-3.803275366397941</x:v>
      </x:c>
      <x:c r="BR196" s="12" t="n">
        <x:v>1561.997622283427</x:v>
      </x:c>
      <x:c r="BS196" s="12" t="n">
        <x:v>0.032232472270531394</x:v>
      </x:c>
    </x:row>
    <x:row r="197" ht="21" customHeight="1">
      <x:c r="A197" s="14" t="n">
        <x:v>45659.875</x:v>
      </x:c>
      <x:c r="B197" s="14" t="n">
        <x:v>45659.885416666664</x:v>
      </x:c>
      <x:c r="C197" s="14" t="n">
        <x:v>45659.958333333336</x:v>
      </x:c>
      <x:c r="D197" s="15" t="n">
        <x:v>45659</x:v>
      </x:c>
      <x:c r="E197" s="12" t="n">
        <x:v>0.25</x:v>
      </x:c>
      <x:c r="F197" s="12" t="str">
        <x:v>FORMAL</x:v>
      </x:c>
      <x:c r="G197" s="14" t="n">
        <x:v>45659.875</x:v>
      </x:c>
      <x:c r="H197" s="12" t="n">
        <x:v>116.81</x:v>
      </x:c>
      <x:c r="I197" s="12" t="str">
        <x:v>2025-01-02_23</x:v>
      </x:c>
      <x:c r="J197" s="12" t="n">
        <x:v>60</x:v>
      </x:c>
      <x:c r="K197" s="12" t="str">
        <x:v>DA_2025-01-02@4f6782768649</x:v>
      </x:c>
      <x:c r="L197" s="15" t="n">
        <x:v>45657</x:v>
      </x:c>
      <x:c r="M197" s="12" t="n">
        <x:v>4.9741</x:v>
      </x:c>
      <x:c r="N197" s="12" t="str">
        <x:v>BNR2024_BOUNDARY@c4397e7f9c31</x:v>
      </x:c>
      <x:c r="O197" s="12"/>
      <x:c r="P197" s="12"/>
      <x:c r="Q197" s="12"/>
      <x:c r="R197" s="12"/>
      <x:c r="S197" s="12" t="str">
        <x:v>OUT_OF_RESEARCH_COVERAGE_PRE_2025_06</x:v>
      </x:c>
      <x:c r="T197" s="12" t="n">
        <x:v>200</x:v>
      </x:c>
      <x:c r="U197" s="12" t="str">
        <x:v>aFRRUp_2025-01-02T21:00:00Z</x:v>
      </x:c>
      <x:c r="V197" s="12" t="str">
        <x:v>tenderStatistics_2025-01@c14c9dea784d</x:v>
      </x:c>
      <x:c r="W197" s="12" t="n">
        <x:v>13.831647936310086</x:v>
      </x:c>
      <x:c r="X197" s="12" t="str">
        <x:v>PUBLISHED_PROXY</x:v>
      </x:c>
      <x:c r="Y197" s="12" t="n">
        <x:v>200</x:v>
      </x:c>
      <x:c r="Z197" s="12" t="str">
        <x:v>aFRRDown_2025-01-02T21:00:00Z</x:v>
      </x:c>
      <x:c r="AA197" s="12" t="str">
        <x:v>tenderStatistics_2025-01@c14c9dea784d</x:v>
      </x:c>
      <x:c r="AB197" s="12" t="n">
        <x:v>14.710198829939085</x:v>
      </x:c>
      <x:c r="AC197" s="12" t="str">
        <x:v>PUBLISHED_PROXY</x:v>
      </x:c>
      <x:c r="AD197" s="12"/>
      <x:c r="AE197" s="12" t="str">
        <x:v>SOURCE_NULL_NOT_MODELED</x:v>
      </x:c>
      <x:c r="AF197" s="12"/>
      <x:c r="AG197" s="12" t="n">
        <x:v>0</x:v>
      </x:c>
      <x:c r="AH197" s="12" t="str">
        <x:v>PUBLISHED_PROXY</x:v>
      </x:c>
      <x:c r="AI197" s="12" t="n">
        <x:v>0</x:v>
      </x:c>
      <x:c r="AJ197" s="12" t="n">
        <x:v>21.54178645383084</x:v>
      </x:c>
      <x:c r="AK197" s="12" t="str">
        <x:v>PUBLISHED_PROXY</x:v>
      </x:c>
      <x:c r="AL197" s="12" t="n">
        <x:v>5.776</x:v>
      </x:c>
      <x:c r="AM197" s="12" t="str">
        <x:v>marginalPricesOverview_2025-01@5b9daf9d82d7</x:v>
      </x:c>
      <x:c r="AN197" s="12" t="str">
        <x:v>activatedBalancingEnergyOverview_2025-01@4135ac664b2a</x:v>
      </x:c>
      <x:c r="AO197" s="12" t="str">
        <x:v>PUBLISHED_NATIVE</x:v>
      </x:c>
      <x:c r="AP197" s="12" t="n">
        <x:v>0</x:v>
      </x:c>
      <x:c r="AQ197" s="12" t="n">
        <x:v>0.11552</x:v>
      </x:c>
      <x:c r="AR197" s="12" t="n">
        <x:v>0.11552</x:v>
      </x:c>
      <x:c r="AS197" s="13" t="b">
        <x:v>1</x:v>
      </x:c>
      <x:c r="AT197" s="13" t="b">
        <x:v>1</x:v>
      </x:c>
      <x:c r="AU197" s="13" t="b">
        <x:v>1</x:v>
      </x:c>
      <x:c r="AV197" s="13" t="b">
        <x:v>1</x:v>
      </x:c>
      <x:c r="AW197" s="13" t="b">
        <x:v>1</x:v>
      </x:c>
      <x:c r="AX197" s="13" t="b">
        <x:v>0</x:v>
      </x:c>
      <x:c r="AY197" s="13" t="b">
        <x:v>0</x:v>
      </x:c>
      <x:c r="AZ197" s="13" t="b">
        <x:v>1</x:v>
      </x:c>
      <x:c r="BA197" s="12" t="str">
        <x:v>OK</x:v>
      </x:c>
      <x:c r="BB197" s="12" t="str">
        <x:v>OK</x:v>
      </x:c>
      <x:c r="BC197" s="12" t="str">
        <x:v>EUR</x:v>
      </x:c>
      <x:c r="BD197" s="12" t="n">
        <x:v>12.460063373904859</x:v>
      </x:c>
      <x:c r="BE197" s="12" t="n">
        <x:v>15.117023373904859</x:v>
      </x:c>
      <x:c r="BF197" s="12" t="n">
        <x:v>0</x:v>
      </x:c>
      <x:c r="BG197" s="12" t="n">
        <x:v>0</x:v>
      </x:c>
      <x:c r="BH197" s="12" t="n">
        <x:v>100</x:v>
      </x:c>
      <x:c r="BI197" s="12" t="n">
        <x:v>100</x:v>
      </x:c>
      <x:c r="BJ197" s="12" t="n">
        <x:v>0</x:v>
      </x:c>
      <x:c r="BK197" s="12" t="n">
        <x:v>2.888</x:v>
      </x:c>
      <x:c r="BL197" s="12" t="n">
        <x:v>0</x:v>
      </x:c>
      <x:c r="BM197" s="12" t="n">
        <x:v>0</x:v>
      </x:c>
      <x:c r="BN197" s="12" t="n">
        <x:v>345.7911984077521</x:v>
      </x:c>
      <x:c r="BO197" s="12" t="n">
        <x:v>367.7549707484771</x:v>
      </x:c>
      <x:c r="BP197" s="12" t="n">
        <x:v>0</x:v>
      </x:c>
      <x:c r="BQ197" s="12" t="n">
        <x:v>-62.212679278663465</x:v>
      </x:c>
      <x:c r="BR197" s="12" t="n">
        <x:v>651.3334898775657</x:v>
      </x:c>
      <x:c r="BS197" s="12" t="n">
        <x:v>0.007380444444444445</x:v>
      </x:c>
    </x:row>
    <x:row r="198" ht="21" customHeight="1">
      <x:c r="A198" s="14" t="n">
        <x:v>45659.885416666664</x:v>
      </x:c>
      <x:c r="B198" s="14" t="n">
        <x:v>45659.895833333336</x:v>
      </x:c>
      <x:c r="C198" s="14" t="n">
        <x:v>45659.96875</x:v>
      </x:c>
      <x:c r="D198" s="15" t="n">
        <x:v>45659</x:v>
      </x:c>
      <x:c r="E198" s="12" t="n">
        <x:v>0.25</x:v>
      </x:c>
      <x:c r="F198" s="12" t="str">
        <x:v>FORMAL</x:v>
      </x:c>
      <x:c r="G198" s="14" t="n">
        <x:v>45659.875</x:v>
      </x:c>
      <x:c r="H198" s="12" t="n">
        <x:v>116.81</x:v>
      </x:c>
      <x:c r="I198" s="12" t="str">
        <x:v>2025-01-02_23</x:v>
      </x:c>
      <x:c r="J198" s="12" t="n">
        <x:v>60</x:v>
      </x:c>
      <x:c r="K198" s="12" t="str">
        <x:v>DA_2025-01-02@4f6782768649</x:v>
      </x:c>
      <x:c r="L198" s="15" t="n">
        <x:v>45657</x:v>
      </x:c>
      <x:c r="M198" s="12" t="n">
        <x:v>4.9741</x:v>
      </x:c>
      <x:c r="N198" s="12" t="str">
        <x:v>BNR2024_BOUNDARY@c4397e7f9c31</x:v>
      </x:c>
      <x:c r="O198" s="12"/>
      <x:c r="P198" s="12"/>
      <x:c r="Q198" s="12"/>
      <x:c r="R198" s="12"/>
      <x:c r="S198" s="12" t="str">
        <x:v>OUT_OF_RESEARCH_COVERAGE_PRE_2025_06</x:v>
      </x:c>
      <x:c r="T198" s="12" t="n">
        <x:v>200</x:v>
      </x:c>
      <x:c r="U198" s="12" t="str">
        <x:v>aFRRUp_2025-01-02T21:00:00Z</x:v>
      </x:c>
      <x:c r="V198" s="12" t="str">
        <x:v>tenderStatistics_2025-01@c14c9dea784d</x:v>
      </x:c>
      <x:c r="W198" s="12" t="n">
        <x:v>13.831647936310086</x:v>
      </x:c>
      <x:c r="X198" s="12" t="str">
        <x:v>PUBLISHED_PROXY</x:v>
      </x:c>
      <x:c r="Y198" s="12" t="n">
        <x:v>200</x:v>
      </x:c>
      <x:c r="Z198" s="12" t="str">
        <x:v>aFRRDown_2025-01-02T21:00:00Z</x:v>
      </x:c>
      <x:c r="AA198" s="12" t="str">
        <x:v>tenderStatistics_2025-01@c14c9dea784d</x:v>
      </x:c>
      <x:c r="AB198" s="12" t="n">
        <x:v>14.710198829939085</x:v>
      </x:c>
      <x:c r="AC198" s="12" t="str">
        <x:v>PUBLISHED_PROXY</x:v>
      </x:c>
      <x:c r="AD198" s="12"/>
      <x:c r="AE198" s="12" t="str">
        <x:v>SOURCE_NULL_NOT_MODELED</x:v>
      </x:c>
      <x:c r="AF198" s="12"/>
      <x:c r="AG198" s="12" t="n">
        <x:v>0</x:v>
      </x:c>
      <x:c r="AH198" s="12" t="str">
        <x:v>PUBLISHED_PROXY</x:v>
      </x:c>
      <x:c r="AI198" s="12" t="n">
        <x:v>0</x:v>
      </x:c>
      <x:c r="AJ198" s="12" t="n">
        <x:v>23.30773406244346</x:v>
      </x:c>
      <x:c r="AK198" s="12" t="str">
        <x:v>PUBLISHED_PROXY</x:v>
      </x:c>
      <x:c r="AL198" s="12" t="n">
        <x:v>5.281</x:v>
      </x:c>
      <x:c r="AM198" s="12" t="str">
        <x:v>marginalPricesOverview_2025-01@5b9daf9d82d7</x:v>
      </x:c>
      <x:c r="AN198" s="12" t="str">
        <x:v>activatedBalancingEnergyOverview_2025-01@4135ac664b2a</x:v>
      </x:c>
      <x:c r="AO198" s="12" t="str">
        <x:v>PUBLISHED_NATIVE</x:v>
      </x:c>
      <x:c r="AP198" s="12" t="n">
        <x:v>0</x:v>
      </x:c>
      <x:c r="AQ198" s="12" t="n">
        <x:v>0.1056199999999999</x:v>
      </x:c>
      <x:c r="AR198" s="12" t="n">
        <x:v>0.1056199999999999</x:v>
      </x:c>
      <x:c r="AS198" s="13" t="b">
        <x:v>1</x:v>
      </x:c>
      <x:c r="AT198" s="13" t="b">
        <x:v>1</x:v>
      </x:c>
      <x:c r="AU198" s="13" t="b">
        <x:v>1</x:v>
      </x:c>
      <x:c r="AV198" s="13" t="b">
        <x:v>1</x:v>
      </x:c>
      <x:c r="AW198" s="13" t="b">
        <x:v>1</x:v>
      </x:c>
      <x:c r="AX198" s="13" t="b">
        <x:v>0</x:v>
      </x:c>
      <x:c r="AY198" s="13" t="b">
        <x:v>0</x:v>
      </x:c>
      <x:c r="AZ198" s="13" t="b">
        <x:v>1</x:v>
      </x:c>
      <x:c r="BA198" s="12" t="str">
        <x:v>OK</x:v>
      </x:c>
      <x:c r="BB198" s="12" t="str">
        <x:v>OK</x:v>
      </x:c>
      <x:c r="BC198" s="12" t="str">
        <x:v>EUR</x:v>
      </x:c>
      <x:c r="BD198" s="12" t="n">
        <x:v>15.117023373904859</x:v>
      </x:c>
      <x:c r="BE198" s="12" t="n">
        <x:v>17.54628337390486</x:v>
      </x:c>
      <x:c r="BF198" s="12" t="n">
        <x:v>0</x:v>
      </x:c>
      <x:c r="BG198" s="12" t="n">
        <x:v>0</x:v>
      </x:c>
      <x:c r="BH198" s="12" t="n">
        <x:v>100</x:v>
      </x:c>
      <x:c r="BI198" s="12" t="n">
        <x:v>100</x:v>
      </x:c>
      <x:c r="BJ198" s="12" t="n">
        <x:v>0</x:v>
      </x:c>
      <x:c r="BK198" s="12" t="n">
        <x:v>2.6405</x:v>
      </x:c>
      <x:c r="BL198" s="12" t="n">
        <x:v>0</x:v>
      </x:c>
      <x:c r="BM198" s="12" t="n">
        <x:v>0</x:v>
      </x:c>
      <x:c r="BN198" s="12" t="n">
        <x:v>345.7911984077521</x:v>
      </x:c>
      <x:c r="BO198" s="12" t="n">
        <x:v>367.7549707484771</x:v>
      </x:c>
      <x:c r="BP198" s="12" t="n">
        <x:v>0</x:v>
      </x:c>
      <x:c r="BQ198" s="12" t="n">
        <x:v>-61.54407179188195</x:v>
      </x:c>
      <x:c r="BR198" s="12" t="n">
        <x:v>652.0020973643473</x:v>
      </x:c>
      <x:c r="BS198" s="12" t="n">
        <x:v>0.0067479444444444436</x:v>
      </x:c>
    </x:row>
    <x:row r="199" ht="21" customHeight="1">
      <x:c r="A199" s="14" t="n">
        <x:v>45659.895833333336</x:v>
      </x:c>
      <x:c r="B199" s="14" t="n">
        <x:v>45659.90625</x:v>
      </x:c>
      <x:c r="C199" s="14" t="n">
        <x:v>45659.979166666664</x:v>
      </x:c>
      <x:c r="D199" s="15" t="n">
        <x:v>45659</x:v>
      </x:c>
      <x:c r="E199" s="12" t="n">
        <x:v>0.25</x:v>
      </x:c>
      <x:c r="F199" s="12" t="str">
        <x:v>FORMAL</x:v>
      </x:c>
      <x:c r="G199" s="14" t="n">
        <x:v>45659.875</x:v>
      </x:c>
      <x:c r="H199" s="12" t="n">
        <x:v>116.81</x:v>
      </x:c>
      <x:c r="I199" s="12" t="str">
        <x:v>2025-01-02_23</x:v>
      </x:c>
      <x:c r="J199" s="12" t="n">
        <x:v>60</x:v>
      </x:c>
      <x:c r="K199" s="12" t="str">
        <x:v>DA_2025-01-02@4f6782768649</x:v>
      </x:c>
      <x:c r="L199" s="15" t="n">
        <x:v>45657</x:v>
      </x:c>
      <x:c r="M199" s="12" t="n">
        <x:v>4.9741</x:v>
      </x:c>
      <x:c r="N199" s="12" t="str">
        <x:v>BNR2024_BOUNDARY@c4397e7f9c31</x:v>
      </x:c>
      <x:c r="O199" s="12"/>
      <x:c r="P199" s="12"/>
      <x:c r="Q199" s="12"/>
      <x:c r="R199" s="12"/>
      <x:c r="S199" s="12" t="str">
        <x:v>OUT_OF_RESEARCH_COVERAGE_PRE_2025_06</x:v>
      </x:c>
      <x:c r="T199" s="12" t="n">
        <x:v>200</x:v>
      </x:c>
      <x:c r="U199" s="12" t="str">
        <x:v>aFRRUp_2025-01-02T21:00:00Z</x:v>
      </x:c>
      <x:c r="V199" s="12" t="str">
        <x:v>tenderStatistics_2025-01@c14c9dea784d</x:v>
      </x:c>
      <x:c r="W199" s="12" t="n">
        <x:v>13.831647936310086</x:v>
      </x:c>
      <x:c r="X199" s="12" t="str">
        <x:v>PUBLISHED_PROXY</x:v>
      </x:c>
      <x:c r="Y199" s="12" t="n">
        <x:v>200</x:v>
      </x:c>
      <x:c r="Z199" s="12" t="str">
        <x:v>aFRRDown_2025-01-02T21:00:00Z</x:v>
      </x:c>
      <x:c r="AA199" s="12" t="str">
        <x:v>tenderStatistics_2025-01@c14c9dea784d</x:v>
      </x:c>
      <x:c r="AB199" s="12" t="n">
        <x:v>14.710198829939085</x:v>
      </x:c>
      <x:c r="AC199" s="12" t="str">
        <x:v>PUBLISHED_PROXY</x:v>
      </x:c>
      <x:c r="AD199" s="12"/>
      <x:c r="AE199" s="12" t="str">
        <x:v>SOURCE_NULL_NOT_MODELED</x:v>
      </x:c>
      <x:c r="AF199" s="12"/>
      <x:c r="AG199" s="12" t="n">
        <x:v>0</x:v>
      </x:c>
      <x:c r="AH199" s="12" t="str">
        <x:v>PUBLISHED_PROXY</x:v>
      </x:c>
      <x:c r="AI199" s="12" t="n">
        <x:v>0</x:v>
      </x:c>
      <x:c r="AJ199" s="12" t="n">
        <x:v>30.26457047506081</x:v>
      </x:c>
      <x:c r="AK199" s="12" t="str">
        <x:v>PUBLISHED_PROXY</x:v>
      </x:c>
      <x:c r="AL199" s="12" t="n">
        <x:v>1.992</x:v>
      </x:c>
      <x:c r="AM199" s="12" t="str">
        <x:v>marginalPricesOverview_2025-01@5b9daf9d82d7</x:v>
      </x:c>
      <x:c r="AN199" s="12" t="str">
        <x:v>activatedBalancingEnergyOverview_2025-01@4135ac664b2a</x:v>
      </x:c>
      <x:c r="AO199" s="12" t="str">
        <x:v>PUBLISHED_NATIVE</x:v>
      </x:c>
      <x:c r="AP199" s="12" t="n">
        <x:v>0</x:v>
      </x:c>
      <x:c r="AQ199" s="12" t="n">
        <x:v>0.03984</x:v>
      </x:c>
      <x:c r="AR199" s="12" t="n">
        <x:v>0.03984</x:v>
      </x:c>
      <x:c r="AS199" s="13" t="b">
        <x:v>1</x:v>
      </x:c>
      <x:c r="AT199" s="13" t="b">
        <x:v>1</x:v>
      </x:c>
      <x:c r="AU199" s="13" t="b">
        <x:v>1</x:v>
      </x:c>
      <x:c r="AV199" s="13" t="b">
        <x:v>1</x:v>
      </x:c>
      <x:c r="AW199" s="13" t="b">
        <x:v>1</x:v>
      </x:c>
      <x:c r="AX199" s="13" t="b">
        <x:v>0</x:v>
      </x:c>
      <x:c r="AY199" s="13" t="b">
        <x:v>0</x:v>
      </x:c>
      <x:c r="AZ199" s="13" t="b">
        <x:v>1</x:v>
      </x:c>
      <x:c r="BA199" s="12" t="str">
        <x:v>OK</x:v>
      </x:c>
      <x:c r="BB199" s="12" t="str">
        <x:v>OK</x:v>
      </x:c>
      <x:c r="BC199" s="12" t="str">
        <x:v>EUR</x:v>
      </x:c>
      <x:c r="BD199" s="12" t="n">
        <x:v>17.54628337390486</x:v>
      </x:c>
      <x:c r="BE199" s="12" t="n">
        <x:v>18.46260337390486</x:v>
      </x:c>
      <x:c r="BF199" s="12" t="n">
        <x:v>0</x:v>
      </x:c>
      <x:c r="BG199" s="12" t="n">
        <x:v>0</x:v>
      </x:c>
      <x:c r="BH199" s="12" t="n">
        <x:v>100</x:v>
      </x:c>
      <x:c r="BI199" s="12" t="n">
        <x:v>100</x:v>
      </x:c>
      <x:c r="BJ199" s="12" t="n">
        <x:v>0</x:v>
      </x:c>
      <x:c r="BK199" s="12" t="n">
        <x:v>0.996</x:v>
      </x:c>
      <x:c r="BL199" s="12" t="n">
        <x:v>0</x:v>
      </x:c>
      <x:c r="BM199" s="12" t="n">
        <x:v>0</x:v>
      </x:c>
      <x:c r="BN199" s="12" t="n">
        <x:v>345.7911984077521</x:v>
      </x:c>
      <x:c r="BO199" s="12" t="n">
        <x:v>367.7549707484771</x:v>
      </x:c>
      <x:c r="BP199" s="12" t="n">
        <x:v>0</x:v>
      </x:c>
      <x:c r="BQ199" s="12" t="n">
        <x:v>-30.143512193160568</x:v>
      </x:c>
      <x:c r="BR199" s="12" t="n">
        <x:v>683.4026569630687</x:v>
      </x:c>
      <x:c r="BS199" s="12" t="n">
        <x:v>0.0025453333333333335</x:v>
      </x:c>
    </x:row>
    <x:row r="200" ht="21" customHeight="1">
      <x:c r="A200" s="14" t="n">
        <x:v>45659.90625</x:v>
      </x:c>
      <x:c r="B200" s="14" t="n">
        <x:v>45659.916666666664</x:v>
      </x:c>
      <x:c r="C200" s="14" t="n">
        <x:v>45659.989583333336</x:v>
      </x:c>
      <x:c r="D200" s="15" t="n">
        <x:v>45659</x:v>
      </x:c>
      <x:c r="E200" s="12" t="n">
        <x:v>0.25</x:v>
      </x:c>
      <x:c r="F200" s="12" t="str">
        <x:v>FORMAL</x:v>
      </x:c>
      <x:c r="G200" s="14" t="n">
        <x:v>45659.875</x:v>
      </x:c>
      <x:c r="H200" s="12" t="n">
        <x:v>116.81</x:v>
      </x:c>
      <x:c r="I200" s="12" t="str">
        <x:v>2025-01-02_23</x:v>
      </x:c>
      <x:c r="J200" s="12" t="n">
        <x:v>60</x:v>
      </x:c>
      <x:c r="K200" s="12" t="str">
        <x:v>DA_2025-01-02@4f6782768649</x:v>
      </x:c>
      <x:c r="L200" s="15" t="n">
        <x:v>45657</x:v>
      </x:c>
      <x:c r="M200" s="12" t="n">
        <x:v>4.9741</x:v>
      </x:c>
      <x:c r="N200" s="12" t="str">
        <x:v>BNR2024_BOUNDARY@c4397e7f9c31</x:v>
      </x:c>
      <x:c r="O200" s="12"/>
      <x:c r="P200" s="12"/>
      <x:c r="Q200" s="12"/>
      <x:c r="R200" s="12"/>
      <x:c r="S200" s="12" t="str">
        <x:v>OUT_OF_RESEARCH_COVERAGE_PRE_2025_06</x:v>
      </x:c>
      <x:c r="T200" s="12" t="n">
        <x:v>200</x:v>
      </x:c>
      <x:c r="U200" s="12" t="str">
        <x:v>aFRRUp_2025-01-02T21:00:00Z</x:v>
      </x:c>
      <x:c r="V200" s="12" t="str">
        <x:v>tenderStatistics_2025-01@c14c9dea784d</x:v>
      </x:c>
      <x:c r="W200" s="12" t="n">
        <x:v>13.831647936310086</x:v>
      </x:c>
      <x:c r="X200" s="12" t="str">
        <x:v>PUBLISHED_PROXY</x:v>
      </x:c>
      <x:c r="Y200" s="12" t="n">
        <x:v>200</x:v>
      </x:c>
      <x:c r="Z200" s="12" t="str">
        <x:v>aFRRDown_2025-01-02T21:00:00Z</x:v>
      </x:c>
      <x:c r="AA200" s="12" t="str">
        <x:v>tenderStatistics_2025-01@c14c9dea784d</x:v>
      </x:c>
      <x:c r="AB200" s="12" t="n">
        <x:v>14.710198829939085</x:v>
      </x:c>
      <x:c r="AC200" s="12" t="str">
        <x:v>PUBLISHED_PROXY</x:v>
      </x:c>
      <x:c r="AD200" s="12"/>
      <x:c r="AE200" s="12" t="str">
        <x:v>SOURCE_NULL_NOT_MODELED</x:v>
      </x:c>
      <x:c r="AF200" s="12"/>
      <x:c r="AG200" s="12" t="n">
        <x:v>0</x:v>
      </x:c>
      <x:c r="AH200" s="12" t="str">
        <x:v>PUBLISHED_PROXY</x:v>
      </x:c>
      <x:c r="AI200" s="12" t="n">
        <x:v>0</x:v>
      </x:c>
      <x:c r="AJ200" s="12" t="n">
        <x:v>20.60794917673549</x:v>
      </x:c>
      <x:c r="AK200" s="12" t="str">
        <x:v>PUBLISHED_PROXY</x:v>
      </x:c>
      <x:c r="AL200" s="12" t="n">
        <x:v>3.177</x:v>
      </x:c>
      <x:c r="AM200" s="12" t="str">
        <x:v>marginalPricesOverview_2025-01@5b9daf9d82d7</x:v>
      </x:c>
      <x:c r="AN200" s="12" t="str">
        <x:v>activatedBalancingEnergyOverview_2025-01@4135ac664b2a</x:v>
      </x:c>
      <x:c r="AO200" s="12" t="str">
        <x:v>PUBLISHED_NATIVE</x:v>
      </x:c>
      <x:c r="AP200" s="12" t="n">
        <x:v>0</x:v>
      </x:c>
      <x:c r="AQ200" s="12" t="n">
        <x:v>0.06354</x:v>
      </x:c>
      <x:c r="AR200" s="12" t="n">
        <x:v>0.06354</x:v>
      </x:c>
      <x:c r="AS200" s="13" t="b">
        <x:v>1</x:v>
      </x:c>
      <x:c r="AT200" s="13" t="b">
        <x:v>1</x:v>
      </x:c>
      <x:c r="AU200" s="13" t="b">
        <x:v>1</x:v>
      </x:c>
      <x:c r="AV200" s="13" t="b">
        <x:v>1</x:v>
      </x:c>
      <x:c r="AW200" s="13" t="b">
        <x:v>1</x:v>
      </x:c>
      <x:c r="AX200" s="13" t="b">
        <x:v>0</x:v>
      </x:c>
      <x:c r="AY200" s="13" t="b">
        <x:v>0</x:v>
      </x:c>
      <x:c r="AZ200" s="13" t="b">
        <x:v>1</x:v>
      </x:c>
      <x:c r="BA200" s="12" t="str">
        <x:v>OK</x:v>
      </x:c>
      <x:c r="BB200" s="12" t="str">
        <x:v>OK</x:v>
      </x:c>
      <x:c r="BC200" s="12" t="str">
        <x:v>EUR</x:v>
      </x:c>
      <x:c r="BD200" s="12" t="n">
        <x:v>18.46260337390486</x:v>
      </x:c>
      <x:c r="BE200" s="12" t="n">
        <x:v>19.92402337390486</x:v>
      </x:c>
      <x:c r="BF200" s="12" t="n">
        <x:v>0</x:v>
      </x:c>
      <x:c r="BG200" s="12" t="n">
        <x:v>0</x:v>
      </x:c>
      <x:c r="BH200" s="12" t="n">
        <x:v>100</x:v>
      </x:c>
      <x:c r="BI200" s="12" t="n">
        <x:v>100</x:v>
      </x:c>
      <x:c r="BJ200" s="12" t="n">
        <x:v>0</x:v>
      </x:c>
      <x:c r="BK200" s="12" t="n">
        <x:v>1.5885</x:v>
      </x:c>
      <x:c r="BL200" s="12" t="n">
        <x:v>0</x:v>
      </x:c>
      <x:c r="BM200" s="12" t="n">
        <x:v>0</x:v>
      </x:c>
      <x:c r="BN200" s="12" t="n">
        <x:v>345.7911984077521</x:v>
      </x:c>
      <x:c r="BO200" s="12" t="n">
        <x:v>367.7549707484771</x:v>
      </x:c>
      <x:c r="BP200" s="12" t="n">
        <x:v>0</x:v>
      </x:c>
      <x:c r="BQ200" s="12" t="n">
        <x:v>-32.73572726724433</x:v>
      </x:c>
      <x:c r="BR200" s="12" t="n">
        <x:v>680.8104418889849</x:v>
      </x:c>
      <x:c r="BS200" s="12" t="n">
        <x:v>0.004059500000000001</x:v>
      </x:c>
    </x:row>
    <x:row r="201" ht="2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</x:row>
    <x:row r="202" ht="2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</x:row>
    <x:row r="203" ht="2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</x:row>
    <x:row r="204" ht="52" customHeight="1">
      <x:c r="A204" s="9" t="str">
        <x:v>来源键</x:v>
      </x:c>
      <x:c r="B204" s="9" t="str">
        <x:v>机构</x:v>
      </x:c>
      <x:c r="C204" s="9" t="str">
        <x:v>官方URL</x:v>
      </x:c>
      <x:c r="D204" s="9" t="str">
        <x:v>原件SHA256</x:v>
      </x:c>
      <x:c r="E204" s="9" t="str">
        <x:v>获取UTC</x:v>
      </x:c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</x:row>
    <x:row r="205" ht="250" customHeight="1">
      <x:c r="A205" s="16" t="str">
        <x:v>DA_2024-12-31@aea074dcfcb9</x:v>
      </x:c>
      <x:c r="B205" s="16" t="str">
        <x:v>OPCOM</x:v>
      </x:c>
      <x:c r="C205" s="16" t="str">
        <x:v>https://www.opcom.ro/rapoarte-pzu-raportPIP-export-csv/31/12/2024/en?resolution=60</x:v>
      </x:c>
      <x:c r="D205" s="16" t="str">
        <x:v>aea074dcfcb941e22da10df0a2286e42a14767bad526f8533d7c709ada633e6c</x:v>
      </x:c>
      <x:c r="E205" s="16" t="n">
        <x:v>46295.69674028935</x:v>
      </x:c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</x:row>
    <x:row r="206" ht="250" customHeight="1">
      <x:c r="A206" s="16" t="str">
        <x:v>DA_2025-01-01@80c3f1a8e3ee</x:v>
      </x:c>
      <x:c r="B206" s="16" t="str">
        <x:v>OPCOM</x:v>
      </x:c>
      <x:c r="C206" s="16" t="str">
        <x:v>https://www.opcom.ro/rapoarte-pzu-raportPIP-export-csv/01/01/2025/en?resolution=60</x:v>
      </x:c>
      <x:c r="D206" s="16" t="str">
        <x:v>80c3f1a8e3ee3618aae4b26ef73b974fb89b36b942abc194d515abf73190ac40</x:v>
      </x:c>
      <x:c r="E206" s="16" t="n">
        <x:v>46295.392431631946</x:v>
      </x:c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</x:row>
    <x:row r="207" ht="250" customHeight="1">
      <x:c r="A207" s="16" t="str">
        <x:v>DA_2025-01-02@4f6782768649</x:v>
      </x:c>
      <x:c r="B207" s="16" t="str">
        <x:v>OPCOM</x:v>
      </x:c>
      <x:c r="C207" s="16" t="str">
        <x:v>https://www.opcom.ro/rapoarte-pzu-raportPIP-export-csv/02/01/2025/en?resolution=60</x:v>
      </x:c>
      <x:c r="D207" s="16" t="str">
        <x:v>4f6782768649773a6529189ac3df90e2a6045ddca1247cbd51aee2067d2888a9</x:v>
      </x:c>
      <x:c r="E207" s="16" t="n">
        <x:v>46295.39243166667</x:v>
      </x:c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</x:row>
    <x:row r="208" ht="250" customHeight="1">
      <x:c r="A208" s="16" t="str">
        <x:v>tenderStatistics_2025-01@c14c9dea784d</x:v>
      </x:c>
      <x:c r="B208" s="16" t="str">
        <x:v>Transelectrica / DAMAS II</x:v>
      </x:c>
      <x:c r="C208" s="16" t="str">
        <x:v>https://newmarkets.transelectrica.ro/usy-durom-publicreportg01/00121002500000000000000000000100/publicReport/tenderStatistics?timeInterval.from=2024-12-31T22%3A00%3A00Z&amp;timeInterval.to=2025-01-31T22%3A00%3A00Z&amp;pageInfo.pageSize=3000&amp;pageInfo.pageIndex=0</x:v>
      </x:c>
      <x:c r="D208" s="16" t="str">
        <x:v>c14c9dea784d62d79920b93e104d594637c27743c190673a090659303cedb6ec</x:v>
      </x:c>
      <x:c r="E208" s="16" t="n">
        <x:v>46295.69695858796</x:v>
      </x:c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</x:row>
    <x:row r="209" ht="250" customHeight="1">
      <x:c r="A209" s="16" t="str">
        <x:v>marginalPricesOverview_2025-01@5b9daf9d82d7</x:v>
      </x:c>
      <x:c r="B209" s="16" t="str">
        <x:v>Transelectrica</x:v>
      </x:c>
      <x:c r="C209" s="16" t="str">
        <x:v>https://newmarkets.transelectrica.ro/usy-durom-publicreportg01/00121002500000000000000000000100/publicReport/marginalPricesOverview?timeInterval.from=2024-12-31T22%3A00%3A00Z&amp;timeInterval.to=2025-01-31T22%3A00%3A00Z&amp;pageInfo.pageSize=3000&amp;pageInfo.pageIndex=0</x:v>
      </x:c>
      <x:c r="D209" s="16" t="str">
        <x:v>5b9daf9d82d70547f1f3c55ba8deae4eb154ed1eb48c5b962f27282429dc050c</x:v>
      </x:c>
      <x:c r="E209" s="16" t="n">
        <x:v>46297.48400449074</x:v>
      </x:c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</x:row>
    <x:row r="210" ht="250" customHeight="1">
      <x:c r="A210" s="16" t="str">
        <x:v>activatedBalancingEnergyOverview_2025-01@4135ac664b2a</x:v>
      </x:c>
      <x:c r="B210" s="16" t="str">
        <x:v>Transelectrica / DAMAS II</x:v>
      </x:c>
      <x:c r="C210" s="16" t="str">
        <x:v>https://newmarkets.transelectrica.ro/usy-durom-publicreportg01/00121002500000000000000000000100/publicReport/activatedBalancingEnergyOverview?timeInterval.from=2024-12-31T22%3A00%3A00Z&amp;timeInterval.to=2025-01-31T22%3A00%3A00Z&amp;pageInfo.pageSize=3000&amp;pageInfo.pageIndex=0</x:v>
      </x:c>
      <x:c r="D210" s="16" t="str">
        <x:v>4135ac664b2adfb39afe375269526142da6ec73612a6542d52fd23543e5ae3cb</x:v>
      </x:c>
      <x:c r="E210" s="16" t="n">
        <x:v>46295.69691488426</x:v>
      </x:c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</x:row>
    <x:row r="211" ht="250" customHeight="1">
      <x:c r="A211" s="16" t="str">
        <x:v>BNR2024_BOUNDARY@c4397e7f9c31</x:v>
      </x:c>
      <x:c r="B211" s="16" t="str">
        <x:v>BNR</x:v>
      </x:c>
      <x:c r="C211" s="16" t="str">
        <x:v>https://curs.bnr.ro/files/xml/years/nbrfxrates2024.xml</x:v>
      </x:c>
      <x:c r="D211" s="16" t="str">
        <x:v>c4397e7f9c31390e449061844ad9f6a03c88bc35e6e88d4f7873760de5ecf2b4</x:v>
      </x:c>
      <x:c r="E211" s="16" t="n">
        <x:v>46296.57230525463</x:v>
      </x:c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</x:row>
    <x:row r="212" ht="2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</x:row>
    <x:row r="213" ht="2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</x:row>
    <x:row r="214" ht="2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</x:row>
    <x:row r="215" ht="23" customHeight="1">
      <x:c r="A215" s="2" t="str">
        <x:v>口径</x:v>
      </x:c>
      <x:c r="B215" s="2" t="str">
        <x:v>DA/激活 EUR/MWh；容量 EUR/(MW·h)；功率MW；SOC/电量MWh。</x:v>
      </x:c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</x:row>
    <x:row r="216" ht="23" customHeight="1">
      <x:c r="A216" s="2" t="str">
        <x:v>首日</x:v>
      </x:c>
      <x:c r="B216" s="2" t="str">
        <x:v>1月1日已过关闸且无前置订单，申报为0；1月2日为本窗新增计划。</x:v>
      </x:c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</x:row>
    <x:row r="217" ht="23" customHeight="1">
      <x:c r="A217" s="2" t="str">
        <x:v>FCR</x:v>
      </x:c>
      <x:c r="B217" s="2" t="str">
        <x:v>1月无可用容量价格，保留缺失；FCR激活未纳入模型，非零价格假设。</x:v>
      </x:c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</x:row>
    <x:row r="218" ht="23" customHeight="1">
      <x:c r="A218" s="2" t="str">
        <x:v>完美信息</x:v>
      </x:c>
      <x:c r="B218" s="2" t="str">
        <x:v>两日价格为事后历史价，模型已知不等于现实当时已发布。</x:v>
      </x:c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</x:row>
    <x:row r="219" ht="23" customHeight="1">
      <x:c r="A219" s="2" t="str">
        <x:v>现金</x:v>
      </x:c>
      <x:c r="B219" s="2" t="str">
        <x:v>结算列为既定代理价下模型毛现金，不是实际发票或净利润。</x:v>
      </x:c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</x:row>
    <x:row r="220" ht="23" customHeight="1">
      <x:c r="A220" s="2" t="str">
        <x:v>下调符号</x:v>
      </x:c>
      <x:c r="B220" s="2" t="str">
        <x:v>下调现金=−下调激活MWh×原下调价；容量均按时长计费。</x:v>
      </x:c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</x:row>
    <x:row r="221" ht="23" customHeight="1">
      <x:c r="A221" s="2" t="str">
        <x:v>相位时间</x:v>
      </x:c>
      <x:c r="B221" s="2" t="str">
        <x:v>相位起止由模型假设的下调→上调→空闲顺序展开，并非实测激活时刻。</x:v>
      </x:c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</x:row>
    <x:row r="222" ht="23" customHeight="1">
      <x:c r="A222" s="2" t="str">
        <x:v>窗口残值EUR</x:v>
      </x:c>
      <x:c r="B222" s="2" t="n">
        <x:v>1030.72759245739</x:v>
      </x:c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</x:row>
    <x:row r="223" ht="23" customHeight="1">
      <x:c r="A223" s="2" t="str">
        <x:v>窗口原目标EUR</x:v>
      </x:c>
      <x:c r="B223" s="2" t="n">
        <x:v>149113.99857312336</x:v>
      </x:c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</x:row>
    <x:row r="224" ht="23" customHeight="1">
      <x:c r="A224" s="2" t="str">
        <x:v>代码SHA</x:v>
      </x:c>
      <x:c r="B224" s="2" t="str">
        <x:v>2969cf17cafc9263f4f38ce0d9e007c522cca8d004966595e75eef94cb50323a</x:v>
      </x:c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</x:row>
    <x:row r="225" ht="23" customHeight="1">
      <x:c r="A225" s="2" t="str">
        <x:v>源CSV SHA</x:v>
      </x:c>
      <x:c r="B225" s="2" t="str">
        <x:v>0529c9ce3aaaa9024c91e32ef4290d66945b20407c3d301c3602c5e48d8a375a</x:v>
      </x:c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</x:row>
    <x:row r="226" ht="23" customHeight="1">
      <x:c r="A226" s="2" t="str">
        <x:v>事务0000 SHA</x:v>
      </x:c>
      <x:c r="B226" s="2" t="str">
        <x:v>587323ef22749274018017b17bf39ca5b9d3f80fe15481b8a3cc1889d3773e5d</x:v>
      </x:c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</x:row>
    <x:row r="227" ht="2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</x:row>
    <x:row r="228" ht="2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</x:row>
    <x:row r="229" ht="2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</x:row>
    <x:row r="230" ht="2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</x:row>
    <x:row r="231" ht="2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13B5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31" hidden="0" customWidth="1"/>
    <x:col min="46" max="46" width="31" hidden="0" customWidth="1"/>
    <x:col min="47" max="47" width="31" hidden="0" customWidth="1"/>
    <x:col min="48" max="48" width="31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</x:row>
    <x:row r="2" ht="21" customHeight="1">
      <x:c r="A2" s="3" t="str">
        <x:v>2025-01-02｜100%情景审计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</x:row>
    <x:row r="3" ht="21" customHeight="1">
      <x:c r="A3" s="4" t="str">
        <x:v>1月1日优化后冻结的订单，已核对1月2日正式执行账本。期初SOC承接1月1日末值10MWh。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</x:row>
    <x:row r="4" ht="21" customHeight="1">
      <x:c r="A4" s="4" t="str">
        <x:v>15分钟明细；现金为模型毛现金EUR。价格与决策来自首次两日求解，现金合计不含窗口残值。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</x:row>
    <x:row r="5" ht="21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</x:row>
    <x:row r="6" ht="52" customHeight="1">
      <x:c r="A6" s="9" t="str">
        <x:v>时间｜Bucharest</x:v>
      </x:c>
      <x:c r="B6" s="9" t="str">
        <x:v>DA价格
EUR/MWh</x:v>
      </x:c>
      <x:c r="C6" s="9" t="str">
        <x:v>FCR容量价格
EUR/(MW·h)</x:v>
      </x:c>
      <x:c r="D6" s="9" t="str">
        <x:v>aFRR上容量价
EUR/(MW·h)</x:v>
      </x:c>
      <x:c r="E6" s="9" t="str">
        <x:v>aFRR下容量价
EUR/(MW·h)</x:v>
      </x:c>
      <x:c r="F6" s="9" t="str">
        <x:v>aFRR上激活价
EUR/MWh</x:v>
      </x:c>
      <x:c r="G6" s="9" t="str">
        <x:v>aFRR下激活价
EUR/MWh</x:v>
      </x:c>
      <x:c r="H6" s="9" t="str">
        <x:v>FCR激活价
未纳入模型</x:v>
      </x:c>
      <x:c r="I6" s="9" t="str">
        <x:v>起SOC
MWh</x:v>
      </x:c>
      <x:c r="J6" s="9" t="str">
        <x:v>末SOC
MWh</x:v>
      </x:c>
      <x:c r="K6" s="9" t="str">
        <x:v>DA净申报
MW</x:v>
      </x:c>
      <x:c r="L6" s="9" t="str">
        <x:v>FCR申报
MW</x:v>
      </x:c>
      <x:c r="M6" s="9" t="str">
        <x:v>aFRR上申报
MW</x:v>
      </x:c>
      <x:c r="N6" s="9" t="str">
        <x:v>aFRR下申报
MW</x:v>
      </x:c>
      <x:c r="O6" s="9" t="str">
        <x:v>上调激活
MWh</x:v>
      </x:c>
      <x:c r="P6" s="9" t="str">
        <x:v>下调激活
MWh</x:v>
      </x:c>
      <x:c r="Q6" s="9" t="str">
        <x:v>DA现金
EUR</x:v>
      </x:c>
      <x:c r="R6" s="9" t="str">
        <x:v>FCR容量现金
EUR</x:v>
      </x:c>
      <x:c r="S6" s="9" t="str">
        <x:v>aFRR上容量现金
EUR</x:v>
      </x:c>
      <x:c r="T6" s="9" t="str">
        <x:v>aFRR下容量现金
EUR</x:v>
      </x:c>
      <x:c r="U6" s="9" t="str">
        <x:v>aFRR上激活现金
EUR</x:v>
      </x:c>
      <x:c r="V6" s="9" t="str">
        <x:v>aFRR下激活现金
EUR</x:v>
      </x:c>
      <x:c r="W6" s="9" t="str">
        <x:v>总现金
EUR</x:v>
      </x:c>
      <x:c r="X6" s="9" t="str">
        <x:v>原账本总现金
EUR</x:v>
      </x:c>
      <x:c r="Y6" s="9" t="str">
        <x:v>现金差异
EUR</x:v>
      </x:c>
      <x:c r="Z6" s="9" t="str">
        <x:v>执行/计划</x:v>
      </x:c>
      <x:c r="AA6" s="9" t="str">
        <x:v>aFRR小时有效
1/0</x:v>
      </x:c>
      <x:c r="AB6" s="9" t="str">
        <x:v>FCR小时有效
1/0</x:v>
      </x:c>
      <x:c r="AC6" s="9" t="str">
        <x:v>时长h</x:v>
      </x:c>
      <x:c r="AD6" s="9" t="str">
        <x:v>容量系数</x:v>
      </x:c>
      <x:c r="AE6" s="9" t="str">
        <x:v>有效α上</x:v>
      </x:c>
      <x:c r="AF6" s="9" t="str">
        <x:v>有效α下</x:v>
      </x:c>
      <x:c r="AG6" s="9" t="str">
        <x:v>系统上容量
MW</x:v>
      </x:c>
      <x:c r="AH6" s="9" t="str">
        <x:v>系统下容量
MW</x:v>
      </x:c>
      <x:c r="AI6" s="9" t="str">
        <x:v>系统上激活
MWh</x:v>
      </x:c>
      <x:c r="AJ6" s="9" t="str">
        <x:v>系统下激活
MWh</x:v>
      </x:c>
      <x:c r="AK6" s="9" t="str">
        <x:v>系统FCR容量
MW</x:v>
      </x:c>
      <x:c r="AL6" s="9" t="str">
        <x:v>EFC复算</x:v>
      </x:c>
      <x:c r="AM6" s="9" t="str">
        <x:v>AC充电
MWh</x:v>
      </x:c>
      <x:c r="AN6" s="9" t="str">
        <x:v>AC放电
MWh</x:v>
      </x:c>
      <x:c r="AO6" s="9" t="str">
        <x:v>相位复算末SOC
MWh</x:v>
      </x:c>
      <x:c r="AP6" s="9" t="str">
        <x:v>SOC差异
MWh</x:v>
      </x:c>
      <x:c r="AQ6" s="9" t="str">
        <x:v>汇率
RON/EUR</x:v>
      </x:c>
      <x:c r="AR6" s="9" t="str">
        <x:v>汇率日期</x:v>
      </x:c>
      <x:c r="AS6" s="9" t="str">
        <x:v>UTC起点</x:v>
      </x:c>
      <x:c r="AT6" s="9" t="str">
        <x:v>DA原生订单ID</x:v>
      </x:c>
      <x:c r="AU6" s="9" t="str">
        <x:v>原生DA分钟</x:v>
      </x:c>
      <x:c r="AV6" s="9" t="str">
        <x:v>aFRR门禁原因</x:v>
      </x:c>
    </x:row>
    <x:row r="7" ht="21" customHeight="1">
      <x:c r="A7" s="17" t="n">
        <x:f>'两日价格与决策'!A103</x:f>
        <x:v>45659</x:v>
      </x:c>
      <x:c r="B7" s="23" t="n">
        <x:f>'两日价格与决策'!B103</x:f>
        <x:v>65.1</x:v>
      </x:c>
      <x:c r="C7" s="23" t="str">
        <x:f>'两日价格与决策'!C103</x:f>
        <x:v>缺失</x:v>
      </x:c>
      <x:c r="D7" s="23" t="n">
        <x:f>'两日价格与决策'!D103</x:f>
        <x:v>13.670814820771596</x:v>
      </x:c>
      <x:c r="E7" s="23" t="n">
        <x:f>'两日价格与决策'!E103</x:f>
        <x:v>14.710198829939085</x:v>
      </x:c>
      <x:c r="F7" s="23" t="n">
        <x:f>'两日价格与决策'!F103</x:f>
        <x:v>519.0613377294385</x:v>
      </x:c>
      <x:c r="G7" s="23" t="n">
        <x:f>'两日价格与决策'!G103</x:f>
        <x:v>0</x:v>
      </x:c>
      <x:c r="H7" s="23" t="str">
        <x:f>'两日价格与决策'!H103</x:f>
        <x:v>未模拟</x:v>
      </x:c>
      <x:c r="I7" s="24" t="n">
        <x:f>'两日价格与决策'!I103</x:f>
        <x:v>10</x:v>
      </x:c>
      <x:c r="J7" s="24" t="n">
        <x:f>'两日价格与决策'!J103</x:f>
        <x:v>13.970719999999996</x:v>
      </x:c>
      <x:c r="K7" s="24" t="n">
        <x:f>'两日价格与决策'!K103</x:f>
        <x:v>-100</x:v>
      </x:c>
      <x:c r="L7" s="24" t="n">
        <x:f>'两日价格与决策'!L103</x:f>
        <x:v>0</x:v>
      </x:c>
      <x:c r="M7" s="24" t="n">
        <x:f>'两日价格与决策'!M103</x:f>
        <x:v>100</x:v>
      </x:c>
      <x:c r="N7" s="24" t="n">
        <x:f>'两日价格与决策'!N103</x:f>
        <x:v>0</x:v>
      </x:c>
      <x:c r="O7" s="24" t="n">
        <x:f>'两日价格与决策'!O103</x:f>
        <x:v>20.684</x:v>
      </x:c>
      <x:c r="P7" s="24" t="n">
        <x:f>'两日价格与决策'!P103</x:f>
        <x:v>0</x:v>
      </x:c>
      <x:c r="Q7" s="25" t="n">
        <x:f>'两日价格与决策'!Q103</x:f>
        <x:v>-1627.4999999999998</x:v>
      </x:c>
      <x:c r="R7" s="25" t="n">
        <x:f>'两日价格与决策'!R103</x:f>
        <x:v>0</x:v>
      </x:c>
      <x:c r="S7" s="25" t="n">
        <x:f>'两日价格与决策'!S103</x:f>
        <x:v>341.77037051928994</x:v>
      </x:c>
      <x:c r="T7" s="25" t="n">
        <x:f>'两日价格与决策'!T103</x:f>
        <x:v>0</x:v>
      </x:c>
      <x:c r="U7" s="25" t="n">
        <x:f>'两日价格与决策'!U103</x:f>
        <x:v>10736.264709595705</x:v>
      </x:c>
      <x:c r="V7" s="25" t="n">
        <x:f>'两日价格与决策'!V103</x:f>
        <x:v>0</x:v>
      </x:c>
      <x:c r="W7" s="25" t="n">
        <x:f>'两日价格与决策'!W103</x:f>
        <x:v>9450.535080114996</x:v>
      </x:c>
      <x:c r="X7" s="18" t="n">
        <x:f>'两日价格与决策'!X103</x:f>
        <x:v>9450.535080114996</x:v>
      </x:c>
      <x:c r="Y7" s="18" t="n">
        <x:f>'两日价格与决策'!Y103</x:f>
        <x:v>0</x:v>
      </x:c>
      <x:c r="Z7" s="18" t="str">
        <x:f>"1月2日执行｜前窗冻结订单"</x:f>
        <x:v>1月2日执行｜前窗冻结订单</x:v>
      </x:c>
      <x:c r="AA7" s="19" t="n">
        <x:f>'两日价格与决策'!AA103</x:f>
        <x:v>1</x:v>
      </x:c>
      <x:c r="AB7" s="19" t="n">
        <x:f>'两日价格与决策'!AB103</x:f>
        <x:v>0</x:v>
      </x:c>
      <x:c r="AC7" s="18" t="n">
        <x:f>'两日价格与决策'!AC103</x:f>
        <x:v>0.25</x:v>
      </x:c>
      <x:c r="AD7" s="20" t="n">
        <x:f>'两日价格与决策'!AD103</x:f>
        <x:v>1</x:v>
      </x:c>
      <x:c r="AE7" s="20" t="n">
        <x:f>'两日价格与决策'!AE103</x:f>
        <x:v>0.8273600000000001</x:v>
      </x:c>
      <x:c r="AF7" s="20" t="n">
        <x:f>'两日价格与决策'!AF103</x:f>
        <x:v>0</x:v>
      </x:c>
      <x:c r="AG7" s="18" t="n">
        <x:f>'两日价格与决策'!AG103</x:f>
        <x:v>200</x:v>
      </x:c>
      <x:c r="AH7" s="18" t="n">
        <x:f>'两日价格与决策'!AH103</x:f>
        <x:v>200</x:v>
      </x:c>
      <x:c r="AI7" s="18" t="n">
        <x:f>'两日价格与决策'!AI103</x:f>
        <x:v>41.368</x:v>
      </x:c>
      <x:c r="AJ7" s="18" t="n">
        <x:f>'两日价格与决策'!AJ103</x:f>
        <x:v>0</x:v>
      </x:c>
      <x:c r="AK7" s="18" t="str">
        <x:f>'两日价格与决策'!AK103</x:f>
        <x:v>缺失</x:v>
      </x:c>
      <x:c r="AL7" s="18" t="n">
        <x:f>'两日价格与决策'!AL103</x:f>
        <x:v>0.011029777777777772</x:v>
      </x:c>
      <x:c r="AM7" s="18" t="n">
        <x:f>'两日价格与决策'!AM103</x:f>
        <x:v>4.315999999999997</x:v>
      </x:c>
      <x:c r="AN7" s="18" t="n">
        <x:f>'两日价格与决策'!AN103</x:f>
        <x:v>0</x:v>
      </x:c>
      <x:c r="AO7" s="18" t="n">
        <x:f>'两日价格与决策'!AO103</x:f>
        <x:v>13.970719999999998</x:v>
      </x:c>
      <x:c r="AP7" s="18" t="n">
        <x:f>'两日价格与决策'!AP103</x:f>
        <x:v>1.7763568394002505e-15</x:v>
      </x:c>
      <x:c r="AQ7" s="18" t="n">
        <x:f>'两日价格与决策'!AQ103</x:f>
        <x:v>4.9741</x:v>
      </x:c>
      <x:c r="AR7" s="21" t="n">
        <x:f>'两日价格与决策'!AR103</x:f>
        <x:v>45657</x:v>
      </x:c>
      <x:c r="AS7" s="17" t="n">
        <x:f>'两日价格与决策'!AS103</x:f>
        <x:v>45658.916666666664</x:v>
      </x:c>
      <x:c r="AT7" s="18" t="str">
        <x:f>'两日价格与决策'!AT103</x:f>
        <x:v>2025-01-01_24</x:v>
      </x:c>
      <x:c r="AU7" s="19" t="n">
        <x:f>'两日价格与决策'!AU103</x:f>
        <x:v>60</x:v>
      </x:c>
      <x:c r="AV7" s="18" t="str">
        <x:f>'两日价格与决策'!AV103</x:f>
        <x:v>OK</x:v>
      </x:c>
    </x:row>
    <x:row r="8" ht="21" customHeight="1">
      <x:c r="A8" s="17" t="n">
        <x:f>'两日价格与决策'!A104</x:f>
        <x:v>45659.010416666664</x:v>
      </x:c>
      <x:c r="B8" s="23" t="n">
        <x:f>'两日价格与决策'!B104</x:f>
        <x:v>65.1</x:v>
      </x:c>
      <x:c r="C8" s="23" t="str">
        <x:f>'两日价格与决策'!C104</x:f>
        <x:v>缺失</x:v>
      </x:c>
      <x:c r="D8" s="23" t="n">
        <x:f>'两日价格与决策'!D104</x:f>
        <x:v>13.670814820771596</x:v>
      </x:c>
      <x:c r="E8" s="23" t="n">
        <x:f>'两日价格与决策'!E104</x:f>
        <x:v>14.710198829939085</x:v>
      </x:c>
      <x:c r="F8" s="23" t="n">
        <x:f>'两日价格与决策'!F104</x:f>
        <x:v>183.47761404073097</x:v>
      </x:c>
      <x:c r="G8" s="23" t="n">
        <x:f>'两日价格与决策'!G104</x:f>
        <x:v>0</x:v>
      </x:c>
      <x:c r="H8" s="23" t="str">
        <x:f>'两日价格与决策'!H104</x:f>
        <x:v>未模拟</x:v>
      </x:c>
      <x:c r="I8" s="24" t="n">
        <x:f>'两日价格与决策'!I104</x:f>
        <x:v>13.970719999999996</x:v>
      </x:c>
      <x:c r="J8" s="24" t="n">
        <x:f>'两日价格与决策'!J104</x:f>
        <x:v>21.517019999999995</x:v>
      </x:c>
      <x:c r="K8" s="24" t="n">
        <x:f>'两日价格与决策'!K104</x:f>
        <x:v>-100</x:v>
      </x:c>
      <x:c r="L8" s="24" t="n">
        <x:f>'两日价格与决策'!L104</x:f>
        <x:v>0</x:v>
      </x:c>
      <x:c r="M8" s="24" t="n">
        <x:f>'两日价格与决策'!M104</x:f>
        <x:v>100</x:v>
      </x:c>
      <x:c r="N8" s="24" t="n">
        <x:f>'两日价格与决策'!N104</x:f>
        <x:v>0</x:v>
      </x:c>
      <x:c r="O8" s="24" t="n">
        <x:f>'两日价格与决策'!O104</x:f>
        <x:v>16.7975</x:v>
      </x:c>
      <x:c r="P8" s="24" t="n">
        <x:f>'两日价格与决策'!P104</x:f>
        <x:v>0</x:v>
      </x:c>
      <x:c r="Q8" s="25" t="n">
        <x:f>'两日价格与决策'!Q104</x:f>
        <x:v>-1627.4999999999998</x:v>
      </x:c>
      <x:c r="R8" s="25" t="n">
        <x:f>'两日价格与决策'!R104</x:f>
        <x:v>0</x:v>
      </x:c>
      <x:c r="S8" s="25" t="n">
        <x:f>'两日价格与决策'!S104</x:f>
        <x:v>341.77037051928994</x:v>
      </x:c>
      <x:c r="T8" s="25" t="n">
        <x:f>'两日价格与决策'!T104</x:f>
        <x:v>0</x:v>
      </x:c>
      <x:c r="U8" s="25" t="n">
        <x:f>'两日价格与决策'!U104</x:f>
        <x:v>3081.9652218491783</x:v>
      </x:c>
      <x:c r="V8" s="25" t="n">
        <x:f>'两日价格与决策'!V104</x:f>
        <x:v>0</x:v>
      </x:c>
      <x:c r="W8" s="25" t="n">
        <x:f>'两日价格与决策'!W104</x:f>
        <x:v>1796.2355923684686</x:v>
      </x:c>
      <x:c r="X8" s="18" t="n">
        <x:f>'两日价格与决策'!X104</x:f>
        <x:v>1796.2355923684686</x:v>
      </x:c>
      <x:c r="Y8" s="18" t="n">
        <x:f>'两日价格与决策'!Y104</x:f>
        <x:v>0</x:v>
      </x:c>
      <x:c r="Z8" s="18" t="str">
        <x:f>"1月2日执行｜前窗冻结订单"</x:f>
        <x:v>1月2日执行｜前窗冻结订单</x:v>
      </x:c>
      <x:c r="AA8" s="19" t="n">
        <x:f>'两日价格与决策'!AA104</x:f>
        <x:v>1</x:v>
      </x:c>
      <x:c r="AB8" s="19" t="n">
        <x:f>'两日价格与决策'!AB104</x:f>
        <x:v>0</x:v>
      </x:c>
      <x:c r="AC8" s="18" t="n">
        <x:f>'两日价格与决策'!AC104</x:f>
        <x:v>0.25</x:v>
      </x:c>
      <x:c r="AD8" s="20" t="n">
        <x:f>'两日价格与决策'!AD104</x:f>
        <x:v>1</x:v>
      </x:c>
      <x:c r="AE8" s="20" t="n">
        <x:f>'两日价格与决策'!AE104</x:f>
        <x:v>0.6718999999999999</x:v>
      </x:c>
      <x:c r="AF8" s="20" t="n">
        <x:f>'两日价格与决策'!AF104</x:f>
        <x:v>0</x:v>
      </x:c>
      <x:c r="AG8" s="18" t="n">
        <x:f>'两日价格与决策'!AG104</x:f>
        <x:v>200</x:v>
      </x:c>
      <x:c r="AH8" s="18" t="n">
        <x:f>'两日价格与决策'!AH104</x:f>
        <x:v>200</x:v>
      </x:c>
      <x:c r="AI8" s="18" t="n">
        <x:f>'两日价格与决策'!AI104</x:f>
        <x:v>33.595</x:v>
      </x:c>
      <x:c r="AJ8" s="18" t="n">
        <x:f>'两日价格与决策'!AJ104</x:f>
        <x:v>0</x:v>
      </x:c>
      <x:c r="AK8" s="18" t="str">
        <x:f>'两日价格与决策'!AK104</x:f>
        <x:v>缺失</x:v>
      </x:c>
      <x:c r="AL8" s="18" t="n">
        <x:f>'两日价格与决策'!AL104</x:f>
        <x:v>0.02096194444444445</x:v>
      </x:c>
      <x:c r="AM8" s="18" t="n">
        <x:f>'两日价格与决策'!AM104</x:f>
        <x:v>8.2025</x:v>
      </x:c>
      <x:c r="AN8" s="18" t="n">
        <x:f>'两日价格与决策'!AN104</x:f>
        <x:v>0</x:v>
      </x:c>
      <x:c r="AO8" s="18" t="n">
        <x:f>'两日价格与决策'!AO104</x:f>
        <x:v>21.51702</x:v>
      </x:c>
      <x:c r="AP8" s="18" t="n">
        <x:f>'两日价格与决策'!AP104</x:f>
        <x:v>3.552713678800501e-15</x:v>
      </x:c>
      <x:c r="AQ8" s="18" t="n">
        <x:f>'两日价格与决策'!AQ104</x:f>
        <x:v>4.9741</x:v>
      </x:c>
      <x:c r="AR8" s="21" t="n">
        <x:f>'两日价格与决策'!AR104</x:f>
        <x:v>45657</x:v>
      </x:c>
      <x:c r="AS8" s="17" t="n">
        <x:f>'两日价格与决策'!AS104</x:f>
        <x:v>45658.927083333336</x:v>
      </x:c>
      <x:c r="AT8" s="18" t="str">
        <x:f>'两日价格与决策'!AT104</x:f>
        <x:v>2025-01-01_24</x:v>
      </x:c>
      <x:c r="AU8" s="19" t="n">
        <x:f>'两日价格与决策'!AU104</x:f>
        <x:v>60</x:v>
      </x:c>
      <x:c r="AV8" s="18" t="str">
        <x:f>'两日价格与决策'!AV104</x:f>
        <x:v>OK</x:v>
      </x:c>
    </x:row>
    <x:row r="9" ht="21" customHeight="1">
      <x:c r="A9" s="17" t="n">
        <x:f>'两日价格与决策'!A105</x:f>
        <x:v>45659.020833333336</x:v>
      </x:c>
      <x:c r="B9" s="23" t="n">
        <x:f>'两日价格与决策'!B105</x:f>
        <x:v>65.1</x:v>
      </x:c>
      <x:c r="C9" s="23" t="str">
        <x:f>'两日价格与决策'!C105</x:f>
        <x:v>缺失</x:v>
      </x:c>
      <x:c r="D9" s="23" t="n">
        <x:f>'两日价格与决策'!D105</x:f>
        <x:v>13.670814820771596</x:v>
      </x:c>
      <x:c r="E9" s="23" t="n">
        <x:f>'两日价格与决策'!E105</x:f>
        <x:v>14.710198829939085</x:v>
      </x:c>
      <x:c r="F9" s="23" t="n">
        <x:f>'两日价格与决策'!F105</x:f>
        <x:v>155.60201845560002</x:v>
      </x:c>
      <x:c r="G9" s="23" t="n">
        <x:f>'两日价格与决策'!G105</x:f>
        <x:v>0</x:v>
      </x:c>
      <x:c r="H9" s="23" t="str">
        <x:f>'两日价格与决策'!H105</x:f>
        <x:v>未模拟</x:v>
      </x:c>
      <x:c r="I9" s="24" t="n">
        <x:f>'两日价格与决策'!I105</x:f>
        <x:v>21.517019999999995</x:v>
      </x:c>
      <x:c r="J9" s="24" t="n">
        <x:f>'两日价格与决策'!J105</x:f>
        <x:v>35.571859999999994</x:v>
      </x:c>
      <x:c r="K9" s="24" t="n">
        <x:f>'两日价格与决策'!K105</x:f>
        <x:v>-100</x:v>
      </x:c>
      <x:c r="L9" s="24" t="n">
        <x:f>'两日价格与决策'!L105</x:f>
        <x:v>0</x:v>
      </x:c>
      <x:c r="M9" s="24" t="n">
        <x:f>'两日价格与决策'!M105</x:f>
        <x:v>100</x:v>
      </x:c>
      <x:c r="N9" s="24" t="n">
        <x:f>'两日价格与决策'!N105</x:f>
        <x:v>0</x:v>
      </x:c>
      <x:c r="O9" s="24" t="n">
        <x:f>'两日价格与决策'!O105</x:f>
        <x:v>9.723</x:v>
      </x:c>
      <x:c r="P9" s="24" t="n">
        <x:f>'两日价格与决策'!P105</x:f>
        <x:v>0</x:v>
      </x:c>
      <x:c r="Q9" s="25" t="n">
        <x:f>'两日价格与决策'!Q105</x:f>
        <x:v>-1627.4999999999998</x:v>
      </x:c>
      <x:c r="R9" s="25" t="n">
        <x:f>'两日价格与决策'!R105</x:f>
        <x:v>0</x:v>
      </x:c>
      <x:c r="S9" s="25" t="n">
        <x:f>'两日价格与决策'!S105</x:f>
        <x:v>341.77037051928994</x:v>
      </x:c>
      <x:c r="T9" s="25" t="n">
        <x:f>'两日价格与决策'!T105</x:f>
        <x:v>0</x:v>
      </x:c>
      <x:c r="U9" s="25" t="n">
        <x:f>'两日价格与决策'!U105</x:f>
        <x:v>1512.9184254437992</x:v>
      </x:c>
      <x:c r="V9" s="25" t="n">
        <x:f>'两日价格与决策'!V105</x:f>
        <x:v>0</x:v>
      </x:c>
      <x:c r="W9" s="25" t="n">
        <x:f>'两日价格与决策'!W105</x:f>
        <x:v>227.18879596308943</x:v>
      </x:c>
      <x:c r="X9" s="18" t="n">
        <x:f>'两日价格与决策'!X105</x:f>
        <x:v>227.18879596308932</x:v>
      </x:c>
      <x:c r="Y9" s="18" t="n">
        <x:f>'两日价格与决策'!Y105</x:f>
        <x:v>1.1368683772161603e-13</x:v>
      </x:c>
      <x:c r="Z9" s="18" t="str">
        <x:f>"1月2日执行｜前窗冻结订单"</x:f>
        <x:v>1月2日执行｜前窗冻结订单</x:v>
      </x:c>
      <x:c r="AA9" s="19" t="n">
        <x:f>'两日价格与决策'!AA105</x:f>
        <x:v>1</x:v>
      </x:c>
      <x:c r="AB9" s="19" t="n">
        <x:f>'两日价格与决策'!AB105</x:f>
        <x:v>0</x:v>
      </x:c>
      <x:c r="AC9" s="18" t="n">
        <x:f>'两日价格与决策'!AC105</x:f>
        <x:v>0.25</x:v>
      </x:c>
      <x:c r="AD9" s="20" t="n">
        <x:f>'两日价格与决策'!AD105</x:f>
        <x:v>1</x:v>
      </x:c>
      <x:c r="AE9" s="20" t="n">
        <x:f>'两日价格与决策'!AE105</x:f>
        <x:v>0.38892000000000004</x:v>
      </x:c>
      <x:c r="AF9" s="20" t="n">
        <x:f>'两日价格与决策'!AF105</x:f>
        <x:v>0</x:v>
      </x:c>
      <x:c r="AG9" s="18" t="n">
        <x:f>'两日价格与决策'!AG105</x:f>
        <x:v>200</x:v>
      </x:c>
      <x:c r="AH9" s="18" t="n">
        <x:f>'两日价格与决策'!AH105</x:f>
        <x:v>200</x:v>
      </x:c>
      <x:c r="AI9" s="18" t="n">
        <x:f>'两日价格与决策'!AI105</x:f>
        <x:v>19.446</x:v>
      </x:c>
      <x:c r="AJ9" s="18" t="n">
        <x:f>'两日价格与决策'!AJ105</x:f>
        <x:v>0</x:v>
      </x:c>
      <x:c r="AK9" s="18" t="str">
        <x:f>'两日价格与决策'!AK105</x:f>
        <x:v>缺失</x:v>
      </x:c>
      <x:c r="AL9" s="18" t="n">
        <x:f>'两日价格与决策'!AL105</x:f>
        <x:v>0.03904122222222222</x:v>
      </x:c>
      <x:c r="AM9" s="18" t="n">
        <x:f>'两日价格与决策'!AM105</x:f>
        <x:v>15.277</x:v>
      </x:c>
      <x:c r="AN9" s="18" t="n">
        <x:f>'两日价格与决策'!AN105</x:f>
        <x:v>0</x:v>
      </x:c>
      <x:c r="AO9" s="18" t="n">
        <x:f>'两日价格与决策'!AO105</x:f>
        <x:v>35.57186</x:v>
      </x:c>
      <x:c r="AP9" s="18" t="n">
        <x:f>'两日价格与决策'!AP105</x:f>
        <x:v>7.105427357601002e-15</x:v>
      </x:c>
      <x:c r="AQ9" s="18" t="n">
        <x:f>'两日价格与决策'!AQ105</x:f>
        <x:v>4.9741</x:v>
      </x:c>
      <x:c r="AR9" s="21" t="n">
        <x:f>'两日价格与决策'!AR105</x:f>
        <x:v>45657</x:v>
      </x:c>
      <x:c r="AS9" s="17" t="n">
        <x:f>'两日价格与决策'!AS105</x:f>
        <x:v>45658.9375</x:v>
      </x:c>
      <x:c r="AT9" s="18" t="str">
        <x:f>'两日价格与决策'!AT105</x:f>
        <x:v>2025-01-01_24</x:v>
      </x:c>
      <x:c r="AU9" s="19" t="n">
        <x:f>'两日价格与决策'!AU105</x:f>
        <x:v>60</x:v>
      </x:c>
      <x:c r="AV9" s="18" t="str">
        <x:f>'两日价格与决策'!AV105</x:f>
        <x:v>OK</x:v>
      </x:c>
    </x:row>
    <x:row r="10" ht="21" customHeight="1">
      <x:c r="A10" s="17" t="n">
        <x:f>'两日价格与决策'!A106</x:f>
        <x:v>45659.03125</x:v>
      </x:c>
      <x:c r="B10" s="23" t="n">
        <x:f>'两日价格与决策'!B106</x:f>
        <x:v>65.1</x:v>
      </x:c>
      <x:c r="C10" s="23" t="str">
        <x:f>'两日价格与决策'!C106</x:f>
        <x:v>缺失</x:v>
      </x:c>
      <x:c r="D10" s="23" t="n">
        <x:f>'两日价格与决策'!D106</x:f>
        <x:v>13.670814820771596</x:v>
      </x:c>
      <x:c r="E10" s="23" t="n">
        <x:f>'两日价格与决策'!E106</x:f>
        <x:v>14.710198829939085</x:v>
      </x:c>
      <x:c r="F10" s="23" t="n">
        <x:f>'两日价格与决策'!F106</x:f>
        <x:v>146.63014414667978</x:v>
      </x:c>
      <x:c r="G10" s="23" t="n">
        <x:f>'两日价格与决策'!G106</x:f>
        <x:v>30.197221607929073</x:v>
      </x:c>
      <x:c r="H10" s="23" t="str">
        <x:f>'两日价格与决策'!H106</x:f>
        <x:v>未模拟</x:v>
      </x:c>
      <x:c r="I10" s="24" t="n">
        <x:f>'两日价格与决策'!I106</x:f>
        <x:v>35.571859999999994</x:v>
      </x:c>
      <x:c r="J10" s="24" t="n">
        <x:f>'两日价格与决策'!J106</x:f>
        <x:v>57.68451999999999</x:v>
      </x:c>
      <x:c r="K10" s="24" t="n">
        <x:f>'两日价格与决策'!K106</x:f>
        <x:v>-100</x:v>
      </x:c>
      <x:c r="L10" s="24" t="n">
        <x:f>'两日价格与决策'!L106</x:f>
        <x:v>0</x:v>
      </x:c>
      <x:c r="M10" s="24" t="n">
        <x:f>'两日价格与决策'!M106</x:f>
        <x:v>100</x:v>
      </x:c>
      <x:c r="N10" s="24" t="n">
        <x:f>'两日价格与决策'!N106</x:f>
        <x:v>0</x:v>
      </x:c>
      <x:c r="O10" s="24" t="n">
        <x:f>'两日价格与决策'!O106</x:f>
        <x:v>0.9645000000000001</x:v>
      </x:c>
      <x:c r="P10" s="24" t="n">
        <x:f>'两日价格与决策'!P106</x:f>
        <x:v>0</x:v>
      </x:c>
      <x:c r="Q10" s="25" t="n">
        <x:f>'两日价格与决策'!Q106</x:f>
        <x:v>-1627.4999999999998</x:v>
      </x:c>
      <x:c r="R10" s="25" t="n">
        <x:f>'两日价格与决策'!R106</x:f>
        <x:v>0</x:v>
      </x:c>
      <x:c r="S10" s="25" t="n">
        <x:f>'两日价格与决策'!S106</x:f>
        <x:v>341.77037051928994</x:v>
      </x:c>
      <x:c r="T10" s="25" t="n">
        <x:f>'两日价格与决策'!T106</x:f>
        <x:v>0</x:v>
      </x:c>
      <x:c r="U10" s="25" t="n">
        <x:f>'两日价格与决策'!U106</x:f>
        <x:v>141.42477402947267</x:v>
      </x:c>
      <x:c r="V10" s="25" t="n">
        <x:f>'两日价格与决策'!V106</x:f>
        <x:v>0</x:v>
      </x:c>
      <x:c r="W10" s="25" t="n">
        <x:f>'两日价格与决策'!W106</x:f>
        <x:v>-1144.304855451237</x:v>
      </x:c>
      <x:c r="X10" s="18" t="n">
        <x:f>'两日价格与决策'!X106</x:f>
        <x:v>-1144.3048554512372</x:v>
      </x:c>
      <x:c r="Y10" s="18" t="n">
        <x:f>'两日价格与决策'!Y106</x:f>
        <x:v>2.2737367544323206e-13</x:v>
      </x:c>
      <x:c r="Z10" s="18" t="str">
        <x:f>"1月2日执行｜前窗冻结订单"</x:f>
        <x:v>1月2日执行｜前窗冻结订单</x:v>
      </x:c>
      <x:c r="AA10" s="19" t="n">
        <x:f>'两日价格与决策'!AA106</x:f>
        <x:v>1</x:v>
      </x:c>
      <x:c r="AB10" s="19" t="n">
        <x:f>'两日价格与决策'!AB106</x:f>
        <x:v>0</x:v>
      </x:c>
      <x:c r="AC10" s="18" t="n">
        <x:f>'两日价格与决策'!AC106</x:f>
        <x:v>0.25</x:v>
      </x:c>
      <x:c r="AD10" s="20" t="n">
        <x:f>'两日价格与决策'!AD106</x:f>
        <x:v>1</x:v>
      </x:c>
      <x:c r="AE10" s="20" t="n">
        <x:f>'两日价格与决策'!AE106</x:f>
        <x:v>0.03858</x:v>
      </x:c>
      <x:c r="AF10" s="20" t="n">
        <x:f>'两日价格与决策'!AF106</x:f>
        <x:v>0.03004</x:v>
      </x:c>
      <x:c r="AG10" s="18" t="n">
        <x:f>'两日价格与决策'!AG106</x:f>
        <x:v>200</x:v>
      </x:c>
      <x:c r="AH10" s="18" t="n">
        <x:f>'两日价格与决策'!AH106</x:f>
        <x:v>200</x:v>
      </x:c>
      <x:c r="AI10" s="18" t="n">
        <x:f>'两日价格与决策'!AI106</x:f>
        <x:v>1.929</x:v>
      </x:c>
      <x:c r="AJ10" s="18" t="n">
        <x:f>'两日价格与决策'!AJ106</x:f>
        <x:v>1.502</x:v>
      </x:c>
      <x:c r="AK10" s="18" t="str">
        <x:f>'两日价格与决策'!AK106</x:f>
        <x:v>缺失</x:v>
      </x:c>
      <x:c r="AL10" s="18" t="n">
        <x:f>'两日价格与决策'!AL106</x:f>
        <x:v>0.06142405555555556</x:v>
      </x:c>
      <x:c r="AM10" s="18" t="n">
        <x:f>'两日价格与决策'!AM106</x:f>
        <x:v>24.035500000000003</x:v>
      </x:c>
      <x:c r="AN10" s="18" t="n">
        <x:f>'两日价格与决策'!AN106</x:f>
        <x:v>0</x:v>
      </x:c>
      <x:c r="AO10" s="18" t="n">
        <x:f>'两日价格与决策'!AO106</x:f>
        <x:v>57.68452</x:v>
      </x:c>
      <x:c r="AP10" s="18" t="n">
        <x:f>'两日价格与决策'!AP106</x:f>
        <x:v>7.105427357601002e-15</x:v>
      </x:c>
      <x:c r="AQ10" s="18" t="n">
        <x:f>'两日价格与决策'!AQ106</x:f>
        <x:v>4.9741</x:v>
      </x:c>
      <x:c r="AR10" s="21" t="n">
        <x:f>'两日价格与决策'!AR106</x:f>
        <x:v>45657</x:v>
      </x:c>
      <x:c r="AS10" s="17" t="n">
        <x:f>'两日价格与决策'!AS106</x:f>
        <x:v>45658.947916666664</x:v>
      </x:c>
      <x:c r="AT10" s="18" t="str">
        <x:f>'两日价格与决策'!AT106</x:f>
        <x:v>2025-01-01_24</x:v>
      </x:c>
      <x:c r="AU10" s="19" t="n">
        <x:f>'两日价格与决策'!AU106</x:f>
        <x:v>60</x:v>
      </x:c>
      <x:c r="AV10" s="18" t="str">
        <x:f>'两日价格与决策'!AV106</x:f>
        <x:v>OK</x:v>
      </x:c>
    </x:row>
    <x:row r="11" ht="21" customHeight="1">
      <x:c r="A11" s="17" t="n">
        <x:f>'两日价格与决策'!A107</x:f>
        <x:v>45659.041666666664</x:v>
      </x:c>
      <x:c r="B11" s="23" t="n">
        <x:f>'两日价格与决策'!B107</x:f>
        <x:v>57.07</x:v>
      </x:c>
      <x:c r="C11" s="23" t="str">
        <x:f>'两日价格与决策'!C107</x:f>
        <x:v>缺失</x:v>
      </x:c>
      <x:c r="D11" s="23" t="n">
        <x:f>'两日价格与决策'!D107</x:f>
        <x:v>13.670814820771596</x:v>
      </x:c>
      <x:c r="E11" s="23" t="n">
        <x:f>'两日价格与决策'!E107</x:f>
        <x:v>14.710198829939085</x:v>
      </x:c>
      <x:c r="F11" s="23" t="n">
        <x:f>'两日价格与决策'!F107</x:f>
        <x:v>147.153856979152</x:v>
      </x:c>
      <x:c r="G11" s="23" t="n">
        <x:f>'两日价格与决策'!G107</x:f>
        <x:v>58.3020043827024</x:v>
      </x:c>
      <x:c r="H11" s="23" t="str">
        <x:f>'两日价格与决策'!H107</x:f>
        <x:v>未模拟</x:v>
      </x:c>
      <x:c r="I11" s="24" t="n">
        <x:f>'两日价格与决策'!I107</x:f>
        <x:v>57.68451999999999</x:v>
      </x:c>
      <x:c r="J11" s="24" t="n">
        <x:f>'两日价格与决策'!J107</x:f>
        <x:v>49.88209739130434</x:v>
      </x:c>
      <x:c r="K11" s="24" t="n">
        <x:f>'两日价格与决策'!K107</x:f>
        <x:v>0</x:v>
      </x:c>
      <x:c r="L11" s="24" t="n">
        <x:f>'两日价格与决策'!L107</x:f>
        <x:v>0</x:v>
      </x:c>
      <x:c r="M11" s="24" t="n">
        <x:f>'两日价格与决策'!M107</x:f>
        <x:v>100</x:v>
      </x:c>
      <x:c r="N11" s="24" t="n">
        <x:f>'两日价格与决策'!N107</x:f>
        <x:v>100</x:v>
      </x:c>
      <x:c r="O11" s="24" t="n">
        <x:f>'两日价格与决策'!O107</x:f>
        <x:v>7.185</x:v>
      </x:c>
      <x:c r="P11" s="24" t="n">
        <x:f>'两日价格与决策'!P107</x:f>
        <x:v>0.008</x:v>
      </x:c>
      <x:c r="Q11" s="25" t="n">
        <x:f>'两日价格与决策'!Q107</x:f>
        <x:v>0</x:v>
      </x:c>
      <x:c r="R11" s="25" t="n">
        <x:f>'两日价格与决策'!R107</x:f>
        <x:v>0</x:v>
      </x:c>
      <x:c r="S11" s="25" t="n">
        <x:f>'两日价格与决策'!S107</x:f>
        <x:v>341.77037051928994</x:v>
      </x:c>
      <x:c r="T11" s="25" t="n">
        <x:f>'两日价格与决策'!T107</x:f>
        <x:v>367.7549707484771</x:v>
      </x:c>
      <x:c r="U11" s="25" t="n">
        <x:f>'两日价格与决策'!U107</x:f>
        <x:v>1057.3004623952072</x:v>
      </x:c>
      <x:c r="V11" s="25" t="n">
        <x:f>'两日价格与决策'!V107</x:f>
        <x:v>-0.4664160350616192</x:v>
      </x:c>
      <x:c r="W11" s="25" t="n">
        <x:f>'两日价格与决策'!W107</x:f>
        <x:v>1766.3593876279126</x:v>
      </x:c>
      <x:c r="X11" s="18" t="n">
        <x:f>'两日价格与决策'!X107</x:f>
        <x:v>1766.3593876279126</x:v>
      </x:c>
      <x:c r="Y11" s="18" t="n">
        <x:f>'两日价格与决策'!Y107</x:f>
        <x:v>0</x:v>
      </x:c>
      <x:c r="Z11" s="18" t="str">
        <x:f>"1月2日执行｜前窗冻结订单"</x:f>
        <x:v>1月2日执行｜前窗冻结订单</x:v>
      </x:c>
      <x:c r="AA11" s="19" t="n">
        <x:f>'两日价格与决策'!AA107</x:f>
        <x:v>1</x:v>
      </x:c>
      <x:c r="AB11" s="19" t="n">
        <x:f>'两日价格与决策'!AB107</x:f>
        <x:v>0</x:v>
      </x:c>
      <x:c r="AC11" s="18" t="n">
        <x:f>'两日价格与决策'!AC107</x:f>
        <x:v>0.25</x:v>
      </x:c>
      <x:c r="AD11" s="20" t="n">
        <x:f>'两日价格与决策'!AD107</x:f>
        <x:v>1</x:v>
      </x:c>
      <x:c r="AE11" s="20" t="n">
        <x:f>'两日价格与决策'!AE107</x:f>
        <x:v>0.2874</x:v>
      </x:c>
      <x:c r="AF11" s="20" t="n">
        <x:f>'两日价格与决策'!AF107</x:f>
        <x:v>0.00032</x:v>
      </x:c>
      <x:c r="AG11" s="18" t="n">
        <x:f>'两日价格与决策'!AG107</x:f>
        <x:v>200</x:v>
      </x:c>
      <x:c r="AH11" s="18" t="n">
        <x:f>'两日价格与决策'!AH107</x:f>
        <x:v>200</x:v>
      </x:c>
      <x:c r="AI11" s="18" t="n">
        <x:f>'两日价格与决策'!AI107</x:f>
        <x:v>14.37</x:v>
      </x:c>
      <x:c r="AJ11" s="18" t="n">
        <x:f>'两日价格与决策'!AJ107</x:f>
        <x:v>0.016</x:v>
      </x:c>
      <x:c r="AK11" s="18" t="str">
        <x:f>'两日价格与决策'!AK107</x:f>
        <x:v>缺失</x:v>
      </x:c>
      <x:c r="AL11" s="18" t="n">
        <x:f>'两日价格与决策'!AL107</x:f>
        <x:v>0.021714285024154588</x:v>
      </x:c>
      <x:c r="AM11" s="18" t="n">
        <x:f>'两日价格与决策'!AM107</x:f>
        <x:v>0.008</x:v>
      </x:c>
      <x:c r="AN11" s="18" t="n">
        <x:f>'两日价格与决策'!AN107</x:f>
        <x:v>7.185</x:v>
      </x:c>
      <x:c r="AO11" s="18" t="n">
        <x:f>'两日价格与决策'!AO107</x:f>
        <x:v>49.88209739130435</x:v>
      </x:c>
      <x:c r="AP11" s="18" t="n">
        <x:f>'两日价格与决策'!AP107</x:f>
        <x:v>7.105427357601002e-15</x:v>
      </x:c>
      <x:c r="AQ11" s="18" t="n">
        <x:f>'两日价格与决策'!AQ107</x:f>
        <x:v>4.9741</x:v>
      </x:c>
      <x:c r="AR11" s="21" t="n">
        <x:f>'两日价格与决策'!AR107</x:f>
        <x:v>45657</x:v>
      </x:c>
      <x:c r="AS11" s="17" t="n">
        <x:f>'两日价格与决策'!AS107</x:f>
        <x:v>45658.958333333336</x:v>
      </x:c>
      <x:c r="AT11" s="18" t="str">
        <x:f>'两日价格与决策'!AT107</x:f>
        <x:v>2025-01-02_1</x:v>
      </x:c>
      <x:c r="AU11" s="19" t="n">
        <x:f>'两日价格与决策'!AU107</x:f>
        <x:v>60</x:v>
      </x:c>
      <x:c r="AV11" s="18" t="str">
        <x:f>'两日价格与决策'!AV107</x:f>
        <x:v>OK</x:v>
      </x:c>
    </x:row>
    <x:row r="12" ht="21" customHeight="1">
      <x:c r="A12" s="17" t="n">
        <x:f>'两日价格与决策'!A108</x:f>
        <x:v>45659.052083333336</x:v>
      </x:c>
      <x:c r="B12" s="23" t="n">
        <x:f>'两日价格与决策'!B108</x:f>
        <x:v>57.07</x:v>
      </x:c>
      <x:c r="C12" s="23" t="str">
        <x:f>'两日价格与决策'!C108</x:f>
        <x:v>缺失</x:v>
      </x:c>
      <x:c r="D12" s="23" t="n">
        <x:f>'两日价格与决策'!D108</x:f>
        <x:v>13.670814820771596</x:v>
      </x:c>
      <x:c r="E12" s="23" t="n">
        <x:f>'两日价格与决策'!E108</x:f>
        <x:v>14.710198829939085</x:v>
      </x:c>
      <x:c r="F12" s="23" t="n">
        <x:f>'两日价格与决策'!F108</x:f>
        <x:v>145.15289198045878</x:v>
      </x:c>
      <x:c r="G12" s="23" t="n">
        <x:f>'两日价格与决策'!G108</x:f>
        <x:v>0</x:v>
      </x:c>
      <x:c r="H12" s="23" t="str">
        <x:f>'两日价格与决策'!H108</x:f>
        <x:v>未模拟</x:v>
      </x:c>
      <x:c r="I12" s="24" t="n">
        <x:f>'两日价格与决策'!I108</x:f>
        <x:v>49.88209739130434</x:v>
      </x:c>
      <x:c r="J12" s="24" t="n">
        <x:f>'两日价格与决策'!J108</x:f>
        <x:v>44.742966956521734</x:v>
      </x:c>
      <x:c r="K12" s="24" t="n">
        <x:f>'两日价格与决策'!K108</x:f>
        <x:v>0</x:v>
      </x:c>
      <x:c r="L12" s="24" t="n">
        <x:f>'两日价格与决策'!L108</x:f>
        <x:v>0</x:v>
      </x:c>
      <x:c r="M12" s="24" t="n">
        <x:f>'两日价格与决策'!M108</x:f>
        <x:v>100</x:v>
      </x:c>
      <x:c r="N12" s="24" t="n">
        <x:f>'两日价格与决策'!N108</x:f>
        <x:v>100</x:v>
      </x:c>
      <x:c r="O12" s="24" t="n">
        <x:f>'两日价格与决策'!O108</x:f>
        <x:v>4.728</x:v>
      </x:c>
      <x:c r="P12" s="24" t="n">
        <x:f>'两日价格与决策'!P108</x:f>
        <x:v>0</x:v>
      </x:c>
      <x:c r="Q12" s="25" t="n">
        <x:f>'两日价格与决策'!Q108</x:f>
        <x:v>0</x:v>
      </x:c>
      <x:c r="R12" s="25" t="n">
        <x:f>'两日价格与决策'!R108</x:f>
        <x:v>0</x:v>
      </x:c>
      <x:c r="S12" s="25" t="n">
        <x:f>'两日价格与决策'!S108</x:f>
        <x:v>341.77037051928994</x:v>
      </x:c>
      <x:c r="T12" s="25" t="n">
        <x:f>'两日价格与决策'!T108</x:f>
        <x:v>367.7549707484771</x:v>
      </x:c>
      <x:c r="U12" s="25" t="n">
        <x:f>'两日价格与决策'!U108</x:f>
        <x:v>686.2828732836091</x:v>
      </x:c>
      <x:c r="V12" s="25" t="n">
        <x:f>'两日价格与决策'!V108</x:f>
        <x:v>0</x:v>
      </x:c>
      <x:c r="W12" s="25" t="n">
        <x:f>'两日价格与决策'!W108</x:f>
        <x:v>1395.8082145513763</x:v>
      </x:c>
      <x:c r="X12" s="18" t="n">
        <x:f>'两日价格与决策'!X108</x:f>
        <x:v>1395.808214551376</x:v>
      </x:c>
      <x:c r="Y12" s="18" t="n">
        <x:f>'两日价格与决策'!Y108</x:f>
        <x:v>2.2737367544323206e-13</x:v>
      </x:c>
      <x:c r="Z12" s="18" t="str">
        <x:f>"1月2日执行｜前窗冻结订单"</x:f>
        <x:v>1月2日执行｜前窗冻结订单</x:v>
      </x:c>
      <x:c r="AA12" s="19" t="n">
        <x:f>'两日价格与决策'!AA108</x:f>
        <x:v>1</x:v>
      </x:c>
      <x:c r="AB12" s="19" t="n">
        <x:f>'两日价格与决策'!AB108</x:f>
        <x:v>0</x:v>
      </x:c>
      <x:c r="AC12" s="18" t="n">
        <x:f>'两日价格与决策'!AC108</x:f>
        <x:v>0.25</x:v>
      </x:c>
      <x:c r="AD12" s="20" t="n">
        <x:f>'两日价格与决策'!AD108</x:f>
        <x:v>1</x:v>
      </x:c>
      <x:c r="AE12" s="20" t="n">
        <x:f>'两日价格与决策'!AE108</x:f>
        <x:v>0.18911999999999998</x:v>
      </x:c>
      <x:c r="AF12" s="20" t="n">
        <x:f>'两日价格与决策'!AF108</x:f>
        <x:v>0</x:v>
      </x:c>
      <x:c r="AG12" s="18" t="n">
        <x:f>'两日价格与决策'!AG108</x:f>
        <x:v>200</x:v>
      </x:c>
      <x:c r="AH12" s="18" t="n">
        <x:f>'两日价格与决策'!AH108</x:f>
        <x:v>200</x:v>
      </x:c>
      <x:c r="AI12" s="18" t="n">
        <x:f>'两日价格与决策'!AI108</x:f>
        <x:v>9.456</x:v>
      </x:c>
      <x:c r="AJ12" s="18" t="n">
        <x:f>'两日价格与决策'!AJ108</x:f>
        <x:v>0</x:v>
      </x:c>
      <x:c r="AK12" s="18" t="str">
        <x:f>'两日价格与决策'!AK108</x:f>
        <x:v>缺失</x:v>
      </x:c>
      <x:c r="AL12" s="18" t="n">
        <x:f>'两日价格与决策'!AL108</x:f>
        <x:v>0.014275362318840577</x:v>
      </x:c>
      <x:c r="AM12" s="18" t="n">
        <x:f>'两日价格与决策'!AM108</x:f>
        <x:v>0</x:v>
      </x:c>
      <x:c r="AN12" s="18" t="n">
        <x:f>'两日价格与决策'!AN108</x:f>
        <x:v>4.728</x:v>
      </x:c>
      <x:c r="AO12" s="18" t="n">
        <x:f>'两日价格与决策'!AO108</x:f>
        <x:v>44.74296695652174</x:v>
      </x:c>
      <x:c r="AP12" s="18" t="n">
        <x:f>'两日价格与决策'!AP108</x:f>
        <x:v>7.105427357601002e-15</x:v>
      </x:c>
      <x:c r="AQ12" s="18" t="n">
        <x:f>'两日价格与决策'!AQ108</x:f>
        <x:v>4.9741</x:v>
      </x:c>
      <x:c r="AR12" s="21" t="n">
        <x:f>'两日价格与决策'!AR108</x:f>
        <x:v>45657</x:v>
      </x:c>
      <x:c r="AS12" s="17" t="n">
        <x:f>'两日价格与决策'!AS108</x:f>
        <x:v>45658.96875</x:v>
      </x:c>
      <x:c r="AT12" s="18" t="str">
        <x:f>'两日价格与决策'!AT108</x:f>
        <x:v>2025-01-02_1</x:v>
      </x:c>
      <x:c r="AU12" s="19" t="n">
        <x:f>'两日价格与决策'!AU108</x:f>
        <x:v>60</x:v>
      </x:c>
      <x:c r="AV12" s="18" t="str">
        <x:f>'两日价格与决策'!AV108</x:f>
        <x:v>OK</x:v>
      </x:c>
    </x:row>
    <x:row r="13" ht="21" customHeight="1">
      <x:c r="A13" s="17" t="n">
        <x:f>'两日价格与决策'!A109</x:f>
        <x:v>45659.0625</x:v>
      </x:c>
      <x:c r="B13" s="23" t="n">
        <x:f>'两日价格与决策'!B109</x:f>
        <x:v>57.07</x:v>
      </x:c>
      <x:c r="C13" s="23" t="str">
        <x:f>'两日价格与决策'!C109</x:f>
        <x:v>缺失</x:v>
      </x:c>
      <x:c r="D13" s="23" t="n">
        <x:f>'两日价格与决策'!D109</x:f>
        <x:v>13.670814820771596</x:v>
      </x:c>
      <x:c r="E13" s="23" t="n">
        <x:f>'两日价格与决策'!E109</x:f>
        <x:v>14.710198829939085</x:v>
      </x:c>
      <x:c r="F13" s="23" t="n">
        <x:f>'两日价格与决策'!F109</x:f>
        <x:v>136.70814820771596</x:v>
      </x:c>
      <x:c r="G13" s="23" t="n">
        <x:f>'两日价格与决策'!G109</x:f>
        <x:v>43.580949317464466</x:v>
      </x:c>
      <x:c r="H13" s="23" t="str">
        <x:f>'两日价格与决策'!H109</x:f>
        <x:v>未模拟</x:v>
      </x:c>
      <x:c r="I13" s="24" t="n">
        <x:f>'两日价格与决策'!I109</x:f>
        <x:v>44.742966956521734</x:v>
      </x:c>
      <x:c r="J13" s="24" t="n">
        <x:f>'两日价格与决策'!J109</x:f>
        <x:v>45.20886608695652</x:v>
      </x:c>
      <x:c r="K13" s="24" t="n">
        <x:f>'两日价格与决策'!K109</x:f>
        <x:v>0</x:v>
      </x:c>
      <x:c r="L13" s="24" t="n">
        <x:f>'两日价格与决策'!L109</x:f>
        <x:v>0</x:v>
      </x:c>
      <x:c r="M13" s="24" t="n">
        <x:f>'两日价格与决策'!M109</x:f>
        <x:v>100</x:v>
      </x:c>
      <x:c r="N13" s="24" t="n">
        <x:f>'两日价格与决策'!N109</x:f>
        <x:v>100</x:v>
      </x:c>
      <x:c r="O13" s="24" t="n">
        <x:f>'两日价格与决策'!O109</x:f>
        <x:v>0.141</x:v>
      </x:c>
      <x:c r="P13" s="24" t="n">
        <x:f>'两日价格与决策'!P109</x:f>
        <x:v>0.673</x:v>
      </x:c>
      <x:c r="Q13" s="25" t="n">
        <x:f>'两日价格与决策'!Q109</x:f>
        <x:v>0</x:v>
      </x:c>
      <x:c r="R13" s="25" t="n">
        <x:f>'两日价格与决策'!R109</x:f>
        <x:v>0</x:v>
      </x:c>
      <x:c r="S13" s="25" t="n">
        <x:f>'两日价格与决策'!S109</x:f>
        <x:v>341.77037051928994</x:v>
      </x:c>
      <x:c r="T13" s="25" t="n">
        <x:f>'两日价格与决策'!T109</x:f>
        <x:v>367.7549707484771</x:v>
      </x:c>
      <x:c r="U13" s="25" t="n">
        <x:f>'两日价格与决策'!U109</x:f>
        <x:v>19.27584889728795</x:v>
      </x:c>
      <x:c r="V13" s="25" t="n">
        <x:f>'两日价格与决策'!V109</x:f>
        <x:v>-29.32997889065359</x:v>
      </x:c>
      <x:c r="W13" s="25" t="n">
        <x:f>'两日价格与决策'!W109</x:f>
        <x:v>699.4712112744014</x:v>
      </x:c>
      <x:c r="X13" s="18" t="n">
        <x:f>'两日价格与决策'!X109</x:f>
        <x:v>699.4712112744014</x:v>
      </x:c>
      <x:c r="Y13" s="18" t="n">
        <x:f>'两日价格与决策'!Y109</x:f>
        <x:v>0</x:v>
      </x:c>
      <x:c r="Z13" s="18" t="str">
        <x:f>"1月2日执行｜前窗冻结订单"</x:f>
        <x:v>1月2日执行｜前窗冻结订单</x:v>
      </x:c>
      <x:c r="AA13" s="19" t="n">
        <x:f>'两日价格与决策'!AA109</x:f>
        <x:v>1</x:v>
      </x:c>
      <x:c r="AB13" s="19" t="n">
        <x:f>'两日价格与决策'!AB109</x:f>
        <x:v>0</x:v>
      </x:c>
      <x:c r="AC13" s="18" t="n">
        <x:f>'两日价格与决策'!AC109</x:f>
        <x:v>0.25</x:v>
      </x:c>
      <x:c r="AD13" s="20" t="n">
        <x:f>'两日价格与决策'!AD109</x:f>
        <x:v>1</x:v>
      </x:c>
      <x:c r="AE13" s="20" t="n">
        <x:f>'两日价格与决策'!AE109</x:f>
        <x:v>0.005639999999999999</x:v>
      </x:c>
      <x:c r="AF13" s="20" t="n">
        <x:f>'两日价格与决策'!AF109</x:f>
        <x:v>0.026920000000000003</x:v>
      </x:c>
      <x:c r="AG13" s="18" t="n">
        <x:f>'两日价格与决策'!AG109</x:f>
        <x:v>200</x:v>
      </x:c>
      <x:c r="AH13" s="18" t="n">
        <x:f>'两日价格与决策'!AH109</x:f>
        <x:v>200</x:v>
      </x:c>
      <x:c r="AI13" s="18" t="n">
        <x:f>'两日价格与决策'!AI109</x:f>
        <x:v>0.282</x:v>
      </x:c>
      <x:c r="AJ13" s="18" t="n">
        <x:f>'两日价格与决策'!AJ109</x:f>
        <x:v>1.346</x:v>
      </x:c>
      <x:c r="AK13" s="18" t="str">
        <x:f>'两日价格与决策'!AK109</x:f>
        <x:v>缺失</x:v>
      </x:c>
      <x:c r="AL13" s="18" t="n">
        <x:f>'两日价格与决策'!AL109</x:f>
        <x:v>0.002145613526570048</x:v>
      </x:c>
      <x:c r="AM13" s="18" t="n">
        <x:f>'两日价格与决策'!AM109</x:f>
        <x:v>0.673</x:v>
      </x:c>
      <x:c r="AN13" s="18" t="n">
        <x:f>'两日价格与决策'!AN109</x:f>
        <x:v>0.141</x:v>
      </x:c>
      <x:c r="AO13" s="18" t="n">
        <x:f>'两日价格与决策'!AO109</x:f>
        <x:v>45.208866086956526</x:v>
      </x:c>
      <x:c r="AP13" s="18" t="n">
        <x:f>'两日价格与决策'!AP109</x:f>
        <x:v>7.105427357601002e-15</x:v>
      </x:c>
      <x:c r="AQ13" s="18" t="n">
        <x:f>'两日价格与决策'!AQ109</x:f>
        <x:v>4.9741</x:v>
      </x:c>
      <x:c r="AR13" s="21" t="n">
        <x:f>'两日价格与决策'!AR109</x:f>
        <x:v>45657</x:v>
      </x:c>
      <x:c r="AS13" s="17" t="n">
        <x:f>'两日价格与决策'!AS109</x:f>
        <x:v>45658.979166666664</x:v>
      </x:c>
      <x:c r="AT13" s="18" t="str">
        <x:f>'两日价格与决策'!AT109</x:f>
        <x:v>2025-01-02_1</x:v>
      </x:c>
      <x:c r="AU13" s="19" t="n">
        <x:f>'两日价格与决策'!AU109</x:f>
        <x:v>60</x:v>
      </x:c>
      <x:c r="AV13" s="18" t="str">
        <x:f>'两日价格与决策'!AV109</x:f>
        <x:v>OK</x:v>
      </x:c>
    </x:row>
    <x:row r="14" ht="21" customHeight="1">
      <x:c r="A14" s="17" t="n">
        <x:f>'两日价格与决策'!A110</x:f>
        <x:v>45659.072916666664</x:v>
      </x:c>
      <x:c r="B14" s="23" t="n">
        <x:f>'两日价格与决策'!B110</x:f>
        <x:v>57.07</x:v>
      </x:c>
      <x:c r="C14" s="23" t="str">
        <x:f>'两日价格与决策'!C110</x:f>
        <x:v>缺失</x:v>
      </x:c>
      <x:c r="D14" s="23" t="n">
        <x:f>'两日价格与决策'!D110</x:f>
        <x:v>13.670814820771596</x:v>
      </x:c>
      <x:c r="E14" s="23" t="n">
        <x:f>'两日价格与决策'!E110</x:f>
        <x:v>14.710198829939085</x:v>
      </x:c>
      <x:c r="F14" s="23" t="n">
        <x:f>'两日价格与决策'!F110</x:f>
        <x:v>0</x:v>
      </x:c>
      <x:c r="G14" s="23" t="n">
        <x:f>'两日价格与决策'!G110</x:f>
        <x:v>20.918558131119198</x:v>
      </x:c>
      <x:c r="H14" s="23" t="str">
        <x:f>'两日价格与决策'!H110</x:f>
        <x:v>未模拟</x:v>
      </x:c>
      <x:c r="I14" s="24" t="n">
        <x:f>'两日价格与决策'!I110</x:f>
        <x:v>45.20886608695652</x:v>
      </x:c>
      <x:c r="J14" s="24" t="n">
        <x:f>'两日价格与决策'!J110</x:f>
        <x:v>48.927966086956516</x:v>
      </x:c>
      <x:c r="K14" s="24" t="n">
        <x:f>'两日价格与决策'!K110</x:f>
        <x:v>0</x:v>
      </x:c>
      <x:c r="L14" s="24" t="n">
        <x:f>'两日价格与决策'!L110</x:f>
        <x:v>0</x:v>
      </x:c>
      <x:c r="M14" s="24" t="n">
        <x:f>'两日价格与决策'!M110</x:f>
        <x:v>100</x:v>
      </x:c>
      <x:c r="N14" s="24" t="n">
        <x:f>'两日价格与决策'!N110</x:f>
        <x:v>100</x:v>
      </x:c>
      <x:c r="O14" s="24" t="n">
        <x:f>'两日价格与决策'!O110</x:f>
        <x:v>0</x:v>
      </x:c>
      <x:c r="P14" s="24" t="n">
        <x:f>'两日价格与决策'!P110</x:f>
        <x:v>4.0425</x:v>
      </x:c>
      <x:c r="Q14" s="25" t="n">
        <x:f>'两日价格与决策'!Q110</x:f>
        <x:v>0</x:v>
      </x:c>
      <x:c r="R14" s="25" t="n">
        <x:f>'两日价格与决策'!R110</x:f>
        <x:v>0</x:v>
      </x:c>
      <x:c r="S14" s="25" t="n">
        <x:f>'两日价格与决策'!S110</x:f>
        <x:v>341.77037051928994</x:v>
      </x:c>
      <x:c r="T14" s="25" t="n">
        <x:f>'两日价格与决策'!T110</x:f>
        <x:v>367.7549707484771</x:v>
      </x:c>
      <x:c r="U14" s="25" t="n">
        <x:f>'两日价格与决策'!U110</x:f>
        <x:v>0</x:v>
      </x:c>
      <x:c r="V14" s="25" t="n">
        <x:f>'两日价格与决策'!V110</x:f>
        <x:v>-84.56327124504936</x:v>
      </x:c>
      <x:c r="W14" s="25" t="n">
        <x:f>'两日价格与决策'!W110</x:f>
        <x:v>624.9620700227177</x:v>
      </x:c>
      <x:c r="X14" s="18" t="n">
        <x:f>'两日价格与决策'!X110</x:f>
        <x:v>624.9620700227176</x:v>
      </x:c>
      <x:c r="Y14" s="18" t="n">
        <x:f>'两日价格与决策'!Y110</x:f>
        <x:v>1.1368683772161603e-13</x:v>
      </x:c>
      <x:c r="Z14" s="18" t="str">
        <x:f>"1月2日执行｜前窗冻结订单"</x:f>
        <x:v>1月2日执行｜前窗冻结订单</x:v>
      </x:c>
      <x:c r="AA14" s="19" t="n">
        <x:f>'两日价格与决策'!AA110</x:f>
        <x:v>1</x:v>
      </x:c>
      <x:c r="AB14" s="19" t="n">
        <x:f>'两日价格与决策'!AB110</x:f>
        <x:v>0</x:v>
      </x:c>
      <x:c r="AC14" s="18" t="n">
        <x:f>'两日价格与决策'!AC110</x:f>
        <x:v>0.25</x:v>
      </x:c>
      <x:c r="AD14" s="20" t="n">
        <x:f>'两日价格与决策'!AD110</x:f>
        <x:v>1</x:v>
      </x:c>
      <x:c r="AE14" s="20" t="n">
        <x:f>'两日价格与决策'!AE110</x:f>
        <x:v>0</x:v>
      </x:c>
      <x:c r="AF14" s="20" t="n">
        <x:f>'两日价格与决策'!AF110</x:f>
        <x:v>0.1617</x:v>
      </x:c>
      <x:c r="AG14" s="18" t="n">
        <x:f>'两日价格与决策'!AG110</x:f>
        <x:v>200</x:v>
      </x:c>
      <x:c r="AH14" s="18" t="n">
        <x:f>'两日价格与决策'!AH110</x:f>
        <x:v>200</x:v>
      </x:c>
      <x:c r="AI14" s="18" t="n">
        <x:f>'两日价格与决策'!AI110</x:f>
        <x:v>0</x:v>
      </x:c>
      <x:c r="AJ14" s="18" t="n">
        <x:f>'两日价格与决策'!AJ110</x:f>
        <x:v>8.085</x:v>
      </x:c>
      <x:c r="AK14" s="18" t="str">
        <x:f>'两日价格与决策'!AK110</x:f>
        <x:v>缺失</x:v>
      </x:c>
      <x:c r="AL14" s="18" t="n">
        <x:f>'两日价格与决策'!AL110</x:f>
        <x:v>0.010330833333333334</x:v>
      </x:c>
      <x:c r="AM14" s="18" t="n">
        <x:f>'两日价格与决策'!AM110</x:f>
        <x:v>4.0425</x:v>
      </x:c>
      <x:c r="AN14" s="18" t="n">
        <x:f>'两日价格与决策'!AN110</x:f>
        <x:v>0</x:v>
      </x:c>
      <x:c r="AO14" s="18" t="n">
        <x:f>'两日价格与决策'!AO110</x:f>
        <x:v>48.92796608695652</x:v>
      </x:c>
      <x:c r="AP14" s="18" t="n">
        <x:f>'两日价格与决策'!AP110</x:f>
        <x:v>7.105427357601002e-15</x:v>
      </x:c>
      <x:c r="AQ14" s="18" t="n">
        <x:f>'两日价格与决策'!AQ110</x:f>
        <x:v>4.9741</x:v>
      </x:c>
      <x:c r="AR14" s="21" t="n">
        <x:f>'两日价格与决策'!AR110</x:f>
        <x:v>45657</x:v>
      </x:c>
      <x:c r="AS14" s="17" t="n">
        <x:f>'两日价格与决策'!AS110</x:f>
        <x:v>45658.989583333336</x:v>
      </x:c>
      <x:c r="AT14" s="18" t="str">
        <x:f>'两日价格与决策'!AT110</x:f>
        <x:v>2025-01-02_1</x:v>
      </x:c>
      <x:c r="AU14" s="19" t="n">
        <x:f>'两日价格与决策'!AU110</x:f>
        <x:v>60</x:v>
      </x:c>
      <x:c r="AV14" s="18" t="str">
        <x:f>'两日价格与决策'!AV110</x:f>
        <x:v>OK</x:v>
      </x:c>
    </x:row>
    <x:row r="15" ht="21" customHeight="1">
      <x:c r="A15" s="17" t="n">
        <x:f>'两日价格与决策'!A111</x:f>
        <x:v>45659.083333333336</x:v>
      </x:c>
      <x:c r="B15" s="23" t="n">
        <x:f>'两日价格与决策'!B111</x:f>
        <x:v>67.8</x:v>
      </x:c>
      <x:c r="C15" s="23" t="str">
        <x:f>'两日价格与决策'!C111</x:f>
        <x:v>缺失</x:v>
      </x:c>
      <x:c r="D15" s="23" t="n">
        <x:f>'两日价格与决策'!D111</x:f>
        <x:v>13.71102309965622</x:v>
      </x:c>
      <x:c r="E15" s="23" t="n">
        <x:f>'两日价格与决策'!E111</x:f>
        <x:v>14.710198829939085</x:v>
      </x:c>
      <x:c r="F15" s="23" t="n">
        <x:f>'两日价格与决策'!F111</x:f>
        <x:v>136.70814820771596</x:v>
      </x:c>
      <x:c r="G15" s="23" t="n">
        <x:f>'两日价格与决策'!G111</x:f>
        <x:v>38.37196678796165</x:v>
      </x:c>
      <x:c r="H15" s="23" t="str">
        <x:f>'两日价格与决策'!H111</x:f>
        <x:v>未模拟</x:v>
      </x:c>
      <x:c r="I15" s="24" t="n">
        <x:f>'两日价格与决策'!I111</x:f>
        <x:v>48.927966086956516</x:v>
      </x:c>
      <x:c r="J15" s="24" t="n">
        <x:f>'两日价格与决策'!J111</x:f>
        <x:v>47.28952608695651</x:v>
      </x:c>
      <x:c r="K15" s="24" t="n">
        <x:f>'两日价格与决策'!K111</x:f>
        <x:v>-4.8921549033860856e-15</x:v>
      </x:c>
      <x:c r="L15" s="24" t="n">
        <x:f>'两日价格与决策'!L111</x:f>
        <x:v>0</x:v>
      </x:c>
      <x:c r="M15" s="24" t="n">
        <x:f>'两日价格与决策'!M111</x:f>
        <x:v>100</x:v>
      </x:c>
      <x:c r="N15" s="24" t="n">
        <x:f>'两日价格与决策'!N111</x:f>
        <x:v>100</x:v>
      </x:c>
      <x:c r="O15" s="24" t="n">
        <x:f>'两日价格与决策'!O111</x:f>
        <x:v>1.8399999999999999</x:v>
      </x:c>
      <x:c r="P15" s="24" t="n">
        <x:f>'两日价格与决策'!P111</x:f>
        <x:v>0.393</x:v>
      </x:c>
      <x:c r="Q15" s="25" t="n">
        <x:f>'两日价格与决策'!Q111</x:f>
        <x:v>0</x:v>
      </x:c>
      <x:c r="R15" s="25" t="n">
        <x:f>'两日价格与决策'!R111</x:f>
        <x:v>0</x:v>
      </x:c>
      <x:c r="S15" s="25" t="n">
        <x:f>'两日价格与决策'!S111</x:f>
        <x:v>342.7755774914055</x:v>
      </x:c>
      <x:c r="T15" s="25" t="n">
        <x:f>'两日价格与决策'!T111</x:f>
        <x:v>367.7549707484771</x:v>
      </x:c>
      <x:c r="U15" s="25" t="n">
        <x:f>'两日价格与决策'!U111</x:f>
        <x:v>251.54299270219735</x:v>
      </x:c>
      <x:c r="V15" s="25" t="n">
        <x:f>'两日价格与决策'!V111</x:f>
        <x:v>-15.080182947668927</x:v>
      </x:c>
      <x:c r="W15" s="25" t="n">
        <x:f>'两日价格与决策'!W111</x:f>
        <x:v>946.993357994411</x:v>
      </x:c>
      <x:c r="X15" s="18" t="n">
        <x:f>'两日价格与决策'!X111</x:f>
        <x:v>946.993357994411</x:v>
      </x:c>
      <x:c r="Y15" s="18" t="n">
        <x:f>'两日价格与决策'!Y111</x:f>
        <x:v>0</x:v>
      </x:c>
      <x:c r="Z15" s="18" t="str">
        <x:f>"1月2日执行｜前窗冻结订单"</x:f>
        <x:v>1月2日执行｜前窗冻结订单</x:v>
      </x:c>
      <x:c r="AA15" s="19" t="n">
        <x:f>'两日价格与决策'!AA111</x:f>
        <x:v>1</x:v>
      </x:c>
      <x:c r="AB15" s="19" t="n">
        <x:f>'两日价格与决策'!AB111</x:f>
        <x:v>0</x:v>
      </x:c>
      <x:c r="AC15" s="18" t="n">
        <x:f>'两日价格与决策'!AC111</x:f>
        <x:v>0.25</x:v>
      </x:c>
      <x:c r="AD15" s="20" t="n">
        <x:f>'两日价格与决策'!AD111</x:f>
        <x:v>1</x:v>
      </x:c>
      <x:c r="AE15" s="20" t="n">
        <x:f>'两日价格与决策'!AE111</x:f>
        <x:v>0.0736</x:v>
      </x:c>
      <x:c r="AF15" s="20" t="n">
        <x:f>'两日价格与决策'!AF111</x:f>
        <x:v>0.01572</x:v>
      </x:c>
      <x:c r="AG15" s="18" t="n">
        <x:f>'两日价格与决策'!AG111</x:f>
        <x:v>200</x:v>
      </x:c>
      <x:c r="AH15" s="18" t="n">
        <x:f>'两日价格与决策'!AH111</x:f>
        <x:v>200</x:v>
      </x:c>
      <x:c r="AI15" s="18" t="n">
        <x:f>'两日价格与决策'!AI111</x:f>
        <x:v>3.68</x:v>
      </x:c>
      <x:c r="AJ15" s="18" t="n">
        <x:f>'两日价格与决策'!AJ111</x:f>
        <x:v>0.786</x:v>
      </x:c>
      <x:c r="AK15" s="18" t="str">
        <x:f>'两日价格与决策'!AK111</x:f>
        <x:v>缺失</x:v>
      </x:c>
      <x:c r="AL15" s="18" t="n">
        <x:f>'两日价格与决策'!AL111</x:f>
        <x:v>0.006559888888888891</x:v>
      </x:c>
      <x:c r="AM15" s="18" t="n">
        <x:f>'两日价格与决策'!AM111</x:f>
        <x:v>0.3930000000000011</x:v>
      </x:c>
      <x:c r="AN15" s="18" t="n">
        <x:f>'两日价格与决策'!AN111</x:f>
        <x:v>1.8399999999999999</x:v>
      </x:c>
      <x:c r="AO15" s="18" t="n">
        <x:f>'两日价格与决策'!AO111</x:f>
        <x:v>47.28952608695652</x:v>
      </x:c>
      <x:c r="AP15" s="18" t="n">
        <x:f>'两日价格与决策'!AP111</x:f>
        <x:v>7.105427357601002e-15</x:v>
      </x:c>
      <x:c r="AQ15" s="18" t="n">
        <x:f>'两日价格与决策'!AQ111</x:f>
        <x:v>4.9741</x:v>
      </x:c>
      <x:c r="AR15" s="21" t="n">
        <x:f>'两日价格与决策'!AR111</x:f>
        <x:v>45657</x:v>
      </x:c>
      <x:c r="AS15" s="17" t="n">
        <x:f>'两日价格与决策'!AS111</x:f>
        <x:v>45659</x:v>
      </x:c>
      <x:c r="AT15" s="18" t="str">
        <x:f>'两日价格与决策'!AT111</x:f>
        <x:v>2025-01-02_2</x:v>
      </x:c>
      <x:c r="AU15" s="19" t="n">
        <x:f>'两日价格与决策'!AU111</x:f>
        <x:v>60</x:v>
      </x:c>
      <x:c r="AV15" s="18" t="str">
        <x:f>'两日价格与决策'!AV111</x:f>
        <x:v>OK</x:v>
      </x:c>
    </x:row>
    <x:row r="16" ht="21" customHeight="1">
      <x:c r="A16" s="17" t="n">
        <x:f>'两日价格与决策'!A112</x:f>
        <x:v>45659.09375</x:v>
      </x:c>
      <x:c r="B16" s="23" t="n">
        <x:f>'两日价格与决策'!B112</x:f>
        <x:v>67.8</x:v>
      </x:c>
      <x:c r="C16" s="23" t="str">
        <x:f>'两日价格与决策'!C112</x:f>
        <x:v>缺失</x:v>
      </x:c>
      <x:c r="D16" s="23" t="n">
        <x:f>'两日价格与决策'!D112</x:f>
        <x:v>13.71102309965622</x:v>
      </x:c>
      <x:c r="E16" s="23" t="n">
        <x:f>'两日价格与决策'!E112</x:f>
        <x:v>14.710198829939085</x:v>
      </x:c>
      <x:c r="F16" s="23" t="n">
        <x:f>'两日价格与决策'!F112</x:f>
        <x:v>137.3154942602682</x:v>
      </x:c>
      <x:c r="G16" s="23" t="n">
        <x:f>'两日价格与决策'!G112</x:f>
        <x:v>0</x:v>
      </x:c>
      <x:c r="H16" s="23" t="str">
        <x:f>'两日价格与决策'!H112</x:f>
        <x:v>未模拟</x:v>
      </x:c>
      <x:c r="I16" s="24" t="n">
        <x:f>'两日价格与决策'!I112</x:f>
        <x:v>47.28952608695651</x:v>
      </x:c>
      <x:c r="J16" s="24" t="n">
        <x:f>'两日价格与决策'!J112</x:f>
        <x:v>44.10637391304347</x:v>
      </x:c>
      <x:c r="K16" s="24" t="n">
        <x:f>'两日价格与决策'!K112</x:f>
        <x:v>-4.8921549033860856e-15</x:v>
      </x:c>
      <x:c r="L16" s="24" t="n">
        <x:f>'两日价格与决策'!L112</x:f>
        <x:v>0</x:v>
      </x:c>
      <x:c r="M16" s="24" t="n">
        <x:f>'两日价格与决策'!M112</x:f>
        <x:v>100</x:v>
      </x:c>
      <x:c r="N16" s="24" t="n">
        <x:f>'两日价格与决策'!N112</x:f>
        <x:v>100</x:v>
      </x:c>
      <x:c r="O16" s="24" t="n">
        <x:f>'两日价格与决策'!O112</x:f>
        <x:v>2.9285</x:v>
      </x:c>
      <x:c r="P16" s="24" t="n">
        <x:f>'两日价格与决策'!P112</x:f>
        <x:v>0</x:v>
      </x:c>
      <x:c r="Q16" s="25" t="n">
        <x:f>'两日价格与决策'!Q112</x:f>
        <x:v>0</x:v>
      </x:c>
      <x:c r="R16" s="25" t="n">
        <x:f>'两日价格与决策'!R112</x:f>
        <x:v>0</x:v>
      </x:c>
      <x:c r="S16" s="25" t="n">
        <x:f>'两日价格与决策'!S112</x:f>
        <x:v>342.7755774914055</x:v>
      </x:c>
      <x:c r="T16" s="25" t="n">
        <x:f>'两日价格与决策'!T112</x:f>
        <x:v>367.7549707484771</x:v>
      </x:c>
      <x:c r="U16" s="25" t="n">
        <x:f>'两日价格与决策'!U112</x:f>
        <x:v>402.1284249411954</x:v>
      </x:c>
      <x:c r="V16" s="25" t="n">
        <x:f>'两日价格与决策'!V112</x:f>
        <x:v>0</x:v>
      </x:c>
      <x:c r="W16" s="25" t="n">
        <x:f>'两日价格与决策'!W112</x:f>
        <x:v>1112.658973181078</x:v>
      </x:c>
      <x:c r="X16" s="18" t="n">
        <x:f>'两日价格与决策'!X112</x:f>
        <x:v>1112.658973181078</x:v>
      </x:c>
      <x:c r="Y16" s="18" t="n">
        <x:f>'两日价格与决策'!Y112</x:f>
        <x:v>0</x:v>
      </x:c>
      <x:c r="Z16" s="18" t="str">
        <x:f>"1月2日执行｜前窗冻结订单"</x:f>
        <x:v>1月2日执行｜前窗冻结订单</x:v>
      </x:c>
      <x:c r="AA16" s="19" t="n">
        <x:f>'两日价格与决策'!AA112</x:f>
        <x:v>1</x:v>
      </x:c>
      <x:c r="AB16" s="19" t="n">
        <x:f>'两日价格与决策'!AB112</x:f>
        <x:v>0</x:v>
      </x:c>
      <x:c r="AC16" s="18" t="n">
        <x:f>'两日价格与决策'!AC112</x:f>
        <x:v>0.25</x:v>
      </x:c>
      <x:c r="AD16" s="20" t="n">
        <x:f>'两日价格与决策'!AD112</x:f>
        <x:v>1</x:v>
      </x:c>
      <x:c r="AE16" s="20" t="n">
        <x:f>'两日价格与决策'!AE112</x:f>
        <x:v>0.11714000000000001</x:v>
      </x:c>
      <x:c r="AF16" s="20" t="n">
        <x:f>'两日价格与决策'!AF112</x:f>
        <x:v>0</x:v>
      </x:c>
      <x:c r="AG16" s="18" t="n">
        <x:f>'两日价格与决策'!AG112</x:f>
        <x:v>200</x:v>
      </x:c>
      <x:c r="AH16" s="18" t="n">
        <x:f>'两日价格与决策'!AH112</x:f>
        <x:v>200</x:v>
      </x:c>
      <x:c r="AI16" s="18" t="n">
        <x:f>'两日价格与决策'!AI112</x:f>
        <x:v>5.857</x:v>
      </x:c>
      <x:c r="AJ16" s="18" t="n">
        <x:f>'两日价格与决策'!AJ112</x:f>
        <x:v>0</x:v>
      </x:c>
      <x:c r="AK16" s="18" t="str">
        <x:f>'两日价格与决策'!AK112</x:f>
        <x:v>缺失</x:v>
      </x:c>
      <x:c r="AL16" s="18" t="n">
        <x:f>'两日价格与决策'!AL112</x:f>
        <x:v>0.00884208937198068</x:v>
      </x:c>
      <x:c r="AM16" s="18" t="n">
        <x:f>'两日价格与决策'!AM112</x:f>
        <x:v>1.07977196950086e-15</x:v>
      </x:c>
      <x:c r="AN16" s="18" t="n">
        <x:f>'两日价格与决策'!AN112</x:f>
        <x:v>2.9285</x:v>
      </x:c>
      <x:c r="AO16" s="18" t="n">
        <x:f>'两日价格与决策'!AO112</x:f>
        <x:v>44.10637391304348</x:v>
      </x:c>
      <x:c r="AP16" s="18" t="n">
        <x:f>'两日价格与决策'!AP112</x:f>
        <x:v>7.105427357601002e-15</x:v>
      </x:c>
      <x:c r="AQ16" s="18" t="n">
        <x:f>'两日价格与决策'!AQ112</x:f>
        <x:v>4.9741</x:v>
      </x:c>
      <x:c r="AR16" s="21" t="n">
        <x:f>'两日价格与决策'!AR112</x:f>
        <x:v>45657</x:v>
      </x:c>
      <x:c r="AS16" s="17" t="n">
        <x:f>'两日价格与决策'!AS112</x:f>
        <x:v>45659.010416666664</x:v>
      </x:c>
      <x:c r="AT16" s="18" t="str">
        <x:f>'两日价格与决策'!AT112</x:f>
        <x:v>2025-01-02_2</x:v>
      </x:c>
      <x:c r="AU16" s="19" t="n">
        <x:f>'两日价格与决策'!AU112</x:f>
        <x:v>60</x:v>
      </x:c>
      <x:c r="AV16" s="18" t="str">
        <x:f>'两日价格与决策'!AV112</x:f>
        <x:v>OK</x:v>
      </x:c>
    </x:row>
    <x:row r="17" ht="21" customHeight="1">
      <x:c r="A17" s="17" t="n">
        <x:f>'两日价格与决策'!A113</x:f>
        <x:v>45659.104166666664</x:v>
      </x:c>
      <x:c r="B17" s="23" t="n">
        <x:f>'两日价格与决策'!B113</x:f>
        <x:v>67.8</x:v>
      </x:c>
      <x:c r="C17" s="23" t="str">
        <x:f>'两日价格与决策'!C113</x:f>
        <x:v>缺失</x:v>
      </x:c>
      <x:c r="D17" s="23" t="n">
        <x:f>'两日价格与决策'!D113</x:f>
        <x:v>13.71102309965622</x:v>
      </x:c>
      <x:c r="E17" s="23" t="n">
        <x:f>'两日价格与决策'!E113</x:f>
        <x:v>14.710198829939085</x:v>
      </x:c>
      <x:c r="F17" s="23" t="n">
        <x:f>'两日价格与决策'!F113</x:f>
        <x:v>156.28696648639954</x:v>
      </x:c>
      <x:c r="G17" s="23" t="n">
        <x:f>'两日价格与决策'!G113</x:f>
        <x:v>0</x:v>
      </x:c>
      <x:c r="H17" s="23" t="str">
        <x:f>'两日价格与决策'!H113</x:f>
        <x:v>未模拟</x:v>
      </x:c>
      <x:c r="I17" s="24" t="n">
        <x:f>'两日价格与决策'!I113</x:f>
        <x:v>44.10637391304347</x:v>
      </x:c>
      <x:c r="J17" s="24" t="n">
        <x:f>'两日价格与决策'!J113</x:f>
        <x:v>38.16180869565216</x:v>
      </x:c>
      <x:c r="K17" s="24" t="n">
        <x:f>'两日价格与决策'!K113</x:f>
        <x:v>-4.8921549033860856e-15</x:v>
      </x:c>
      <x:c r="L17" s="24" t="n">
        <x:f>'两日价格与决策'!L113</x:f>
        <x:v>0</x:v>
      </x:c>
      <x:c r="M17" s="24" t="n">
        <x:f>'两日价格与决策'!M113</x:f>
        <x:v>100</x:v>
      </x:c>
      <x:c r="N17" s="24" t="n">
        <x:f>'两日价格与决策'!N113</x:f>
        <x:v>100</x:v>
      </x:c>
      <x:c r="O17" s="24" t="n">
        <x:f>'两日价格与决策'!O113</x:f>
        <x:v>5.469</x:v>
      </x:c>
      <x:c r="P17" s="24" t="n">
        <x:f>'两日价格与决策'!P113</x:f>
        <x:v>0</x:v>
      </x:c>
      <x:c r="Q17" s="25" t="n">
        <x:f>'两日价格与决策'!Q113</x:f>
        <x:v>0</x:v>
      </x:c>
      <x:c r="R17" s="25" t="n">
        <x:f>'两日价格与决策'!R113</x:f>
        <x:v>0</x:v>
      </x:c>
      <x:c r="S17" s="25" t="n">
        <x:f>'两日价格与决策'!S113</x:f>
        <x:v>342.7755774914055</x:v>
      </x:c>
      <x:c r="T17" s="25" t="n">
        <x:f>'两日价格与决策'!T113</x:f>
        <x:v>367.7549707484771</x:v>
      </x:c>
      <x:c r="U17" s="25" t="n">
        <x:f>'两日价格与决策'!U113</x:f>
        <x:v>854.7334197141191</x:v>
      </x:c>
      <x:c r="V17" s="25" t="n">
        <x:f>'两日价格与决策'!V113</x:f>
        <x:v>0</x:v>
      </x:c>
      <x:c r="W17" s="25" t="n">
        <x:f>'两日价格与决策'!W113</x:f>
        <x:v>1565.2639679540016</x:v>
      </x:c>
      <x:c r="X17" s="18" t="n">
        <x:f>'两日价格与决策'!X113</x:f>
        <x:v>1565.2639679540016</x:v>
      </x:c>
      <x:c r="Y17" s="18" t="n">
        <x:f>'两日价格与决策'!Y113</x:f>
        <x:v>0</x:v>
      </x:c>
      <x:c r="Z17" s="18" t="str">
        <x:f>"1月2日执行｜前窗冻结订单"</x:f>
        <x:v>1月2日执行｜前窗冻结订单</x:v>
      </x:c>
      <x:c r="AA17" s="19" t="n">
        <x:f>'两日价格与决策'!AA113</x:f>
        <x:v>1</x:v>
      </x:c>
      <x:c r="AB17" s="19" t="n">
        <x:f>'两日价格与决策'!AB113</x:f>
        <x:v>0</x:v>
      </x:c>
      <x:c r="AC17" s="18" t="n">
        <x:f>'两日价格与决策'!AC113</x:f>
        <x:v>0.25</x:v>
      </x:c>
      <x:c r="AD17" s="20" t="n">
        <x:f>'两日价格与决策'!AD113</x:f>
        <x:v>1</x:v>
      </x:c>
      <x:c r="AE17" s="20" t="n">
        <x:f>'两日价格与决策'!AE113</x:f>
        <x:v>0.21876</x:v>
      </x:c>
      <x:c r="AF17" s="20" t="n">
        <x:f>'两日价格与决策'!AF113</x:f>
        <x:v>0</x:v>
      </x:c>
      <x:c r="AG17" s="18" t="n">
        <x:f>'两日价格与决策'!AG113</x:f>
        <x:v>200</x:v>
      </x:c>
      <x:c r="AH17" s="18" t="n">
        <x:f>'两日价格与决策'!AH113</x:f>
        <x:v>200</x:v>
      </x:c>
      <x:c r="AI17" s="18" t="n">
        <x:f>'两日价格与决策'!AI113</x:f>
        <x:v>10.938</x:v>
      </x:c>
      <x:c r="AJ17" s="18" t="n">
        <x:f>'两日价格与决策'!AJ113</x:f>
        <x:v>0</x:v>
      </x:c>
      <x:c r="AK17" s="18" t="str">
        <x:f>'两日价格与决策'!AK113</x:f>
        <x:v>缺失</x:v>
      </x:c>
      <x:c r="AL17" s="18" t="n">
        <x:f>'两日价格与决策'!AL113</x:f>
        <x:v>0.01651268115942029</x:v>
      </x:c>
      <x:c r="AM17" s="18" t="n">
        <x:f>'两日价格与决策'!AM113</x:f>
        <x:v>9.554867741803363e-16</x:v>
      </x:c>
      <x:c r="AN17" s="18" t="n">
        <x:f>'两日价格与决策'!AN113</x:f>
        <x:v>5.469</x:v>
      </x:c>
      <x:c r="AO17" s="18" t="n">
        <x:f>'两日价格与决策'!AO113</x:f>
        <x:v>38.16180869565217</x:v>
      </x:c>
      <x:c r="AP17" s="18" t="n">
        <x:f>'两日价格与决策'!AP113</x:f>
        <x:v>7.105427357601002e-15</x:v>
      </x:c>
      <x:c r="AQ17" s="18" t="n">
        <x:f>'两日价格与决策'!AQ113</x:f>
        <x:v>4.9741</x:v>
      </x:c>
      <x:c r="AR17" s="21" t="n">
        <x:f>'两日价格与决策'!AR113</x:f>
        <x:v>45657</x:v>
      </x:c>
      <x:c r="AS17" s="17" t="n">
        <x:f>'两日价格与决策'!AS113</x:f>
        <x:v>45659.020833333336</x:v>
      </x:c>
      <x:c r="AT17" s="18" t="str">
        <x:f>'两日价格与决策'!AT113</x:f>
        <x:v>2025-01-02_2</x:v>
      </x:c>
      <x:c r="AU17" s="19" t="n">
        <x:f>'两日价格与决策'!AU113</x:f>
        <x:v>60</x:v>
      </x:c>
      <x:c r="AV17" s="18" t="str">
        <x:f>'两日价格与决策'!AV113</x:f>
        <x:v>OK</x:v>
      </x:c>
    </x:row>
    <x:row r="18" ht="21" customHeight="1">
      <x:c r="A18" s="17" t="n">
        <x:f>'两日价格与决策'!A114</x:f>
        <x:v>45659.114583333336</x:v>
      </x:c>
      <x:c r="B18" s="23" t="n">
        <x:f>'两日价格与决策'!B114</x:f>
        <x:v>67.8</x:v>
      </x:c>
      <x:c r="C18" s="23" t="str">
        <x:f>'两日价格与决策'!C114</x:f>
        <x:v>缺失</x:v>
      </x:c>
      <x:c r="D18" s="23" t="n">
        <x:f>'两日价格与决策'!D114</x:f>
        <x:v>13.71102309965622</x:v>
      </x:c>
      <x:c r="E18" s="23" t="n">
        <x:f>'两日价格与决策'!E114</x:f>
        <x:v>14.710198829939085</x:v>
      </x:c>
      <x:c r="F18" s="23" t="n">
        <x:f>'两日价格与决策'!F114</x:f>
        <x:v>134.97617659476086</x:v>
      </x:c>
      <x:c r="G18" s="23" t="n">
        <x:f>'两日价格与决策'!G114</x:f>
        <x:v>0</x:v>
      </x:c>
      <x:c r="H18" s="23" t="str">
        <x:f>'两日价格与决策'!H114</x:f>
        <x:v>未模拟</x:v>
      </x:c>
      <x:c r="I18" s="24" t="n">
        <x:f>'两日价格与决策'!I114</x:f>
        <x:v>38.16180869565216</x:v>
      </x:c>
      <x:c r="J18" s="24" t="n">
        <x:f>'两日价格与决策'!J114</x:f>
        <x:v>36.819417391304334</x:v>
      </x:c>
      <x:c r="K18" s="24" t="n">
        <x:f>'两日价格与决策'!K114</x:f>
        <x:v>-4.8921549033860856e-15</x:v>
      </x:c>
      <x:c r="L18" s="24" t="n">
        <x:f>'两日价格与决策'!L114</x:f>
        <x:v>0</x:v>
      </x:c>
      <x:c r="M18" s="24" t="n">
        <x:f>'两日价格与决策'!M114</x:f>
        <x:v>100</x:v>
      </x:c>
      <x:c r="N18" s="24" t="n">
        <x:f>'两日价格与决策'!N114</x:f>
        <x:v>100</x:v>
      </x:c>
      <x:c r="O18" s="24" t="n">
        <x:f>'两日价格与决策'!O114</x:f>
        <x:v>1.235</x:v>
      </x:c>
      <x:c r="P18" s="24" t="n">
        <x:f>'两日价格与决策'!P114</x:f>
        <x:v>0</x:v>
      </x:c>
      <x:c r="Q18" s="25" t="n">
        <x:f>'两日价格与决策'!Q114</x:f>
        <x:v>0</x:v>
      </x:c>
      <x:c r="R18" s="25" t="n">
        <x:f>'两日价格与决策'!R114</x:f>
        <x:v>0</x:v>
      </x:c>
      <x:c r="S18" s="25" t="n">
        <x:f>'两日价格与决策'!S114</x:f>
        <x:v>342.7755774914055</x:v>
      </x:c>
      <x:c r="T18" s="25" t="n">
        <x:f>'两日价格与决策'!T114</x:f>
        <x:v>367.7549707484771</x:v>
      </x:c>
      <x:c r="U18" s="25" t="n">
        <x:f>'两日价格与决策'!U114</x:f>
        <x:v>166.69557809452968</x:v>
      </x:c>
      <x:c r="V18" s="25" t="n">
        <x:f>'两日价格与决策'!V114</x:f>
        <x:v>0</x:v>
      </x:c>
      <x:c r="W18" s="25" t="n">
        <x:f>'两日价格与决策'!W114</x:f>
        <x:v>877.2261263344122</x:v>
      </x:c>
      <x:c r="X18" s="18" t="n">
        <x:f>'两日价格与决策'!X114</x:f>
        <x:v>877.2261263344122</x:v>
      </x:c>
      <x:c r="Y18" s="18" t="n">
        <x:f>'两日价格与决策'!Y114</x:f>
        <x:v>0</x:v>
      </x:c>
      <x:c r="Z18" s="18" t="str">
        <x:f>"1月2日执行｜前窗冻结订单"</x:f>
        <x:v>1月2日执行｜前窗冻结订单</x:v>
      </x:c>
      <x:c r="AA18" s="19" t="n">
        <x:f>'两日价格与决策'!AA114</x:f>
        <x:v>1</x:v>
      </x:c>
      <x:c r="AB18" s="19" t="n">
        <x:f>'两日价格与决策'!AB114</x:f>
        <x:v>0</x:v>
      </x:c>
      <x:c r="AC18" s="18" t="n">
        <x:f>'两日价格与决策'!AC114</x:f>
        <x:v>0.25</x:v>
      </x:c>
      <x:c r="AD18" s="20" t="n">
        <x:f>'两日价格与决策'!AD114</x:f>
        <x:v>1</x:v>
      </x:c>
      <x:c r="AE18" s="20" t="n">
        <x:f>'两日价格与决策'!AE114</x:f>
        <x:v>0.049400000000000006</x:v>
      </x:c>
      <x:c r="AF18" s="20" t="n">
        <x:f>'两日价格与决策'!AF114</x:f>
        <x:v>0</x:v>
      </x:c>
      <x:c r="AG18" s="18" t="n">
        <x:f>'两日价格与决策'!AG114</x:f>
        <x:v>200</x:v>
      </x:c>
      <x:c r="AH18" s="18" t="n">
        <x:f>'两日价格与决策'!AH114</x:f>
        <x:v>200</x:v>
      </x:c>
      <x:c r="AI18" s="18" t="n">
        <x:f>'两日价格与决策'!AI114</x:f>
        <x:v>2.47</x:v>
      </x:c>
      <x:c r="AJ18" s="18" t="n">
        <x:f>'两日价格与决策'!AJ114</x:f>
        <x:v>0</x:v>
      </x:c>
      <x:c r="AK18" s="18" t="str">
        <x:f>'两日价格与决策'!AK114</x:f>
        <x:v>缺失</x:v>
      </x:c>
      <x:c r="AL18" s="18" t="n">
        <x:f>'两日价格与决策'!AL114</x:f>
        <x:v>0.00372886473429952</x:v>
      </x:c>
      <x:c r="AM18" s="18" t="n">
        <x:f>'两日价格与决策'!AM114</x:f>
        <x:v>1.1626206127897033e-15</x:v>
      </x:c>
      <x:c r="AN18" s="18" t="n">
        <x:f>'两日价格与决策'!AN114</x:f>
        <x:v>1.235</x:v>
      </x:c>
      <x:c r="AO18" s="18" t="n">
        <x:f>'两日价格与决策'!AO114</x:f>
        <x:v>36.81941739130434</x:v>
      </x:c>
      <x:c r="AP18" s="18" t="n">
        <x:f>'两日价格与决策'!AP114</x:f>
        <x:v>7.105427357601002e-15</x:v>
      </x:c>
      <x:c r="AQ18" s="18" t="n">
        <x:f>'两日价格与决策'!AQ114</x:f>
        <x:v>4.9741</x:v>
      </x:c>
      <x:c r="AR18" s="21" t="n">
        <x:f>'两日价格与决策'!AR114</x:f>
        <x:v>45657</x:v>
      </x:c>
      <x:c r="AS18" s="17" t="n">
        <x:f>'两日价格与决策'!AS114</x:f>
        <x:v>45659.03125</x:v>
      </x:c>
      <x:c r="AT18" s="18" t="str">
        <x:f>'两日价格与决策'!AT114</x:f>
        <x:v>2025-01-02_2</x:v>
      </x:c>
      <x:c r="AU18" s="19" t="n">
        <x:f>'两日价格与决策'!AU114</x:f>
        <x:v>60</x:v>
      </x:c>
      <x:c r="AV18" s="18" t="str">
        <x:f>'两日价格与决策'!AV114</x:f>
        <x:v>OK</x:v>
      </x:c>
    </x:row>
    <x:row r="19" ht="21" customHeight="1">
      <x:c r="A19" s="17" t="n">
        <x:f>'两日价格与决策'!A115</x:f>
        <x:v>45659.125</x:v>
      </x:c>
      <x:c r="B19" s="23" t="n">
        <x:f>'两日价格与决策'!B115</x:f>
        <x:v>70.66</x:v>
      </x:c>
      <x:c r="C19" s="23" t="str">
        <x:f>'两日价格与决策'!C115</x:f>
        <x:v>缺失</x:v>
      </x:c>
      <x:c r="D19" s="23" t="n">
        <x:f>'两日价格与决策'!D115</x:f>
        <x:v>13.71102309965622</x:v>
      </x:c>
      <x:c r="E19" s="23" t="n">
        <x:f>'两日价格与决策'!E115</x:f>
        <x:v>14.710198829939085</x:v>
      </x:c>
      <x:c r="F19" s="23" t="n">
        <x:f>'两日价格与决策'!F115</x:f>
        <x:v>150.79612392191552</x:v>
      </x:c>
      <x:c r="G19" s="23" t="n">
        <x:f>'两日价格与决策'!G115</x:f>
        <x:v>0</x:v>
      </x:c>
      <x:c r="H19" s="23" t="str">
        <x:f>'两日价格与决策'!H115</x:f>
        <x:v>未模拟</x:v>
      </x:c>
      <x:c r="I19" s="24" t="n">
        <x:f>'两日价格与决策'!I115</x:f>
        <x:v>36.819417391304334</x:v>
      </x:c>
      <x:c r="J19" s="24" t="n">
        <x:f>'两日价格与决策'!J115</x:f>
        <x:v>32.453113043478254</x:v>
      </x:c>
      <x:c r="K19" s="24" t="n">
        <x:f>'两日价格与决策'!K115</x:f>
        <x:v>-3.282176960642576e-14</x:v>
      </x:c>
      <x:c r="L19" s="24" t="n">
        <x:f>'两日价格与决策'!L115</x:f>
        <x:v>0</x:v>
      </x:c>
      <x:c r="M19" s="24" t="n">
        <x:f>'两日价格与决策'!M115</x:f>
        <x:v>100</x:v>
      </x:c>
      <x:c r="N19" s="24" t="n">
        <x:f>'两日价格与决策'!N115</x:f>
        <x:v>100</x:v>
      </x:c>
      <x:c r="O19" s="24" t="n">
        <x:f>'两日价格与决策'!O115</x:f>
        <x:v>4.017</x:v>
      </x:c>
      <x:c r="P19" s="24" t="n">
        <x:f>'两日价格与决策'!P115</x:f>
        <x:v>0</x:v>
      </x:c>
      <x:c r="Q19" s="25" t="n">
        <x:f>'两日价格与决策'!Q115</x:f>
        <x:v>0</x:v>
      </x:c>
      <x:c r="R19" s="25" t="n">
        <x:f>'两日价格与决策'!R115</x:f>
        <x:v>0</x:v>
      </x:c>
      <x:c r="S19" s="25" t="n">
        <x:f>'两日价格与决策'!S115</x:f>
        <x:v>342.7755774914055</x:v>
      </x:c>
      <x:c r="T19" s="25" t="n">
        <x:f>'两日价格与决策'!T115</x:f>
        <x:v>367.7549707484771</x:v>
      </x:c>
      <x:c r="U19" s="25" t="n">
        <x:f>'两日价格与决策'!U115</x:f>
        <x:v>605.7480297943347</x:v>
      </x:c>
      <x:c r="V19" s="25" t="n">
        <x:f>'两日价格与决策'!V115</x:f>
        <x:v>0</x:v>
      </x:c>
      <x:c r="W19" s="25" t="n">
        <x:f>'两日价格与决策'!W115</x:f>
        <x:v>1316.2785780342174</x:v>
      </x:c>
      <x:c r="X19" s="18" t="n">
        <x:f>'两日价格与决策'!X115</x:f>
        <x:v>1316.2785780342167</x:v>
      </x:c>
      <x:c r="Y19" s="18" t="n">
        <x:f>'两日价格与决策'!Y115</x:f>
        <x:v>6.821210263296962e-13</x:v>
      </x:c>
      <x:c r="Z19" s="18" t="str">
        <x:f>"1月2日执行｜前窗冻结订单"</x:f>
        <x:v>1月2日执行｜前窗冻结订单</x:v>
      </x:c>
      <x:c r="AA19" s="19" t="n">
        <x:f>'两日价格与决策'!AA115</x:f>
        <x:v>1</x:v>
      </x:c>
      <x:c r="AB19" s="19" t="n">
        <x:f>'两日价格与决策'!AB115</x:f>
        <x:v>0</x:v>
      </x:c>
      <x:c r="AC19" s="18" t="n">
        <x:f>'两日价格与决策'!AC115</x:f>
        <x:v>0.25</x:v>
      </x:c>
      <x:c r="AD19" s="20" t="n">
        <x:f>'两日价格与决策'!AD115</x:f>
        <x:v>1</x:v>
      </x:c>
      <x:c r="AE19" s="20" t="n">
        <x:f>'两日价格与决策'!AE115</x:f>
        <x:v>0.16068000000000002</x:v>
      </x:c>
      <x:c r="AF19" s="20" t="n">
        <x:f>'两日价格与决策'!AF115</x:f>
        <x:v>0</x:v>
      </x:c>
      <x:c r="AG19" s="18" t="n">
        <x:f>'两日价格与决策'!AG115</x:f>
        <x:v>200</x:v>
      </x:c>
      <x:c r="AH19" s="18" t="n">
        <x:f>'两日价格与决策'!AH115</x:f>
        <x:v>200</x:v>
      </x:c>
      <x:c r="AI19" s="18" t="n">
        <x:f>'两日价格与决策'!AI115</x:f>
        <x:v>8.034</x:v>
      </x:c>
      <x:c r="AJ19" s="18" t="n">
        <x:f>'两日价格与决策'!AJ115</x:f>
        <x:v>0</x:v>
      </x:c>
      <x:c r="AK19" s="18" t="str">
        <x:f>'两日价格与决策'!AK115</x:f>
        <x:v>缺失</x:v>
      </x:c>
      <x:c r="AL19" s="18" t="n">
        <x:f>'两日价格与决策'!AL115</x:f>
        <x:v>0.012128623188405812</x:v>
      </x:c>
      <x:c r="AM19" s="18" t="n">
        <x:f>'两日价格与决策'!AM115</x:f>
        <x:v>6.886991916516317e-15</x:v>
      </x:c>
      <x:c r="AN19" s="18" t="n">
        <x:f>'两日价格与决策'!AN115</x:f>
        <x:v>4.0169999999999995</x:v>
      </x:c>
      <x:c r="AO19" s="18" t="n">
        <x:f>'两日价格与决策'!AO115</x:f>
        <x:v>32.45311304347826</x:v>
      </x:c>
      <x:c r="AP19" s="18" t="n">
        <x:f>'两日价格与决策'!AP115</x:f>
        <x:v>7.105427357601002e-15</x:v>
      </x:c>
      <x:c r="AQ19" s="18" t="n">
        <x:f>'两日价格与决策'!AQ115</x:f>
        <x:v>4.9741</x:v>
      </x:c>
      <x:c r="AR19" s="21" t="n">
        <x:f>'两日价格与决策'!AR115</x:f>
        <x:v>45657</x:v>
      </x:c>
      <x:c r="AS19" s="17" t="n">
        <x:f>'两日价格与决策'!AS115</x:f>
        <x:v>45659.041666666664</x:v>
      </x:c>
      <x:c r="AT19" s="18" t="str">
        <x:f>'两日价格与决策'!AT115</x:f>
        <x:v>2025-01-02_3</x:v>
      </x:c>
      <x:c r="AU19" s="19" t="n">
        <x:f>'两日价格与决策'!AU115</x:f>
        <x:v>60</x:v>
      </x:c>
      <x:c r="AV19" s="18" t="str">
        <x:f>'两日价格与决策'!AV115</x:f>
        <x:v>OK</x:v>
      </x:c>
    </x:row>
    <x:row r="20" ht="21" customHeight="1">
      <x:c r="A20" s="17" t="n">
        <x:f>'两日价格与决策'!A116</x:f>
        <x:v>45659.135416666664</x:v>
      </x:c>
      <x:c r="B20" s="23" t="n">
        <x:f>'两日价格与决策'!B116</x:f>
        <x:v>70.66</x:v>
      </x:c>
      <x:c r="C20" s="23" t="str">
        <x:f>'两日价格与决策'!C116</x:f>
        <x:v>缺失</x:v>
      </x:c>
      <x:c r="D20" s="23" t="n">
        <x:f>'两日价格与决策'!D116</x:f>
        <x:v>13.71102309965622</x:v>
      </x:c>
      <x:c r="E20" s="23" t="n">
        <x:f>'两日价格与决策'!E116</x:f>
        <x:v>14.710198829939085</x:v>
      </x:c>
      <x:c r="F20" s="23" t="n">
        <x:f>'两日价格与决策'!F116</x:f>
        <x:v>161.1326672161798</x:v>
      </x:c>
      <x:c r="G20" s="23" t="n">
        <x:f>'两日价格与决策'!G116</x:f>
        <x:v>0</x:v>
      </x:c>
      <x:c r="H20" s="23" t="str">
        <x:f>'两日价格与决策'!H116</x:f>
        <x:v>未模拟</x:v>
      </x:c>
      <x:c r="I20" s="24" t="n">
        <x:f>'两日价格与决策'!I116</x:f>
        <x:v>32.453113043478254</x:v>
      </x:c>
      <x:c r="J20" s="24" t="n">
        <x:f>'两日价格与决策'!J116</x:f>
        <x:v>24.475395652173916</x:v>
      </x:c>
      <x:c r="K20" s="24" t="n">
        <x:f>'两日价格与决策'!K116</x:f>
        <x:v>-3.282176960642576e-14</x:v>
      </x:c>
      <x:c r="L20" s="24" t="n">
        <x:f>'两日价格与决策'!L116</x:f>
        <x:v>0</x:v>
      </x:c>
      <x:c r="M20" s="24" t="n">
        <x:f>'两日价格与决策'!M116</x:f>
        <x:v>100</x:v>
      </x:c>
      <x:c r="N20" s="24" t="n">
        <x:f>'两日价格与决策'!N116</x:f>
        <x:v>100</x:v>
      </x:c>
      <x:c r="O20" s="24" t="n">
        <x:f>'两日价格与决策'!O116</x:f>
        <x:v>7.3395</x:v>
      </x:c>
      <x:c r="P20" s="24" t="n">
        <x:f>'两日价格与决策'!P116</x:f>
        <x:v>0</x:v>
      </x:c>
      <x:c r="Q20" s="25" t="n">
        <x:f>'两日价格与决策'!Q116</x:f>
        <x:v>0</x:v>
      </x:c>
      <x:c r="R20" s="25" t="n">
        <x:f>'两日价格与决策'!R116</x:f>
        <x:v>0</x:v>
      </x:c>
      <x:c r="S20" s="25" t="n">
        <x:f>'两日价格与决策'!S116</x:f>
        <x:v>342.7755774914055</x:v>
      </x:c>
      <x:c r="T20" s="25" t="n">
        <x:f>'两日价格与决策'!T116</x:f>
        <x:v>367.7549707484771</x:v>
      </x:c>
      <x:c r="U20" s="25" t="n">
        <x:f>'两日价格与决策'!U116</x:f>
        <x:v>1182.6332110331518</x:v>
      </x:c>
      <x:c r="V20" s="25" t="n">
        <x:f>'两日价格与决策'!V116</x:f>
        <x:v>0</x:v>
      </x:c>
      <x:c r="W20" s="25" t="n">
        <x:f>'两日价格与决策'!W116</x:f>
        <x:v>1893.1637592730344</x:v>
      </x:c>
      <x:c r="X20" s="18" t="n">
        <x:f>'两日价格与决策'!X116</x:f>
        <x:v>1893.1637592730337</x:v>
      </x:c>
      <x:c r="Y20" s="18" t="n">
        <x:f>'两日价格与决策'!Y116</x:f>
        <x:v>6.821210263296962e-13</x:v>
      </x:c>
      <x:c r="Z20" s="18" t="str">
        <x:f>"1月2日执行｜前窗冻结订单"</x:f>
        <x:v>1月2日执行｜前窗冻结订单</x:v>
      </x:c>
      <x:c r="AA20" s="19" t="n">
        <x:f>'两日价格与决策'!AA116</x:f>
        <x:v>1</x:v>
      </x:c>
      <x:c r="AB20" s="19" t="n">
        <x:f>'两日价格与决策'!AB116</x:f>
        <x:v>0</x:v>
      </x:c>
      <x:c r="AC20" s="18" t="n">
        <x:f>'两日价格与决策'!AC116</x:f>
        <x:v>0.25</x:v>
      </x:c>
      <x:c r="AD20" s="20" t="n">
        <x:f>'两日价格与决策'!AD116</x:f>
        <x:v>1</x:v>
      </x:c>
      <x:c r="AE20" s="20" t="n">
        <x:f>'两日价格与决策'!AE116</x:f>
        <x:v>0.29358</x:v>
      </x:c>
      <x:c r="AF20" s="20" t="n">
        <x:f>'两日价格与决策'!AF116</x:f>
        <x:v>0</x:v>
      </x:c>
      <x:c r="AG20" s="18" t="n">
        <x:f>'两日价格与决策'!AG116</x:f>
        <x:v>200</x:v>
      </x:c>
      <x:c r="AH20" s="18" t="n">
        <x:f>'两日价格与决策'!AH116</x:f>
        <x:v>200</x:v>
      </x:c>
      <x:c r="AI20" s="18" t="n">
        <x:f>'两日价格与决策'!AI116</x:f>
        <x:v>14.679</x:v>
      </x:c>
      <x:c r="AJ20" s="18" t="n">
        <x:f>'两日价格与决策'!AJ116</x:f>
        <x:v>0</x:v>
      </x:c>
      <x:c r="AK20" s="18" t="str">
        <x:f>'两日价格与决策'!AK116</x:f>
        <x:v>缺失</x:v>
      </x:c>
      <x:c r="AL20" s="18" t="n">
        <x:f>'两日价格与决策'!AL116</x:f>
        <x:v>0.02216032608695653</x:v>
      </x:c>
      <x:c r="AM20" s="18" t="n">
        <x:f>'两日价格与决策'!AM116</x:f>
        <x:v>5.796488621342822e-15</x:v>
      </x:c>
      <x:c r="AN20" s="18" t="n">
        <x:f>'两日价格与决策'!AN116</x:f>
        <x:v>7.339499999999998</x:v>
      </x:c>
      <x:c r="AO20" s="18" t="n">
        <x:f>'两日价格与决策'!AO116</x:f>
        <x:v>24.475395652173923</x:v>
      </x:c>
      <x:c r="AP20" s="18" t="n">
        <x:f>'两日价格与决策'!AP116</x:f>
        <x:v>7.105427357601002e-15</x:v>
      </x:c>
      <x:c r="AQ20" s="18" t="n">
        <x:f>'两日价格与决策'!AQ116</x:f>
        <x:v>4.9741</x:v>
      </x:c>
      <x:c r="AR20" s="21" t="n">
        <x:f>'两日价格与决策'!AR116</x:f>
        <x:v>45657</x:v>
      </x:c>
      <x:c r="AS20" s="17" t="n">
        <x:f>'两日价格与决策'!AS116</x:f>
        <x:v>45659.052083333336</x:v>
      </x:c>
      <x:c r="AT20" s="18" t="str">
        <x:f>'两日价格与决策'!AT116</x:f>
        <x:v>2025-01-02_3</x:v>
      </x:c>
      <x:c r="AU20" s="19" t="n">
        <x:f>'两日价格与决策'!AU116</x:f>
        <x:v>60</x:v>
      </x:c>
      <x:c r="AV20" s="18" t="str">
        <x:f>'两日价格与决策'!AV116</x:f>
        <x:v>OK</x:v>
      </x:c>
    </x:row>
    <x:row r="21" ht="21" customHeight="1">
      <x:c r="A21" s="17" t="n">
        <x:f>'两日价格与决策'!A117</x:f>
        <x:v>45659.145833333336</x:v>
      </x:c>
      <x:c r="B21" s="23" t="n">
        <x:f>'两日价格与决策'!B117</x:f>
        <x:v>70.66</x:v>
      </x:c>
      <x:c r="C21" s="23" t="str">
        <x:f>'两日价格与决策'!C117</x:f>
        <x:v>缺失</x:v>
      </x:c>
      <x:c r="D21" s="23" t="n">
        <x:f>'两日价格与决策'!D117</x:f>
        <x:v>13.71102309965622</x:v>
      </x:c>
      <x:c r="E21" s="23" t="n">
        <x:f>'两日价格与决策'!E117</x:f>
        <x:v>14.710198829939085</x:v>
      </x:c>
      <x:c r="F21" s="23" t="n">
        <x:f>'两日价格与决策'!F117</x:f>
        <x:v>144.93596831587624</x:v>
      </x:c>
      <x:c r="G21" s="23" t="n">
        <x:f>'两日价格与决策'!G117</x:f>
        <x:v>0</x:v>
      </x:c>
      <x:c r="H21" s="23" t="str">
        <x:f>'两日价格与决策'!H117</x:f>
        <x:v>未模拟</x:v>
      </x:c>
      <x:c r="I21" s="24" t="n">
        <x:f>'两日价格与决策'!I117</x:f>
        <x:v>24.475395652173916</x:v>
      </x:c>
      <x:c r="J21" s="24" t="n">
        <x:f>'两日价格与决策'!J117</x:f>
        <x:v>22.878656521739142</x:v>
      </x:c>
      <x:c r="K21" s="24" t="n">
        <x:f>'两日价格与决策'!K117</x:f>
        <x:v>-3.282176960642576e-14</x:v>
      </x:c>
      <x:c r="L21" s="24" t="n">
        <x:f>'两日价格与决策'!L117</x:f>
        <x:v>0</x:v>
      </x:c>
      <x:c r="M21" s="24" t="n">
        <x:f>'两日价格与决策'!M117</x:f>
        <x:v>100</x:v>
      </x:c>
      <x:c r="N21" s="24" t="n">
        <x:f>'两日价格与决策'!N117</x:f>
        <x:v>100</x:v>
      </x:c>
      <x:c r="O21" s="24" t="n">
        <x:f>'两日价格与决策'!O117</x:f>
        <x:v>1.469</x:v>
      </x:c>
      <x:c r="P21" s="24" t="n">
        <x:f>'两日价格与决策'!P117</x:f>
        <x:v>0</x:v>
      </x:c>
      <x:c r="Q21" s="25" t="n">
        <x:f>'两日价格与决策'!Q117</x:f>
        <x:v>0</x:v>
      </x:c>
      <x:c r="R21" s="25" t="n">
        <x:f>'两日价格与决策'!R117</x:f>
        <x:v>0</x:v>
      </x:c>
      <x:c r="S21" s="25" t="n">
        <x:f>'两日价格与决策'!S117</x:f>
        <x:v>342.7755774914055</x:v>
      </x:c>
      <x:c r="T21" s="25" t="n">
        <x:f>'两日价格与决策'!T117</x:f>
        <x:v>367.7549707484771</x:v>
      </x:c>
      <x:c r="U21" s="25" t="n">
        <x:f>'两日价格与决策'!U117</x:f>
        <x:v>212.9109374560222</x:v>
      </x:c>
      <x:c r="V21" s="25" t="n">
        <x:f>'两日价格与决策'!V117</x:f>
        <x:v>0</x:v>
      </x:c>
      <x:c r="W21" s="25" t="n">
        <x:f>'两日价格与决策'!W117</x:f>
        <x:v>923.4414856959048</x:v>
      </x:c>
      <x:c r="X21" s="18" t="n">
        <x:f>'两日价格与决策'!X117</x:f>
        <x:v>923.4414856959042</x:v>
      </x:c>
      <x:c r="Y21" s="18" t="n">
        <x:f>'两日价格与决策'!Y117</x:f>
        <x:v>5.684341886080801e-13</x:v>
      </x:c>
      <x:c r="Z21" s="18" t="str">
        <x:f>"1月2日执行｜前窗冻结订单"</x:f>
        <x:v>1月2日执行｜前窗冻结订单</x:v>
      </x:c>
      <x:c r="AA21" s="19" t="n">
        <x:f>'两日价格与决策'!AA117</x:f>
        <x:v>1</x:v>
      </x:c>
      <x:c r="AB21" s="19" t="n">
        <x:f>'两日价格与决策'!AB117</x:f>
        <x:v>0</x:v>
      </x:c>
      <x:c r="AC21" s="18" t="n">
        <x:f>'两日价格与决策'!AC117</x:f>
        <x:v>0.25</x:v>
      </x:c>
      <x:c r="AD21" s="20" t="n">
        <x:f>'两日价格与决策'!AD117</x:f>
        <x:v>1</x:v>
      </x:c>
      <x:c r="AE21" s="20" t="n">
        <x:f>'两日价格与决策'!AE117</x:f>
        <x:v>0.05876000000000001</x:v>
      </x:c>
      <x:c r="AF21" s="20" t="n">
        <x:f>'两日价格与决策'!AF117</x:f>
        <x:v>0</x:v>
      </x:c>
      <x:c r="AG21" s="18" t="n">
        <x:f>'两日价格与决策'!AG117</x:f>
        <x:v>200</x:v>
      </x:c>
      <x:c r="AH21" s="18" t="n">
        <x:f>'两日价格与决策'!AH117</x:f>
        <x:v>200</x:v>
      </x:c>
      <x:c r="AI21" s="18" t="n">
        <x:f>'两日价格与决策'!AI117</x:f>
        <x:v>2.938</x:v>
      </x:c>
      <x:c r="AJ21" s="18" t="n">
        <x:f>'两日价格与决策'!AJ117</x:f>
        <x:v>0</x:v>
      </x:c>
      <x:c r="AK21" s="18" t="str">
        <x:f>'两日价格与决策'!AK117</x:f>
        <x:v>缺失</x:v>
      </x:c>
      <x:c r="AL21" s="18" t="n">
        <x:f>'两日价格与决策'!AL117</x:f>
        <x:v>0.004435386473429971</x:v>
      </x:c>
      <x:c r="AM21" s="18" t="n">
        <x:f>'两日价格与决策'!AM117</x:f>
        <x:v>7.723290606088045e-15</x:v>
      </x:c>
      <x:c r="AN21" s="18" t="n">
        <x:f>'两日价格与决策'!AN117</x:f>
        <x:v>1.4689999999999996</x:v>
      </x:c>
      <x:c r="AO21" s="18" t="n">
        <x:f>'两日价格与决策'!AO117</x:f>
        <x:v>22.87865652173915</x:v>
      </x:c>
      <x:c r="AP21" s="18" t="n">
        <x:f>'两日价格与决策'!AP117</x:f>
        <x:v>7.105427357601002e-15</x:v>
      </x:c>
      <x:c r="AQ21" s="18" t="n">
        <x:f>'两日价格与决策'!AQ117</x:f>
        <x:v>4.9741</x:v>
      </x:c>
      <x:c r="AR21" s="21" t="n">
        <x:f>'两日价格与决策'!AR117</x:f>
        <x:v>45657</x:v>
      </x:c>
      <x:c r="AS21" s="17" t="n">
        <x:f>'两日价格与决策'!AS117</x:f>
        <x:v>45659.0625</x:v>
      </x:c>
      <x:c r="AT21" s="18" t="str">
        <x:f>'两日价格与决策'!AT117</x:f>
        <x:v>2025-01-02_3</x:v>
      </x:c>
      <x:c r="AU21" s="19" t="n">
        <x:f>'两日价格与决策'!AU117</x:f>
        <x:v>60</x:v>
      </x:c>
      <x:c r="AV21" s="18" t="str">
        <x:f>'两日价格与决策'!AV117</x:f>
        <x:v>OK</x:v>
      </x:c>
    </x:row>
    <x:row r="22" ht="21" customHeight="1">
      <x:c r="A22" s="17" t="n">
        <x:f>'两日价格与决策'!A118</x:f>
        <x:v>45659.15625</x:v>
      </x:c>
      <x:c r="B22" s="23" t="n">
        <x:f>'两日价格与决策'!B118</x:f>
        <x:v>70.66</x:v>
      </x:c>
      <x:c r="C22" s="23" t="str">
        <x:f>'两日价格与决策'!C118</x:f>
        <x:v>缺失</x:v>
      </x:c>
      <x:c r="D22" s="23" t="n">
        <x:f>'两日价格与决策'!D118</x:f>
        <x:v>13.71102309965622</x:v>
      </x:c>
      <x:c r="E22" s="23" t="n">
        <x:f>'两日价格与决策'!E118</x:f>
        <x:v>14.710198829939085</x:v>
      </x:c>
      <x:c r="F22" s="23" t="n">
        <x:f>'两日价格与决策'!F118</x:f>
        <x:v>136.70814820771596</x:v>
      </x:c>
      <x:c r="G22" s="23" t="n">
        <x:f>'两日价格与决策'!G118</x:f>
        <x:v>29.291731167447374</x:v>
      </x:c>
      <x:c r="H22" s="23" t="str">
        <x:f>'两日价格与决策'!H118</x:f>
        <x:v>未模拟</x:v>
      </x:c>
      <x:c r="I22" s="24" t="n">
        <x:f>'两日价格与决策'!I118</x:f>
        <x:v>22.878656521739142</x:v>
      </x:c>
      <x:c r="J22" s="24" t="n">
        <x:f>'两日价格与决策'!J118</x:f>
        <x:v>22.87185043478263</x:v>
      </x:c>
      <x:c r="K22" s="24" t="n">
        <x:f>'两日价格与决策'!K118</x:f>
        <x:v>-3.282176960642576e-14</x:v>
      </x:c>
      <x:c r="L22" s="24" t="n">
        <x:f>'两日价格与决策'!L118</x:f>
        <x:v>0</x:v>
      </x:c>
      <x:c r="M22" s="24" t="n">
        <x:f>'两日价格与决策'!M118</x:f>
        <x:v>100</x:v>
      </x:c>
      <x:c r="N22" s="24" t="n">
        <x:f>'两日价格与决策'!N118</x:f>
        <x:v>100</x:v>
      </x:c>
      <x:c r="O22" s="24" t="n">
        <x:f>'两日价格与决策'!O118</x:f>
        <x:v>0.297</x:v>
      </x:c>
      <x:c r="P22" s="24" t="n">
        <x:f>'两日价格与决策'!P118</x:f>
        <x:v>0.3435</x:v>
      </x:c>
      <x:c r="Q22" s="25" t="n">
        <x:f>'两日价格与决策'!Q118</x:f>
        <x:v>0</x:v>
      </x:c>
      <x:c r="R22" s="25" t="n">
        <x:f>'两日价格与决策'!R118</x:f>
        <x:v>0</x:v>
      </x:c>
      <x:c r="S22" s="25" t="n">
        <x:f>'两日价格与决策'!S118</x:f>
        <x:v>342.7755774914055</x:v>
      </x:c>
      <x:c r="T22" s="25" t="n">
        <x:f>'两日价格与决策'!T118</x:f>
        <x:v>367.7549707484771</x:v>
      </x:c>
      <x:c r="U22" s="25" t="n">
        <x:f>'两日价格与决策'!U118</x:f>
        <x:v>40.60232001769164</x:v>
      </x:c>
      <x:c r="V22" s="25" t="n">
        <x:f>'两日价格与决策'!V118</x:f>
        <x:v>-10.061709656018174</x:v>
      </x:c>
      <x:c r="W22" s="25" t="n">
        <x:f>'两日价格与决策'!W118</x:f>
        <x:v>741.0711586015561</x:v>
      </x:c>
      <x:c r="X22" s="18" t="n">
        <x:f>'两日价格与决策'!X118</x:f>
        <x:v>741.0711586015555</x:v>
      </x:c>
      <x:c r="Y22" s="18" t="n">
        <x:f>'两日价格与决策'!Y118</x:f>
        <x:v>6.821210263296962e-13</x:v>
      </x:c>
      <x:c r="Z22" s="18" t="str">
        <x:f>"1月2日执行｜前窗冻结订单"</x:f>
        <x:v>1月2日执行｜前窗冻结订单</x:v>
      </x:c>
      <x:c r="AA22" s="19" t="n">
        <x:f>'两日价格与决策'!AA118</x:f>
        <x:v>1</x:v>
      </x:c>
      <x:c r="AB22" s="19" t="n">
        <x:f>'两日价格与决策'!AB118</x:f>
        <x:v>0</x:v>
      </x:c>
      <x:c r="AC22" s="18" t="n">
        <x:f>'两日价格与决策'!AC118</x:f>
        <x:v>0.25</x:v>
      </x:c>
      <x:c r="AD22" s="20" t="n">
        <x:f>'两日价格与决策'!AD118</x:f>
        <x:v>1</x:v>
      </x:c>
      <x:c r="AE22" s="20" t="n">
        <x:f>'两日价格与决策'!AE118</x:f>
        <x:v>0.01188</x:v>
      </x:c>
      <x:c r="AF22" s="20" t="n">
        <x:f>'两日价格与决策'!AF118</x:f>
        <x:v>0.01374</x:v>
      </x:c>
      <x:c r="AG22" s="18" t="n">
        <x:f>'两日价格与决策'!AG118</x:f>
        <x:v>200</x:v>
      </x:c>
      <x:c r="AH22" s="18" t="n">
        <x:f>'两日价格与决策'!AH118</x:f>
        <x:v>200</x:v>
      </x:c>
      <x:c r="AI22" s="18" t="n">
        <x:f>'两日价格与决策'!AI118</x:f>
        <x:v>0.594</x:v>
      </x:c>
      <x:c r="AJ22" s="18" t="n">
        <x:f>'两日价格与决策'!AJ118</x:f>
        <x:v>0.687</x:v>
      </x:c>
      <x:c r="AK22" s="18" t="str">
        <x:f>'两日价格与决策'!AK118</x:f>
        <x:v>缺失</x:v>
      </x:c>
      <x:c r="AL22" s="18" t="n">
        <x:f>'两日价格与决策'!AL118</x:f>
        <x:v>0.0017745724637681362</x:v>
      </x:c>
      <x:c r="AM22" s="18" t="n">
        <x:f>'两日价格与决策'!AM118</x:f>
        <x:v>0.3435000000000081</x:v>
      </x:c>
      <x:c r="AN22" s="18" t="n">
        <x:f>'两日价格与决策'!AN118</x:f>
        <x:v>0.29699999999999993</x:v>
      </x:c>
      <x:c r="AO22" s="18" t="n">
        <x:f>'两日价格与决策'!AO118</x:f>
        <x:v>22.871850434782637</x:v>
      </x:c>
      <x:c r="AP22" s="18" t="n">
        <x:f>'两日价格与决策'!AP118</x:f>
        <x:v>7.105427357601002e-15</x:v>
      </x:c>
      <x:c r="AQ22" s="18" t="n">
        <x:f>'两日价格与决策'!AQ118</x:f>
        <x:v>4.9741</x:v>
      </x:c>
      <x:c r="AR22" s="21" t="n">
        <x:f>'两日价格与决策'!AR118</x:f>
        <x:v>45657</x:v>
      </x:c>
      <x:c r="AS22" s="17" t="n">
        <x:f>'两日价格与决策'!AS118</x:f>
        <x:v>45659.072916666664</x:v>
      </x:c>
      <x:c r="AT22" s="18" t="str">
        <x:f>'两日价格与决策'!AT118</x:f>
        <x:v>2025-01-02_3</x:v>
      </x:c>
      <x:c r="AU22" s="19" t="n">
        <x:f>'两日价格与决策'!AU118</x:f>
        <x:v>60</x:v>
      </x:c>
      <x:c r="AV22" s="18" t="str">
        <x:f>'两日价格与决策'!AV118</x:f>
        <x:v>OK</x:v>
      </x:c>
    </x:row>
    <x:row r="23" ht="21" customHeight="1">
      <x:c r="A23" s="17" t="n">
        <x:f>'两日价格与决策'!A119</x:f>
        <x:v>45659.166666666664</x:v>
      </x:c>
      <x:c r="B23" s="23" t="n">
        <x:f>'两日价格与决策'!B119</x:f>
        <x:v>45.61</x:v>
      </x:c>
      <x:c r="C23" s="23" t="str">
        <x:f>'两日价格与决策'!C119</x:f>
        <x:v>缺失</x:v>
      </x:c>
      <x:c r="D23" s="23" t="n">
        <x:f>'两日价格与决策'!D119</x:f>
        <x:v>13.71102309965622</x:v>
      </x:c>
      <x:c r="E23" s="23" t="n">
        <x:f>'两日价格与决策'!E119</x:f>
        <x:v>14.710198829939085</x:v>
      </x:c>
      <x:c r="F23" s="23" t="n">
        <x:f>'两日价格与决策'!F119</x:f>
        <x:v>0</x:v>
      </x:c>
      <x:c r="G23" s="23" t="n">
        <x:f>'两日价格与决策'!G119</x:f>
        <x:v>26.050742847952396</x:v>
      </x:c>
      <x:c r="H23" s="23" t="str">
        <x:f>'两日价格与决策'!H119</x:f>
        <x:v>未模拟</x:v>
      </x:c>
      <x:c r="I23" s="24" t="n">
        <x:f>'两日价格与决策'!I119</x:f>
        <x:v>22.87185043478263</x:v>
      </x:c>
      <x:c r="J23" s="24" t="n">
        <x:f>'两日价格与决策'!J119</x:f>
        <x:v>45.87185043478263</x:v>
      </x:c>
      <x:c r="K23" s="24" t="n">
        <x:f>'两日价格与决策'!K119</x:f>
        <x:v>-99.99999999999999</x:v>
      </x:c>
      <x:c r="L23" s="24" t="n">
        <x:f>'两日价格与决策'!L119</x:f>
        <x:v>0</x:v>
      </x:c>
      <x:c r="M23" s="24" t="n">
        <x:f>'两日价格与决策'!M119</x:f>
        <x:v>100</x:v>
      </x:c>
      <x:c r="N23" s="24" t="n">
        <x:f>'两日价格与决策'!N119</x:f>
        <x:v>0</x:v>
      </x:c>
      <x:c r="O23" s="24" t="n">
        <x:f>'两日价格与决策'!O119</x:f>
        <x:v>0</x:v>
      </x:c>
      <x:c r="P23" s="24" t="n">
        <x:f>'两日价格与决策'!P119</x:f>
        <x:v>0</x:v>
      </x:c>
      <x:c r="Q23" s="25" t="n">
        <x:f>'两日价格与决策'!Q119</x:f>
        <x:v>-1140.2499999999998</x:v>
      </x:c>
      <x:c r="R23" s="25" t="n">
        <x:f>'两日价格与决策'!R119</x:f>
        <x:v>0</x:v>
      </x:c>
      <x:c r="S23" s="25" t="n">
        <x:f>'两日价格与决策'!S119</x:f>
        <x:v>342.7755774914055</x:v>
      </x:c>
      <x:c r="T23" s="25" t="n">
        <x:f>'两日价格与决策'!T119</x:f>
        <x:v>0</x:v>
      </x:c>
      <x:c r="U23" s="25" t="n">
        <x:f>'两日价格与决策'!U119</x:f>
        <x:v>0</x:v>
      </x:c>
      <x:c r="V23" s="25" t="n">
        <x:f>'两日价格与决策'!V119</x:f>
        <x:v>0</x:v>
      </x:c>
      <x:c r="W23" s="25" t="n">
        <x:f>'两日价格与决策'!W119</x:f>
        <x:v>-797.4744225085942</x:v>
      </x:c>
      <x:c r="X23" s="18" t="n">
        <x:f>'两日价格与决策'!X119</x:f>
        <x:v>-797.4744225085942</x:v>
      </x:c>
      <x:c r="Y23" s="18" t="n">
        <x:f>'两日价格与决策'!Y119</x:f>
        <x:v>0</x:v>
      </x:c>
      <x:c r="Z23" s="18" t="str">
        <x:f>"1月2日执行｜前窗冻结订单"</x:f>
        <x:v>1月2日执行｜前窗冻结订单</x:v>
      </x:c>
      <x:c r="AA23" s="19" t="n">
        <x:f>'两日价格与决策'!AA119</x:f>
        <x:v>1</x:v>
      </x:c>
      <x:c r="AB23" s="19" t="n">
        <x:f>'两日价格与决策'!AB119</x:f>
        <x:v>0</x:v>
      </x:c>
      <x:c r="AC23" s="18" t="n">
        <x:f>'两日价格与决策'!AC119</x:f>
        <x:v>0.25</x:v>
      </x:c>
      <x:c r="AD23" s="20" t="n">
        <x:f>'两日价格与决策'!AD119</x:f>
        <x:v>1</x:v>
      </x:c>
      <x:c r="AE23" s="20" t="n">
        <x:f>'两日价格与决策'!AE119</x:f>
        <x:v>0</x:v>
      </x:c>
      <x:c r="AF23" s="20" t="n">
        <x:f>'两日价格与决策'!AF119</x:f>
        <x:v>0.06904</x:v>
      </x:c>
      <x:c r="AG23" s="18" t="n">
        <x:f>'两日价格与决策'!AG119</x:f>
        <x:v>200</x:v>
      </x:c>
      <x:c r="AH23" s="18" t="n">
        <x:f>'两日价格与决策'!AH119</x:f>
        <x:v>200</x:v>
      </x:c>
      <x:c r="AI23" s="18" t="n">
        <x:f>'两日价格与决策'!AI119</x:f>
        <x:v>0</x:v>
      </x:c>
      <x:c r="AJ23" s="18" t="n">
        <x:f>'两日价格与决策'!AJ119</x:f>
        <x:v>3.452</x:v>
      </x:c>
      <x:c r="AK23" s="18" t="str">
        <x:f>'两日价格与决策'!AK119</x:f>
        <x:v>缺失</x:v>
      </x:c>
      <x:c r="AL23" s="18" t="n">
        <x:f>'两日价格与决策'!AL119</x:f>
        <x:v>0.06388888888888888</x:v>
      </x:c>
      <x:c r="AM23" s="18" t="n">
        <x:f>'两日价格与决策'!AM119</x:f>
        <x:v>24.999999999999996</x:v>
      </x:c>
      <x:c r="AN23" s="18" t="n">
        <x:f>'两日价格与决策'!AN119</x:f>
        <x:v>0</x:v>
      </x:c>
      <x:c r="AO23" s="18" t="n">
        <x:f>'两日价格与决策'!AO119</x:f>
        <x:v>45.87185043478263</x:v>
      </x:c>
      <x:c r="AP23" s="18" t="n">
        <x:f>'两日价格与决策'!AP119</x:f>
        <x:v>0</x:v>
      </x:c>
      <x:c r="AQ23" s="18" t="n">
        <x:f>'两日价格与决策'!AQ119</x:f>
        <x:v>4.9741</x:v>
      </x:c>
      <x:c r="AR23" s="21" t="n">
        <x:f>'两日价格与决策'!AR119</x:f>
        <x:v>45657</x:v>
      </x:c>
      <x:c r="AS23" s="17" t="n">
        <x:f>'两日价格与决策'!AS119</x:f>
        <x:v>45659.083333333336</x:v>
      </x:c>
      <x:c r="AT23" s="18" t="str">
        <x:f>'两日价格与决策'!AT119</x:f>
        <x:v>2025-01-02_4</x:v>
      </x:c>
      <x:c r="AU23" s="19" t="n">
        <x:f>'两日价格与决策'!AU119</x:f>
        <x:v>60</x:v>
      </x:c>
      <x:c r="AV23" s="18" t="str">
        <x:f>'两日价格与决策'!AV119</x:f>
        <x:v>OK</x:v>
      </x:c>
    </x:row>
    <x:row r="24" ht="21" customHeight="1">
      <x:c r="A24" s="17" t="n">
        <x:f>'两日价格与决策'!A120</x:f>
        <x:v>45659.177083333336</x:v>
      </x:c>
      <x:c r="B24" s="23" t="n">
        <x:f>'两日价格与决策'!B120</x:f>
        <x:v>45.61</x:v>
      </x:c>
      <x:c r="C24" s="23" t="str">
        <x:f>'两日价格与决策'!C120</x:f>
        <x:v>缺失</x:v>
      </x:c>
      <x:c r="D24" s="23" t="n">
        <x:f>'两日价格与决策'!D120</x:f>
        <x:v>13.71102309965622</x:v>
      </x:c>
      <x:c r="E24" s="23" t="n">
        <x:f>'两日价格与决策'!E120</x:f>
        <x:v>14.710198829939085</x:v>
      </x:c>
      <x:c r="F24" s="23" t="n">
        <x:f>'两日价格与决策'!F120</x:f>
        <x:v>136.08290947106008</x:v>
      </x:c>
      <x:c r="G24" s="23" t="n">
        <x:f>'两日价格与决策'!G120</x:f>
        <x:v>43.924328019139146</x:v>
      </x:c>
      <x:c r="H24" s="23" t="str">
        <x:f>'两日价格与决策'!H120</x:f>
        <x:v>未模拟</x:v>
      </x:c>
      <x:c r="I24" s="24" t="n">
        <x:f>'两日价格与决策'!I120</x:f>
        <x:v>45.87185043478263</x:v>
      </x:c>
      <x:c r="J24" s="24" t="n">
        <x:f>'两日价格与决策'!J120</x:f>
        <x:v>68.86495043478263</x:v>
      </x:c>
      <x:c r="K24" s="24" t="n">
        <x:f>'两日价格与决策'!K120</x:f>
        <x:v>-99.99999999999999</x:v>
      </x:c>
      <x:c r="L24" s="24" t="n">
        <x:f>'两日价格与决策'!L120</x:f>
        <x:v>0</x:v>
      </x:c>
      <x:c r="M24" s="24" t="n">
        <x:f>'两日价格与决策'!M120</x:f>
        <x:v>100</x:v>
      </x:c>
      <x:c r="N24" s="24" t="n">
        <x:f>'两日价格与决策'!N120</x:f>
        <x:v>0</x:v>
      </x:c>
      <x:c r="O24" s="24" t="n">
        <x:f>'两日价格与决策'!O120</x:f>
        <x:v>0.0075</x:v>
      </x:c>
      <x:c r="P24" s="24" t="n">
        <x:f>'两日价格与决策'!P120</x:f>
        <x:v>0</x:v>
      </x:c>
      <x:c r="Q24" s="25" t="n">
        <x:f>'两日价格与决策'!Q120</x:f>
        <x:v>-1140.2499999999998</x:v>
      </x:c>
      <x:c r="R24" s="25" t="n">
        <x:f>'两日价格与决策'!R120</x:f>
        <x:v>0</x:v>
      </x:c>
      <x:c r="S24" s="25" t="n">
        <x:f>'两日价格与决策'!S120</x:f>
        <x:v>342.7755774914055</x:v>
      </x:c>
      <x:c r="T24" s="25" t="n">
        <x:f>'两日价格与决策'!T120</x:f>
        <x:v>0</x:v>
      </x:c>
      <x:c r="U24" s="25" t="n">
        <x:f>'两日价格与决策'!U120</x:f>
        <x:v>1.0206218210329505</x:v>
      </x:c>
      <x:c r="V24" s="25" t="n">
        <x:f>'两日价格与决策'!V120</x:f>
        <x:v>0</x:v>
      </x:c>
      <x:c r="W24" s="25" t="n">
        <x:f>'两日价格与决策'!W120</x:f>
        <x:v>-796.4538006875613</x:v>
      </x:c>
      <x:c r="X24" s="18" t="n">
        <x:f>'两日价格与决策'!X120</x:f>
        <x:v>-796.4538006875613</x:v>
      </x:c>
      <x:c r="Y24" s="18" t="n">
        <x:f>'两日价格与决策'!Y120</x:f>
        <x:v>0</x:v>
      </x:c>
      <x:c r="Z24" s="18" t="str">
        <x:f>"1月2日执行｜前窗冻结订单"</x:f>
        <x:v>1月2日执行｜前窗冻结订单</x:v>
      </x:c>
      <x:c r="AA24" s="19" t="n">
        <x:f>'两日价格与决策'!AA120</x:f>
        <x:v>1</x:v>
      </x:c>
      <x:c r="AB24" s="19" t="n">
        <x:f>'两日价格与决策'!AB120</x:f>
        <x:v>0</x:v>
      </x:c>
      <x:c r="AC24" s="18" t="n">
        <x:f>'两日价格与决策'!AC120</x:f>
        <x:v>0.25</x:v>
      </x:c>
      <x:c r="AD24" s="20" t="n">
        <x:f>'两日价格与决策'!AD120</x:f>
        <x:v>1</x:v>
      </x:c>
      <x:c r="AE24" s="20" t="n">
        <x:f>'两日价格与决策'!AE120</x:f>
        <x:v>0.0003</x:v>
      </x:c>
      <x:c r="AF24" s="20" t="n">
        <x:f>'两日价格与决策'!AF120</x:f>
        <x:v>0.00942</x:v>
      </x:c>
      <x:c r="AG24" s="18" t="n">
        <x:f>'两日价格与决策'!AG120</x:f>
        <x:v>200</x:v>
      </x:c>
      <x:c r="AH24" s="18" t="n">
        <x:f>'两日价格与决策'!AH120</x:f>
        <x:v>200</x:v>
      </x:c>
      <x:c r="AI24" s="18" t="n">
        <x:f>'两日价格与决策'!AI120</x:f>
        <x:v>0.015</x:v>
      </x:c>
      <x:c r="AJ24" s="18" t="n">
        <x:f>'两日价格与决策'!AJ120</x:f>
        <x:v>0.471</x:v>
      </x:c>
      <x:c r="AK24" s="18" t="str">
        <x:f>'两日价格与决策'!AK120</x:f>
        <x:v>缺失</x:v>
      </x:c>
      <x:c r="AL24" s="18" t="n">
        <x:f>'两日价格与决策'!AL120</x:f>
        <x:v>0.06386972222222222</x:v>
      </x:c>
      <x:c r="AM24" s="18" t="n">
        <x:f>'两日价格与决策'!AM120</x:f>
        <x:v>24.992499999999996</x:v>
      </x:c>
      <x:c r="AN24" s="18" t="n">
        <x:f>'两日价格与决策'!AN120</x:f>
        <x:v>1.0658141036401502e-18</x:v>
      </x:c>
      <x:c r="AO24" s="18" t="n">
        <x:f>'两日价格与决策'!AO120</x:f>
        <x:v>68.86495043478263</x:v>
      </x:c>
      <x:c r="AP24" s="18" t="n">
        <x:f>'两日价格与决策'!AP120</x:f>
        <x:v>0</x:v>
      </x:c>
      <x:c r="AQ24" s="18" t="n">
        <x:f>'两日价格与决策'!AQ120</x:f>
        <x:v>4.9741</x:v>
      </x:c>
      <x:c r="AR24" s="21" t="n">
        <x:f>'两日价格与决策'!AR120</x:f>
        <x:v>45657</x:v>
      </x:c>
      <x:c r="AS24" s="17" t="n">
        <x:f>'两日价格与决策'!AS120</x:f>
        <x:v>45659.09375</x:v>
      </x:c>
      <x:c r="AT24" s="18" t="str">
        <x:f>'两日价格与决策'!AT120</x:f>
        <x:v>2025-01-02_4</x:v>
      </x:c>
      <x:c r="AU24" s="19" t="n">
        <x:f>'两日价格与决策'!AU120</x:f>
        <x:v>60</x:v>
      </x:c>
      <x:c r="AV24" s="18" t="str">
        <x:f>'两日价格与决策'!AV120</x:f>
        <x:v>OK</x:v>
      </x:c>
    </x:row>
    <x:row r="25" ht="21" customHeight="1">
      <x:c r="A25" s="17" t="n">
        <x:f>'两日价格与决策'!A121</x:f>
        <x:v>45659.1875</x:v>
      </x:c>
      <x:c r="B25" s="23" t="n">
        <x:f>'两日价格与决策'!B121</x:f>
        <x:v>45.61</x:v>
      </x:c>
      <x:c r="C25" s="23" t="str">
        <x:f>'两日价格与决策'!C121</x:f>
        <x:v>缺失</x:v>
      </x:c>
      <x:c r="D25" s="23" t="n">
        <x:f>'两日价格与决策'!D121</x:f>
        <x:v>13.71102309965622</x:v>
      </x:c>
      <x:c r="E25" s="23" t="n">
        <x:f>'两日价格与决策'!E121</x:f>
        <x:v>14.710198829939085</x:v>
      </x:c>
      <x:c r="F25" s="23" t="n">
        <x:f>'两日价格与决策'!F121</x:f>
        <x:v>134.56906777105405</x:v>
      </x:c>
      <x:c r="G25" s="23" t="n">
        <x:f>'两日价格与决策'!G121</x:f>
        <x:v>58.3020043827024</x:v>
      </x:c>
      <x:c r="H25" s="23" t="str">
        <x:f>'两日价格与决策'!H121</x:f>
        <x:v>未模拟</x:v>
      </x:c>
      <x:c r="I25" s="24" t="n">
        <x:f>'两日价格与决策'!I121</x:f>
        <x:v>68.86495043478263</x:v>
      </x:c>
      <x:c r="J25" s="24" t="n">
        <x:f>'两日价格与决策'!J121</x:f>
        <x:v>91.18001043478262</x:v>
      </x:c>
      <x:c r="K25" s="24" t="n">
        <x:f>'两日价格与决策'!K121</x:f>
        <x:v>-99.99999999999999</x:v>
      </x:c>
      <x:c r="L25" s="24" t="n">
        <x:f>'两日价格与决策'!L121</x:f>
        <x:v>0</x:v>
      </x:c>
      <x:c r="M25" s="24" t="n">
        <x:f>'两日价格与决策'!M121</x:f>
        <x:v>100</x:v>
      </x:c>
      <x:c r="N25" s="24" t="n">
        <x:f>'两日价格与决策'!N121</x:f>
        <x:v>0</x:v>
      </x:c>
      <x:c r="O25" s="24" t="n">
        <x:f>'两日价格与决策'!O121</x:f>
        <x:v>0.7445</x:v>
      </x:c>
      <x:c r="P25" s="24" t="n">
        <x:f>'两日价格与决策'!P121</x:f>
        <x:v>0</x:v>
      </x:c>
      <x:c r="Q25" s="25" t="n">
        <x:f>'两日价格与决策'!Q121</x:f>
        <x:v>-1140.2499999999998</x:v>
      </x:c>
      <x:c r="R25" s="25" t="n">
        <x:f>'两日价格与决策'!R121</x:f>
        <x:v>0</x:v>
      </x:c>
      <x:c r="S25" s="25" t="n">
        <x:f>'两日价格与决策'!S121</x:f>
        <x:v>342.7755774914055</x:v>
      </x:c>
      <x:c r="T25" s="25" t="n">
        <x:f>'两日价格与决策'!T121</x:f>
        <x:v>0</x:v>
      </x:c>
      <x:c r="U25" s="25" t="n">
        <x:f>'两日价格与决策'!U121</x:f>
        <x:v>100.18667095554974</x:v>
      </x:c>
      <x:c r="V25" s="25" t="n">
        <x:f>'两日价格与决策'!V121</x:f>
        <x:v>0</x:v>
      </x:c>
      <x:c r="W25" s="25" t="n">
        <x:f>'两日价格与决策'!W121</x:f>
        <x:v>-697.2877515530445</x:v>
      </x:c>
      <x:c r="X25" s="18" t="n">
        <x:f>'两日价格与决策'!X121</x:f>
        <x:v>-697.2877515530445</x:v>
      </x:c>
      <x:c r="Y25" s="18" t="n">
        <x:f>'两日价格与决策'!Y121</x:f>
        <x:v>0</x:v>
      </x:c>
      <x:c r="Z25" s="18" t="str">
        <x:f>"1月2日执行｜前窗冻结订单"</x:f>
        <x:v>1月2日执行｜前窗冻结订单</x:v>
      </x:c>
      <x:c r="AA25" s="19" t="n">
        <x:f>'两日价格与决策'!AA121</x:f>
        <x:v>1</x:v>
      </x:c>
      <x:c r="AB25" s="19" t="n">
        <x:f>'两日价格与决策'!AB121</x:f>
        <x:v>0</x:v>
      </x:c>
      <x:c r="AC25" s="18" t="n">
        <x:f>'两日价格与决策'!AC121</x:f>
        <x:v>0.25</x:v>
      </x:c>
      <x:c r="AD25" s="20" t="n">
        <x:f>'两日价格与决策'!AD121</x:f>
        <x:v>1</x:v>
      </x:c>
      <x:c r="AE25" s="20" t="n">
        <x:f>'两日价格与决策'!AE121</x:f>
        <x:v>0.02978</x:v>
      </x:c>
      <x:c r="AF25" s="20" t="n">
        <x:f>'两日价格与决策'!AF121</x:f>
        <x:v>0.00014000000000000001</x:v>
      </x:c>
      <x:c r="AG25" s="18" t="n">
        <x:f>'两日价格与决策'!AG121</x:f>
        <x:v>200</x:v>
      </x:c>
      <x:c r="AH25" s="18" t="n">
        <x:f>'两日价格与决策'!AH121</x:f>
        <x:v>200</x:v>
      </x:c>
      <x:c r="AI25" s="18" t="n">
        <x:f>'两日价格与决策'!AI121</x:f>
        <x:v>1.489</x:v>
      </x:c>
      <x:c r="AJ25" s="18" t="n">
        <x:f>'两日价格与决策'!AJ121</x:f>
        <x:v>0.007</x:v>
      </x:c>
      <x:c r="AK25" s="18" t="str">
        <x:f>'两日价格与决策'!AK121</x:f>
        <x:v>缺失</x:v>
      </x:c>
      <x:c r="AL25" s="18" t="n">
        <x:f>'两日价格与决策'!AL121</x:f>
        <x:v>0.061986277777777765</x:v>
      </x:c>
      <x:c r="AM25" s="18" t="n">
        <x:f>'两日价格与决策'!AM121</x:f>
        <x:v>24.255499999999994</x:v>
      </x:c>
      <x:c r="AN25" s="18" t="n">
        <x:f>'两日价格与决策'!AN121</x:f>
        <x:v>1.0579981335467892e-16</x:v>
      </x:c>
      <x:c r="AO25" s="18" t="n">
        <x:f>'两日价格与决策'!AO121</x:f>
        <x:v>91.18001043478262</x:v>
      </x:c>
      <x:c r="AP25" s="18" t="n">
        <x:f>'两日价格与决策'!AP121</x:f>
        <x:v>0</x:v>
      </x:c>
      <x:c r="AQ25" s="18" t="n">
        <x:f>'两日价格与决策'!AQ121</x:f>
        <x:v>4.9741</x:v>
      </x:c>
      <x:c r="AR25" s="21" t="n">
        <x:f>'两日价格与决策'!AR121</x:f>
        <x:v>45657</x:v>
      </x:c>
      <x:c r="AS25" s="17" t="n">
        <x:f>'两日价格与决策'!AS121</x:f>
        <x:v>45659.104166666664</x:v>
      </x:c>
      <x:c r="AT25" s="18" t="str">
        <x:f>'两日价格与决策'!AT121</x:f>
        <x:v>2025-01-02_4</x:v>
      </x:c>
      <x:c r="AU25" s="19" t="n">
        <x:f>'两日价格与决策'!AU121</x:f>
        <x:v>60</x:v>
      </x:c>
      <x:c r="AV25" s="18" t="str">
        <x:f>'两日价格与决策'!AV121</x:f>
        <x:v>OK</x:v>
      </x:c>
    </x:row>
    <x:row r="26" ht="21" customHeight="1">
      <x:c r="A26" s="17" t="n">
        <x:f>'两日价格与决策'!A122</x:f>
        <x:v>45659.197916666664</x:v>
      </x:c>
      <x:c r="B26" s="23" t="n">
        <x:f>'两日价格与决策'!B122</x:f>
        <x:v>45.61</x:v>
      </x:c>
      <x:c r="C26" s="23" t="str">
        <x:f>'两日价格与决策'!C122</x:f>
        <x:v>缺失</x:v>
      </x:c>
      <x:c r="D26" s="23" t="n">
        <x:f>'两日价格与决策'!D122</x:f>
        <x:v>13.71102309965622</x:v>
      </x:c>
      <x:c r="E26" s="23" t="n">
        <x:f>'两日价格与决策'!E122</x:f>
        <x:v>14.710198829939085</x:v>
      </x:c>
      <x:c r="F26" s="23" t="n">
        <x:f>'两日价格与决策'!F122</x:f>
        <x:v>136.08290947106008</x:v>
      </x:c>
      <x:c r="G26" s="23" t="n">
        <x:f>'两日价格与决策'!G122</x:f>
        <x:v>0</x:v>
      </x:c>
      <x:c r="H26" s="23" t="str">
        <x:f>'两日价格与决策'!H122</x:f>
        <x:v>未模拟</x:v>
      </x:c>
      <x:c r="I26" s="24" t="n">
        <x:f>'两日价格与决策'!I122</x:f>
        <x:v>91.18001043478262</x:v>
      </x:c>
      <x:c r="J26" s="24" t="n">
        <x:f>'两日价格与决策'!J122</x:f>
        <x:v>108.89507043478261</x:v>
      </x:c>
      <x:c r="K26" s="24" t="n">
        <x:f>'两日价格与决策'!K122</x:f>
        <x:v>-99.99999999999999</x:v>
      </x:c>
      <x:c r="L26" s="24" t="n">
        <x:f>'两日价格与决策'!L122</x:f>
        <x:v>0</x:v>
      </x:c>
      <x:c r="M26" s="24" t="n">
        <x:f>'两日价格与决策'!M122</x:f>
        <x:v>100</x:v>
      </x:c>
      <x:c r="N26" s="24" t="n">
        <x:f>'两日价格与决策'!N122</x:f>
        <x:v>0</x:v>
      </x:c>
      <x:c r="O26" s="24" t="n">
        <x:f>'两日价格与决策'!O122</x:f>
        <x:v>5.7445</x:v>
      </x:c>
      <x:c r="P26" s="24" t="n">
        <x:f>'两日价格与决策'!P122</x:f>
        <x:v>0</x:v>
      </x:c>
      <x:c r="Q26" s="25" t="n">
        <x:f>'两日价格与决策'!Q122</x:f>
        <x:v>-1140.2499999999998</x:v>
      </x:c>
      <x:c r="R26" s="25" t="n">
        <x:f>'两日价格与决策'!R122</x:f>
        <x:v>0</x:v>
      </x:c>
      <x:c r="S26" s="25" t="n">
        <x:f>'两日价格与决策'!S122</x:f>
        <x:v>342.7755774914055</x:v>
      </x:c>
      <x:c r="T26" s="25" t="n">
        <x:f>'两日价格与决策'!T122</x:f>
        <x:v>0</x:v>
      </x:c>
      <x:c r="U26" s="25" t="n">
        <x:f>'两日价格与决策'!U122</x:f>
        <x:v>781.7282734565047</x:v>
      </x:c>
      <x:c r="V26" s="25" t="n">
        <x:f>'两日价格与决策'!V122</x:f>
        <x:v>0</x:v>
      </x:c>
      <x:c r="W26" s="25" t="n">
        <x:f>'两日价格与决策'!W122</x:f>
        <x:v>-15.74614905208955</x:v>
      </x:c>
      <x:c r="X26" s="18" t="n">
        <x:f>'两日价格与决策'!X122</x:f>
        <x:v>-15.746149052089606</x:v>
      </x:c>
      <x:c r="Y26" s="18" t="n">
        <x:f>'两日价格与决策'!Y122</x:f>
        <x:v>5.684341886080802e-14</x:v>
      </x:c>
      <x:c r="Z26" s="18" t="str">
        <x:f>"1月2日执行｜前窗冻结订单"</x:f>
        <x:v>1月2日执行｜前窗冻结订单</x:v>
      </x:c>
      <x:c r="AA26" s="19" t="n">
        <x:f>'两日价格与决策'!AA122</x:f>
        <x:v>1</x:v>
      </x:c>
      <x:c r="AB26" s="19" t="n">
        <x:f>'两日价格与决策'!AB122</x:f>
        <x:v>0</x:v>
      </x:c>
      <x:c r="AC26" s="18" t="n">
        <x:f>'两日价格与决策'!AC122</x:f>
        <x:v>0.25</x:v>
      </x:c>
      <x:c r="AD26" s="20" t="n">
        <x:f>'两日价格与决策'!AD122</x:f>
        <x:v>1</x:v>
      </x:c>
      <x:c r="AE26" s="20" t="n">
        <x:f>'两日价格与决策'!AE122</x:f>
        <x:v>0.22978</x:v>
      </x:c>
      <x:c r="AF26" s="20" t="n">
        <x:f>'两日价格与决策'!AF122</x:f>
        <x:v>0</x:v>
      </x:c>
      <x:c r="AG26" s="18" t="n">
        <x:f>'两日价格与决策'!AG122</x:f>
        <x:v>200</x:v>
      </x:c>
      <x:c r="AH26" s="18" t="n">
        <x:f>'两日价格与决策'!AH122</x:f>
        <x:v>200</x:v>
      </x:c>
      <x:c r="AI26" s="18" t="n">
        <x:f>'两日价格与决策'!AI122</x:f>
        <x:v>11.489</x:v>
      </x:c>
      <x:c r="AJ26" s="18" t="n">
        <x:f>'两日价格与决策'!AJ122</x:f>
        <x:v>0</x:v>
      </x:c>
      <x:c r="AK26" s="18" t="str">
        <x:f>'两日价格与决策'!AK122</x:f>
        <x:v>缺失</x:v>
      </x:c>
      <x:c r="AL26" s="18" t="n">
        <x:f>'两日价格与决策'!AL122</x:f>
        <x:v>0.049208499999999995</x:v>
      </x:c>
      <x:c r="AM26" s="18" t="n">
        <x:f>'两日价格与决策'!AM122</x:f>
        <x:v>19.255499999999998</x:v>
      </x:c>
      <x:c r="AN26" s="18" t="n">
        <x:f>'两日价格与决策'!AN122</x:f>
        <x:v>8.163425491147791e-16</x:v>
      </x:c>
      <x:c r="AO26" s="18" t="n">
        <x:f>'两日价格与决策'!AO122</x:f>
        <x:v>108.89507043478261</x:v>
      </x:c>
      <x:c r="AP26" s="18" t="n">
        <x:f>'两日价格与决策'!AP122</x:f>
        <x:v>0</x:v>
      </x:c>
      <x:c r="AQ26" s="18" t="n">
        <x:f>'两日价格与决策'!AQ122</x:f>
        <x:v>4.9741</x:v>
      </x:c>
      <x:c r="AR26" s="21" t="n">
        <x:f>'两日价格与决策'!AR122</x:f>
        <x:v>45657</x:v>
      </x:c>
      <x:c r="AS26" s="17" t="n">
        <x:f>'两日价格与决策'!AS122</x:f>
        <x:v>45659.114583333336</x:v>
      </x:c>
      <x:c r="AT26" s="18" t="str">
        <x:f>'两日价格与决策'!AT122</x:f>
        <x:v>2025-01-02_4</x:v>
      </x:c>
      <x:c r="AU26" s="19" t="n">
        <x:f>'两日价格与决策'!AU122</x:f>
        <x:v>60</x:v>
      </x:c>
      <x:c r="AV26" s="18" t="str">
        <x:f>'两日价格与决策'!AV122</x:f>
        <x:v>OK</x:v>
      </x:c>
    </x:row>
    <x:row r="27" ht="21" customHeight="1">
      <x:c r="A27" s="17" t="n">
        <x:f>'两日价格与决策'!A123</x:f>
        <x:v>45659.208333333336</x:v>
      </x:c>
      <x:c r="B27" s="23" t="n">
        <x:f>'两日价格与决策'!B123</x:f>
        <x:v>52.68</x:v>
      </x:c>
      <x:c r="C27" s="23" t="str">
        <x:f>'两日价格与决策'!C123</x:f>
        <x:v>缺失</x:v>
      </x:c>
      <x:c r="D27" s="23" t="n">
        <x:f>'两日价格与决策'!D123</x:f>
        <x:v>13.71102309965622</x:v>
      </x:c>
      <x:c r="E27" s="23" t="n">
        <x:f>'两日价格与决策'!E123</x:f>
        <x:v>14.173418306829376</x:v>
      </x:c>
      <x:c r="F27" s="23" t="n">
        <x:f>'两日价格与决策'!F123</x:f>
        <x:v>135.55778934882693</x:v>
      </x:c>
      <x:c r="G27" s="23" t="n">
        <x:f>'两日价格与决策'!G123</x:f>
        <x:v>0</x:v>
      </x:c>
      <x:c r="H27" s="23" t="str">
        <x:f>'两日价格与决策'!H123</x:f>
        <x:v>未模拟</x:v>
      </x:c>
      <x:c r="I27" s="24" t="n">
        <x:f>'两日价格与决策'!I123</x:f>
        <x:v>108.89507043478261</x:v>
      </x:c>
      <x:c r="J27" s="24" t="n">
        <x:f>'两日价格与决策'!J123</x:f>
        <x:v>126.3908392695652</x:v>
      </x:c>
      <x:c r="K27" s="24" t="n">
        <x:f>'两日价格与决策'!K123</x:f>
        <x:v>-82.99999999999993</x:v>
      </x:c>
      <x:c r="L27" s="24" t="n">
        <x:f>'两日价格与决策'!L123</x:f>
        <x:v>0</x:v>
      </x:c>
      <x:c r="M27" s="24" t="n">
        <x:f>'两日价格与决策'!M123</x:f>
        <x:v>100</x:v>
      </x:c>
      <x:c r="N27" s="24" t="n">
        <x:f>'两日价格与决策'!N123</x:f>
        <x:v>17</x:v>
      </x:c>
      <x:c r="O27" s="24" t="n">
        <x:f>'两日价格与决策'!O123</x:f>
        <x:v>1.6810000000000003</x:v>
      </x:c>
      <x:c r="P27" s="24" t="n">
        <x:f>'两日价格与决策'!P123</x:f>
        <x:v>0</x:v>
      </x:c>
      <x:c r="Q27" s="25" t="n">
        <x:f>'两日价格与决策'!Q123</x:f>
        <x:v>-1093.109999999999</x:v>
      </x:c>
      <x:c r="R27" s="25" t="n">
        <x:f>'两日价格与决策'!R123</x:f>
        <x:v>0</x:v>
      </x:c>
      <x:c r="S27" s="25" t="n">
        <x:f>'两日价格与决策'!S123</x:f>
        <x:v>342.7755774914055</x:v>
      </x:c>
      <x:c r="T27" s="25" t="n">
        <x:f>'两日价格与决策'!T123</x:f>
        <x:v>60.23702780402485</x:v>
      </x:c>
      <x:c r="U27" s="25" t="n">
        <x:f>'两日价格与决策'!U123</x:f>
        <x:v>227.8726438953781</x:v>
      </x:c>
      <x:c r="V27" s="25" t="n">
        <x:f>'两日价格与决策'!V123</x:f>
        <x:v>0</x:v>
      </x:c>
      <x:c r="W27" s="25" t="n">
        <x:f>'两日价格与决策'!W123</x:f>
        <x:v>-462.2247508091905</x:v>
      </x:c>
      <x:c r="X27" s="18" t="n">
        <x:f>'两日价格与决策'!X123</x:f>
        <x:v>-462.22475080919054</x:v>
      </x:c>
      <x:c r="Y27" s="18" t="n">
        <x:f>'两日价格与决策'!Y123</x:f>
        <x:v>5.684341886080802e-14</x:v>
      </x:c>
      <x:c r="Z27" s="18" t="str">
        <x:f>"1月2日执行｜前窗冻结订单"</x:f>
        <x:v>1月2日执行｜前窗冻结订单</x:v>
      </x:c>
      <x:c r="AA27" s="19" t="n">
        <x:f>'两日价格与决策'!AA123</x:f>
        <x:v>1</x:v>
      </x:c>
      <x:c r="AB27" s="19" t="n">
        <x:f>'两日价格与决策'!AB123</x:f>
        <x:v>0</x:v>
      </x:c>
      <x:c r="AC27" s="18" t="n">
        <x:f>'两日价格与决策'!AC123</x:f>
        <x:v>0.25</x:v>
      </x:c>
      <x:c r="AD27" s="20" t="n">
        <x:f>'两日价格与决策'!AD123</x:f>
        <x:v>1</x:v>
      </x:c>
      <x:c r="AE27" s="20" t="n">
        <x:f>'两日价格与决策'!AE123</x:f>
        <x:v>0.06724000000000001</x:v>
      </x:c>
      <x:c r="AF27" s="20" t="n">
        <x:f>'两日价格与决策'!AF123</x:f>
        <x:v>0</x:v>
      </x:c>
      <x:c r="AG27" s="18" t="n">
        <x:f>'两日价格与决策'!AG123</x:f>
        <x:v>200</x:v>
      </x:c>
      <x:c r="AH27" s="18" t="n">
        <x:f>'两日价格与决策'!AH123</x:f>
        <x:v>200</x:v>
      </x:c>
      <x:c r="AI27" s="18" t="n">
        <x:f>'两日价格与决策'!AI123</x:f>
        <x:v>3.362</x:v>
      </x:c>
      <x:c r="AJ27" s="18" t="n">
        <x:f>'两日价格与决策'!AJ123</x:f>
        <x:v>0</x:v>
      </x:c>
      <x:c r="AK27" s="18" t="str">
        <x:f>'两日价格与决策'!AK123</x:f>
        <x:v>缺失</x:v>
      </x:c>
      <x:c r="AL27" s="18" t="n">
        <x:f>'两日价格与决策'!AL123</x:f>
        <x:v>0.05032502212560384</x:v>
      </x:c>
      <x:c r="AM27" s="18" t="n">
        <x:f>'两日价格与决策'!AM123</x:f>
        <x:v>19.354769999999984</x:v>
      </x:c>
      <x:c r="AN27" s="18" t="n">
        <x:f>'两日价格与决策'!AN123</x:f>
        <x:v>0.28577000000000125</x:v>
      </x:c>
      <x:c r="AO27" s="18" t="n">
        <x:f>'两日价格与决策'!AO123</x:f>
        <x:v>126.3908392695652</x:v>
      </x:c>
      <x:c r="AP27" s="18" t="n">
        <x:f>'两日价格与决策'!AP123</x:f>
        <x:v>0</x:v>
      </x:c>
      <x:c r="AQ27" s="18" t="n">
        <x:f>'两日价格与决策'!AQ123</x:f>
        <x:v>4.9741</x:v>
      </x:c>
      <x:c r="AR27" s="21" t="n">
        <x:f>'两日价格与决策'!AR123</x:f>
        <x:v>45657</x:v>
      </x:c>
      <x:c r="AS27" s="17" t="n">
        <x:f>'两日价格与决策'!AS123</x:f>
        <x:v>45659.125</x:v>
      </x:c>
      <x:c r="AT27" s="18" t="str">
        <x:f>'两日价格与决策'!AT123</x:f>
        <x:v>2025-01-02_5</x:v>
      </x:c>
      <x:c r="AU27" s="19" t="n">
        <x:f>'两日价格与决策'!AU123</x:f>
        <x:v>60</x:v>
      </x:c>
      <x:c r="AV27" s="18" t="str">
        <x:f>'两日价格与决策'!AV123</x:f>
        <x:v>OK</x:v>
      </x:c>
    </x:row>
    <x:row r="28" ht="21" customHeight="1">
      <x:c r="A28" s="17" t="n">
        <x:f>'两日价格与决策'!A124</x:f>
        <x:v>45659.21875</x:v>
      </x:c>
      <x:c r="B28" s="23" t="n">
        <x:f>'两日价格与决策'!B124</x:f>
        <x:v>52.68</x:v>
      </x:c>
      <x:c r="C28" s="23" t="str">
        <x:f>'两日价格与决策'!C124</x:f>
        <x:v>缺失</x:v>
      </x:c>
      <x:c r="D28" s="23" t="n">
        <x:f>'两日价格与决策'!D124</x:f>
        <x:v>13.71102309965622</x:v>
      </x:c>
      <x:c r="E28" s="23" t="n">
        <x:f>'两日价格与决策'!E124</x:f>
        <x:v>14.173418306829376</x:v>
      </x:c>
      <x:c r="F28" s="23" t="n">
        <x:f>'两日价格与决策'!F124</x:f>
        <x:v>134.58796566212982</x:v>
      </x:c>
      <x:c r="G28" s="23" t="n">
        <x:f>'两日价格与决策'!G124</x:f>
        <x:v>58.3020043827024</x:v>
      </x:c>
      <x:c r="H28" s="23" t="str">
        <x:f>'两日价格与决策'!H124</x:f>
        <x:v>未模拟</x:v>
      </x:c>
      <x:c r="I28" s="24" t="n">
        <x:f>'两日价格与决策'!I124</x:f>
        <x:v>126.3908392695652</x:v>
      </x:c>
      <x:c r="J28" s="24" t="n">
        <x:f>'两日价格与决策'!J124</x:f>
        <x:v>144.8123809391304</x:v>
      </x:c>
      <x:c r="K28" s="24" t="n">
        <x:f>'两日价格与决策'!K124</x:f>
        <x:v>-82.99999999999993</x:v>
      </x:c>
      <x:c r="L28" s="24" t="n">
        <x:f>'两日价格与决策'!L124</x:f>
        <x:v>0</x:v>
      </x:c>
      <x:c r="M28" s="24" t="n">
        <x:f>'两日价格与决策'!M124</x:f>
        <x:v>100</x:v>
      </x:c>
      <x:c r="N28" s="24" t="n">
        <x:f>'两日价格与决策'!N124</x:f>
        <x:v>17</x:v>
      </x:c>
      <x:c r="O28" s="24" t="n">
        <x:f>'两日价格与决策'!O124</x:f>
        <x:v>0.7055</x:v>
      </x:c>
      <x:c r="P28" s="24" t="n">
        <x:f>'两日价格与决策'!P124</x:f>
        <x:v>0.00068</x:v>
      </x:c>
      <x:c r="Q28" s="25" t="n">
        <x:f>'两日价格与决策'!Q124</x:f>
        <x:v>-1093.109999999999</x:v>
      </x:c>
      <x:c r="R28" s="25" t="n">
        <x:f>'两日价格与决策'!R124</x:f>
        <x:v>0</x:v>
      </x:c>
      <x:c r="S28" s="25" t="n">
        <x:f>'两日价格与决策'!S124</x:f>
        <x:v>342.7755774914055</x:v>
      </x:c>
      <x:c r="T28" s="25" t="n">
        <x:f>'两日价格与决策'!T124</x:f>
        <x:v>60.23702780402485</x:v>
      </x:c>
      <x:c r="U28" s="25" t="n">
        <x:f>'两日价格与决策'!U124</x:f>
        <x:v>94.9518097746326</x:v>
      </x:c>
      <x:c r="V28" s="25" t="n">
        <x:f>'两日价格与决策'!V124</x:f>
        <x:v>-0.03964536298023764</x:v>
      </x:c>
      <x:c r="W28" s="25" t="n">
        <x:f>'两日价格与决策'!W124</x:f>
        <x:v>-595.1852302929162</x:v>
      </x:c>
      <x:c r="X28" s="18" t="n">
        <x:f>'两日价格与决策'!X124</x:f>
        <x:v>-595.1852302929162</x:v>
      </x:c>
      <x:c r="Y28" s="18" t="n">
        <x:f>'两日价格与决策'!Y124</x:f>
        <x:v>0</x:v>
      </x:c>
      <x:c r="Z28" s="18" t="str">
        <x:f>"1月2日执行｜前窗冻结订单"</x:f>
        <x:v>1月2日执行｜前窗冻结订单</x:v>
      </x:c>
      <x:c r="AA28" s="19" t="n">
        <x:f>'两日价格与决策'!AA124</x:f>
        <x:v>1</x:v>
      </x:c>
      <x:c r="AB28" s="19" t="n">
        <x:f>'两日价格与决策'!AB124</x:f>
        <x:v>0</x:v>
      </x:c>
      <x:c r="AC28" s="18" t="n">
        <x:f>'两日价格与决策'!AC124</x:f>
        <x:v>0.25</x:v>
      </x:c>
      <x:c r="AD28" s="20" t="n">
        <x:f>'两日价格与决策'!AD124</x:f>
        <x:v>1</x:v>
      </x:c>
      <x:c r="AE28" s="20" t="n">
        <x:f>'两日价格与决策'!AE124</x:f>
        <x:v>0.028220000000000002</x:v>
      </x:c>
      <x:c r="AF28" s="20" t="n">
        <x:f>'两日价格与决策'!AF124</x:f>
        <x:v>0.00016</x:v>
      </x:c>
      <x:c r="AG28" s="18" t="n">
        <x:f>'两日价格与决策'!AG124</x:f>
        <x:v>200</x:v>
      </x:c>
      <x:c r="AH28" s="18" t="n">
        <x:f>'两日价格与决策'!AH124</x:f>
        <x:v>200</x:v>
      </x:c>
      <x:c r="AI28" s="18" t="n">
        <x:f>'两日价格与决策'!AI124</x:f>
        <x:v>1.411</x:v>
      </x:c>
      <x:c r="AJ28" s="18" t="n">
        <x:f>'两日价格与决策'!AJ124</x:f>
        <x:v>0.008</x:v>
      </x:c>
      <x:c r="AK28" s="18" t="str">
        <x:f>'两日价格与决策'!AK124</x:f>
        <x:v>缺失</x:v>
      </x:c>
      <x:c r="AL28" s="18" t="n">
        <x:f>'两日价格与决策'!AL124</x:f>
        <x:v>0.051895194251207685</x:v>
      </x:c>
      <x:c r="AM28" s="18" t="n">
        <x:f>'两日价格与决策'!AM124</x:f>
        <x:v>20.165114999999982</x:v>
      </x:c>
      <x:c r="AN28" s="18" t="n">
        <x:f>'两日价格与决策'!AN124</x:f>
        <x:v>0.11993500000000051</x:v>
      </x:c>
      <x:c r="AO28" s="18" t="n">
        <x:f>'两日价格与决策'!AO124</x:f>
        <x:v>144.8123809391304</x:v>
      </x:c>
      <x:c r="AP28" s="18" t="n">
        <x:f>'两日价格与决策'!AP124</x:f>
        <x:v>0</x:v>
      </x:c>
      <x:c r="AQ28" s="18" t="n">
        <x:f>'两日价格与决策'!AQ124</x:f>
        <x:v>4.9741</x:v>
      </x:c>
      <x:c r="AR28" s="21" t="n">
        <x:f>'两日价格与决策'!AR124</x:f>
        <x:v>45657</x:v>
      </x:c>
      <x:c r="AS28" s="17" t="n">
        <x:f>'两日价格与决策'!AS124</x:f>
        <x:v>45659.135416666664</x:v>
      </x:c>
      <x:c r="AT28" s="18" t="str">
        <x:f>'两日价格与决策'!AT124</x:f>
        <x:v>2025-01-02_5</x:v>
      </x:c>
      <x:c r="AU28" s="19" t="n">
        <x:f>'两日价格与决策'!AU124</x:f>
        <x:v>60</x:v>
      </x:c>
      <x:c r="AV28" s="18" t="str">
        <x:f>'两日价格与决策'!AV124</x:f>
        <x:v>OK</x:v>
      </x:c>
    </x:row>
    <x:row r="29" ht="21" customHeight="1">
      <x:c r="A29" s="17" t="n">
        <x:f>'两日价格与决策'!A125</x:f>
        <x:v>45659.229166666664</x:v>
      </x:c>
      <x:c r="B29" s="23" t="n">
        <x:f>'两日价格与决策'!B125</x:f>
        <x:v>52.68</x:v>
      </x:c>
      <x:c r="C29" s="23" t="str">
        <x:f>'两日价格与决策'!C125</x:f>
        <x:v>缺失</x:v>
      </x:c>
      <x:c r="D29" s="23" t="n">
        <x:f>'两日价格与决策'!D125</x:f>
        <x:v>13.71102309965622</x:v>
      </x:c>
      <x:c r="E29" s="23" t="n">
        <x:f>'两日价格与决策'!E125</x:f>
        <x:v>14.173418306829376</x:v>
      </x:c>
      <x:c r="F29" s="23" t="n">
        <x:f>'两日价格与决策'!F125</x:f>
        <x:v>136.70814820771596</x:v>
      </x:c>
      <x:c r="G29" s="23" t="n">
        <x:f>'两日价格与决策'!G125</x:f>
        <x:v>0</x:v>
      </x:c>
      <x:c r="H29" s="23" t="str">
        <x:f>'两日价格与决策'!H125</x:f>
        <x:v>未模拟</x:v>
      </x:c>
      <x:c r="I29" s="24" t="n">
        <x:f>'两日价格与决策'!I125</x:f>
        <x:v>144.8123809391304</x:v>
      </x:c>
      <x:c r="J29" s="24" t="n">
        <x:f>'两日价格与决策'!J125</x:f>
        <x:v>162.91084692173908</x:v>
      </x:c>
      <x:c r="K29" s="24" t="n">
        <x:f>'两日价格与决策'!K125</x:f>
        <x:v>-82.99999999999993</x:v>
      </x:c>
      <x:c r="L29" s="24" t="n">
        <x:f>'两日价格与决策'!L125</x:f>
        <x:v>0</x:v>
      </x:c>
      <x:c r="M29" s="24" t="n">
        <x:f>'两日价格与决策'!M125</x:f>
        <x:v>100</x:v>
      </x:c>
      <x:c r="N29" s="24" t="n">
        <x:f>'两日价格与决策'!N125</x:f>
        <x:v>17</x:v>
      </x:c>
      <x:c r="O29" s="24" t="n">
        <x:f>'两日价格与决策'!O125</x:f>
        <x:v>1.0455</x:v>
      </x:c>
      <x:c r="P29" s="24" t="n">
        <x:f>'两日价格与决策'!P125</x:f>
        <x:v>0</x:v>
      </x:c>
      <x:c r="Q29" s="25" t="n">
        <x:f>'两日价格与决策'!Q125</x:f>
        <x:v>-1093.109999999999</x:v>
      </x:c>
      <x:c r="R29" s="25" t="n">
        <x:f>'两日价格与决策'!R125</x:f>
        <x:v>0</x:v>
      </x:c>
      <x:c r="S29" s="25" t="n">
        <x:f>'两日价格与决策'!S125</x:f>
        <x:v>342.7755774914055</x:v>
      </x:c>
      <x:c r="T29" s="25" t="n">
        <x:f>'两日价格与决策'!T125</x:f>
        <x:v>60.23702780402485</x:v>
      </x:c>
      <x:c r="U29" s="25" t="n">
        <x:f>'两日价格与决策'!U125</x:f>
        <x:v>142.92836895116704</x:v>
      </x:c>
      <x:c r="V29" s="25" t="n">
        <x:f>'两日价格与决策'!V125</x:f>
        <x:v>0</x:v>
      </x:c>
      <x:c r="W29" s="25" t="n">
        <x:f>'两日价格与决策'!W125</x:f>
        <x:v>-547.1690257534016</x:v>
      </x:c>
      <x:c r="X29" s="18" t="n">
        <x:f>'两日价格与决策'!X125</x:f>
        <x:v>-547.1690257534016</x:v>
      </x:c>
      <x:c r="Y29" s="18" t="n">
        <x:f>'两日价格与决策'!Y125</x:f>
        <x:v>0</x:v>
      </x:c>
      <x:c r="Z29" s="18" t="str">
        <x:f>"1月2日执行｜前窗冻结订单"</x:f>
        <x:v>1月2日执行｜前窗冻结订单</x:v>
      </x:c>
      <x:c r="AA29" s="19" t="n">
        <x:f>'两日价格与决策'!AA125</x:f>
        <x:v>1</x:v>
      </x:c>
      <x:c r="AB29" s="19" t="n">
        <x:f>'两日价格与决策'!AB125</x:f>
        <x:v>0</x:v>
      </x:c>
      <x:c r="AC29" s="18" t="n">
        <x:f>'两日价格与决策'!AC125</x:f>
        <x:v>0.25</x:v>
      </x:c>
      <x:c r="AD29" s="20" t="n">
        <x:f>'两日价格与决策'!AD125</x:f>
        <x:v>1</x:v>
      </x:c>
      <x:c r="AE29" s="20" t="n">
        <x:f>'两日价格与决策'!AE125</x:f>
        <x:v>0.04182</x:v>
      </x:c>
      <x:c r="AF29" s="20" t="n">
        <x:f>'两日价格与决策'!AF125</x:f>
        <x:v>0</x:v>
      </x:c>
      <x:c r="AG29" s="18" t="n">
        <x:f>'两日价格与决策'!AG125</x:f>
        <x:v>200</x:v>
      </x:c>
      <x:c r="AH29" s="18" t="n">
        <x:f>'两日价格与决策'!AH125</x:f>
        <x:v>200</x:v>
      </x:c>
      <x:c r="AI29" s="18" t="n">
        <x:f>'两日价格与决策'!AI125</x:f>
        <x:v>2.091</x:v>
      </x:c>
      <x:c r="AJ29" s="18" t="n">
        <x:f>'两日价格与决策'!AJ125</x:f>
        <x:v>0</x:v>
      </x:c>
      <x:c r="AK29" s="18" t="str">
        <x:f>'两日价格与决策'!AK125</x:f>
        <x:v>缺失</x:v>
      </x:c>
      <x:c r="AL29" s="18" t="n">
        <x:f>'两日价格与决策'!AL125</x:f>
        <x:v>0.0513467956038647</x:v>
      </x:c>
      <x:c r="AM29" s="18" t="n">
        <x:f>'两日价格与决策'!AM125</x:f>
        <x:v>19.882234999999984</x:v>
      </x:c>
      <x:c r="AN29" s="18" t="n">
        <x:f>'两日价格与决策'!AN125</x:f>
        <x:v>0.17773500000000075</x:v>
      </x:c>
      <x:c r="AO29" s="18" t="n">
        <x:f>'两日价格与决策'!AO125</x:f>
        <x:v>162.91084692173908</x:v>
      </x:c>
      <x:c r="AP29" s="18" t="n">
        <x:f>'两日价格与决策'!AP125</x:f>
        <x:v>0</x:v>
      </x:c>
      <x:c r="AQ29" s="18" t="n">
        <x:f>'两日价格与决策'!AQ125</x:f>
        <x:v>4.9741</x:v>
      </x:c>
      <x:c r="AR29" s="21" t="n">
        <x:f>'两日价格与决策'!AR125</x:f>
        <x:v>45657</x:v>
      </x:c>
      <x:c r="AS29" s="17" t="n">
        <x:f>'两日价格与决策'!AS125</x:f>
        <x:v>45659.145833333336</x:v>
      </x:c>
      <x:c r="AT29" s="18" t="str">
        <x:f>'两日价格与决策'!AT125</x:f>
        <x:v>2025-01-02_5</x:v>
      </x:c>
      <x:c r="AU29" s="19" t="n">
        <x:f>'两日价格与决策'!AU125</x:f>
        <x:v>60</x:v>
      </x:c>
      <x:c r="AV29" s="18" t="str">
        <x:f>'两日价格与决策'!AV125</x:f>
        <x:v>OK</x:v>
      </x:c>
    </x:row>
    <x:row r="30" ht="21" customHeight="1">
      <x:c r="A30" s="17" t="n">
        <x:f>'两日价格与决策'!A126</x:f>
        <x:v>45659.239583333336</x:v>
      </x:c>
      <x:c r="B30" s="23" t="n">
        <x:f>'两日价格与决策'!B126</x:f>
        <x:v>52.68</x:v>
      </x:c>
      <x:c r="C30" s="23" t="str">
        <x:f>'两日价格与决策'!C126</x:f>
        <x:v>缺失</x:v>
      </x:c>
      <x:c r="D30" s="23" t="n">
        <x:f>'两日价格与决策'!D126</x:f>
        <x:v>13.71102309965622</x:v>
      </x:c>
      <x:c r="E30" s="23" t="n">
        <x:f>'两日价格与决策'!E126</x:f>
        <x:v>14.173418306829376</x:v>
      </x:c>
      <x:c r="F30" s="23" t="n">
        <x:f>'两日价格与决策'!F126</x:f>
        <x:v>132.66982971793894</x:v>
      </x:c>
      <x:c r="G30" s="23" t="n">
        <x:f>'两日价格与决策'!G126</x:f>
        <x:v>37.93108300999176</x:v>
      </x:c>
      <x:c r="H30" s="23" t="str">
        <x:f>'两日价格与决策'!H126</x:f>
        <x:v>未模拟</x:v>
      </x:c>
      <x:c r="I30" s="24" t="n">
        <x:f>'两日价格与决策'!I126</x:f>
        <x:v>162.91084692173908</x:v>
      </x:c>
      <x:c r="J30" s="24" t="n">
        <x:f>'两日价格与决策'!J126</x:f>
        <x:v>180.71637249565208</x:v>
      </x:c>
      <x:c r="K30" s="24" t="n">
        <x:f>'两日价格与决策'!K126</x:f>
        <x:v>-82.99999999999993</x:v>
      </x:c>
      <x:c r="L30" s="24" t="n">
        <x:f>'两日价格与决策'!L126</x:f>
        <x:v>0</x:v>
      </x:c>
      <x:c r="M30" s="24" t="n">
        <x:f>'两日价格与决策'!M126</x:f>
        <x:v>100</x:v>
      </x:c>
      <x:c r="N30" s="24" t="n">
        <x:f>'两日价格与决策'!N126</x:f>
        <x:v>17</x:v>
      </x:c>
      <x:c r="O30" s="24" t="n">
        <x:f>'两日价格与决策'!O126</x:f>
        <x:v>1.367</x:v>
      </x:c>
      <x:c r="P30" s="24" t="n">
        <x:f>'两日价格与决策'!P126</x:f>
        <x:v>0.013005</x:v>
      </x:c>
      <x:c r="Q30" s="25" t="n">
        <x:f>'两日价格与决策'!Q126</x:f>
        <x:v>-1093.109999999999</x:v>
      </x:c>
      <x:c r="R30" s="25" t="n">
        <x:f>'两日价格与决策'!R126</x:f>
        <x:v>0</x:v>
      </x:c>
      <x:c r="S30" s="25" t="n">
        <x:f>'两日价格与决策'!S126</x:f>
        <x:v>342.7755774914055</x:v>
      </x:c>
      <x:c r="T30" s="25" t="n">
        <x:f>'两日价格与决策'!T126</x:f>
        <x:v>60.23702780402485</x:v>
      </x:c>
      <x:c r="U30" s="25" t="n">
        <x:f>'两日价格与决策'!U126</x:f>
        <x:v>181.35965722442253</x:v>
      </x:c>
      <x:c r="V30" s="25" t="n">
        <x:f>'两日价格与决策'!V126</x:f>
        <x:v>-0.4932937345449428</x:v>
      </x:c>
      <x:c r="W30" s="25" t="n">
        <x:f>'两日价格与决策'!W126</x:f>
        <x:v>-509.231031214691</x:v>
      </x:c>
      <x:c r="X30" s="18" t="n">
        <x:f>'两日价格与决策'!X126</x:f>
        <x:v>-509.23103121469103</x:v>
      </x:c>
      <x:c r="Y30" s="18" t="n">
        <x:f>'两日价格与决策'!Y126</x:f>
        <x:v>5.684341886080802e-14</x:v>
      </x:c>
      <x:c r="Z30" s="18" t="str">
        <x:f>"1月2日执行｜前窗冻结订单"</x:f>
        <x:v>1月2日执行｜前窗冻结订单</x:v>
      </x:c>
      <x:c r="AA30" s="19" t="n">
        <x:f>'两日价格与决策'!AA126</x:f>
        <x:v>1</x:v>
      </x:c>
      <x:c r="AB30" s="19" t="n">
        <x:f>'两日价格与决策'!AB126</x:f>
        <x:v>0</x:v>
      </x:c>
      <x:c r="AC30" s="18" t="n">
        <x:f>'两日价格与决策'!AC126</x:f>
        <x:v>0.25</x:v>
      </x:c>
      <x:c r="AD30" s="20" t="n">
        <x:f>'两日价格与决策'!AD126</x:f>
        <x:v>1</x:v>
      </x:c>
      <x:c r="AE30" s="20" t="n">
        <x:f>'两日价格与决策'!AE126</x:f>
        <x:v>0.05468</x:v>
      </x:c>
      <x:c r="AF30" s="20" t="n">
        <x:f>'两日价格与决策'!AF126</x:f>
        <x:v>0.00306</x:v>
      </x:c>
      <x:c r="AG30" s="18" t="n">
        <x:f>'两日价格与决策'!AG126</x:f>
        <x:v>200</x:v>
      </x:c>
      <x:c r="AH30" s="18" t="n">
        <x:f>'两日价格与决策'!AH126</x:f>
        <x:v>200</x:v>
      </x:c>
      <x:c r="AI30" s="18" t="n">
        <x:f>'两日价格与决策'!AI126</x:f>
        <x:v>2.734</x:v>
      </x:c>
      <x:c r="AJ30" s="18" t="n">
        <x:f>'两日价格与决策'!AJ126</x:f>
        <x:v>0.153</x:v>
      </x:c>
      <x:c r="AK30" s="18" t="str">
        <x:f>'两日价格与决策'!AK126</x:f>
        <x:v>缺失</x:v>
      </x:c>
      <x:c r="AL30" s="18" t="n">
        <x:f>'两日价格与决策'!AL126</x:f>
        <x:v>0.050863114516908184</x:v>
      </x:c>
      <x:c r="AM30" s="18" t="n">
        <x:f>'两日价格与决策'!AM126</x:f>
        <x:v>19.628394999999983</x:v>
      </x:c>
      <x:c r="AN30" s="18" t="n">
        <x:f>'两日价格与决策'!AN126</x:f>
        <x:v>0.23239000000000096</x:v>
      </x:c>
      <x:c r="AO30" s="18" t="n">
        <x:f>'两日价格与决策'!AO126</x:f>
        <x:v>180.7163724956521</x:v>
      </x:c>
      <x:c r="AP30" s="18" t="n">
        <x:f>'两日价格与决策'!AP126</x:f>
        <x:v>2.842170943040401e-14</x:v>
      </x:c>
      <x:c r="AQ30" s="18" t="n">
        <x:f>'两日价格与决策'!AQ126</x:f>
        <x:v>4.9741</x:v>
      </x:c>
      <x:c r="AR30" s="21" t="n">
        <x:f>'两日价格与决策'!AR126</x:f>
        <x:v>45657</x:v>
      </x:c>
      <x:c r="AS30" s="17" t="n">
        <x:f>'两日价格与决策'!AS126</x:f>
        <x:v>45659.15625</x:v>
      </x:c>
      <x:c r="AT30" s="18" t="str">
        <x:f>'两日价格与决策'!AT126</x:f>
        <x:v>2025-01-02_5</x:v>
      </x:c>
      <x:c r="AU30" s="19" t="n">
        <x:f>'两日价格与决策'!AU126</x:f>
        <x:v>60</x:v>
      </x:c>
      <x:c r="AV30" s="18" t="str">
        <x:f>'两日价格与决策'!AV126</x:f>
        <x:v>OK</x:v>
      </x:c>
    </x:row>
    <x:row r="31" ht="21" customHeight="1">
      <x:c r="A31" s="17" t="n">
        <x:f>'两日价格与决策'!A127</x:f>
        <x:v>45659.25</x:v>
      </x:c>
      <x:c r="B31" s="23" t="n">
        <x:f>'两日价格与决策'!B127</x:f>
        <x:v>72.84</x:v>
      </x:c>
      <x:c r="C31" s="23" t="str">
        <x:f>'两日价格与决策'!C127</x:f>
        <x:v>缺失</x:v>
      </x:c>
      <x:c r="D31" s="23" t="n">
        <x:f>'两日价格与决策'!D127</x:f>
        <x:v>13.831647936310086</x:v>
      </x:c>
      <x:c r="E31" s="23" t="n">
        <x:f>'两日价格与决策'!E127</x:f>
        <x:v>14.710198829939085</x:v>
      </x:c>
      <x:c r="F31" s="23" t="n">
        <x:f>'两日价格与决策'!F127</x:f>
        <x:v>0</x:v>
      </x:c>
      <x:c r="G31" s="23" t="n">
        <x:f>'两日价格与决策'!G127</x:f>
        <x:v>20.596288775858948</x:v>
      </x:c>
      <x:c r="H31" s="23" t="str">
        <x:f>'两日价格与决策'!H127</x:f>
        <x:v>未模拟</x:v>
      </x:c>
      <x:c r="I31" s="24" t="n">
        <x:f>'两日价格与决策'!I127</x:f>
        <x:v>180.71637249565208</x:v>
      </x:c>
      <x:c r="J31" s="24" t="n">
        <x:f>'两日价格与决策'!J127</x:f>
        <x:v>184.82141249565208</x:v>
      </x:c>
      <x:c r="K31" s="24" t="n">
        <x:f>'两日价格与决策'!K127</x:f>
        <x:v>0</x:v>
      </x:c>
      <x:c r="L31" s="24" t="n">
        <x:f>'两日价格与决策'!L127</x:f>
        <x:v>0</x:v>
      </x:c>
      <x:c r="M31" s="24" t="n">
        <x:f>'两日价格与决策'!M127</x:f>
        <x:v>100</x:v>
      </x:c>
      <x:c r="N31" s="24" t="n">
        <x:f>'两日价格与决策'!N127</x:f>
        <x:v>100</x:v>
      </x:c>
      <x:c r="O31" s="24" t="n">
        <x:f>'两日价格与决策'!O127</x:f>
        <x:v>0</x:v>
      </x:c>
      <x:c r="P31" s="24" t="n">
        <x:f>'两日价格与决策'!P127</x:f>
        <x:v>4.462</x:v>
      </x:c>
      <x:c r="Q31" s="25" t="n">
        <x:f>'两日价格与决策'!Q127</x:f>
        <x:v>0</x:v>
      </x:c>
      <x:c r="R31" s="25" t="n">
        <x:f>'两日价格与决策'!R127</x:f>
        <x:v>0</x:v>
      </x:c>
      <x:c r="S31" s="25" t="n">
        <x:f>'两日价格与决策'!S127</x:f>
        <x:v>345.7911984077521</x:v>
      </x:c>
      <x:c r="T31" s="25" t="n">
        <x:f>'两日价格与决策'!T127</x:f>
        <x:v>367.7549707484771</x:v>
      </x:c>
      <x:c r="U31" s="25" t="n">
        <x:f>'两日价格与决策'!U127</x:f>
        <x:v>0</x:v>
      </x:c>
      <x:c r="V31" s="25" t="n">
        <x:f>'两日价格与决策'!V127</x:f>
        <x:v>-91.90064051788262</x:v>
      </x:c>
      <x:c r="W31" s="25" t="n">
        <x:f>'两日价格与决策'!W127</x:f>
        <x:v>621.6455286383466</x:v>
      </x:c>
      <x:c r="X31" s="18" t="n">
        <x:f>'两日价格与决策'!X127</x:f>
        <x:v>621.6455286383466</x:v>
      </x:c>
      <x:c r="Y31" s="18" t="n">
        <x:f>'两日价格与决策'!Y127</x:f>
        <x:v>0</x:v>
      </x:c>
      <x:c r="Z31" s="18" t="str">
        <x:f>"1月2日执行｜前窗冻结订单"</x:f>
        <x:v>1月2日执行｜前窗冻结订单</x:v>
      </x:c>
      <x:c r="AA31" s="19" t="n">
        <x:f>'两日价格与决策'!AA127</x:f>
        <x:v>1</x:v>
      </x:c>
      <x:c r="AB31" s="19" t="n">
        <x:f>'两日价格与决策'!AB127</x:f>
        <x:v>0</x:v>
      </x:c>
      <x:c r="AC31" s="18" t="n">
        <x:f>'两日价格与决策'!AC127</x:f>
        <x:v>0.25</x:v>
      </x:c>
      <x:c r="AD31" s="20" t="n">
        <x:f>'两日价格与决策'!AD127</x:f>
        <x:v>1</x:v>
      </x:c>
      <x:c r="AE31" s="20" t="n">
        <x:f>'两日价格与决策'!AE127</x:f>
        <x:v>0</x:v>
      </x:c>
      <x:c r="AF31" s="20" t="n">
        <x:f>'两日价格与决策'!AF127</x:f>
        <x:v>0.17848</x:v>
      </x:c>
      <x:c r="AG31" s="18" t="n">
        <x:f>'两日价格与决策'!AG127</x:f>
        <x:v>193</x:v>
      </x:c>
      <x:c r="AH31" s="18" t="n">
        <x:f>'两日价格与决策'!AH127</x:f>
        <x:v>200</x:v>
      </x:c>
      <x:c r="AI31" s="18" t="n">
        <x:f>'两日价格与决策'!AI127</x:f>
        <x:v>0</x:v>
      </x:c>
      <x:c r="AJ31" s="18" t="n">
        <x:f>'两日价格与决策'!AJ127</x:f>
        <x:v>8.924</x:v>
      </x:c>
      <x:c r="AK31" s="18" t="str">
        <x:f>'两日价格与决策'!AK127</x:f>
        <x:v>缺失</x:v>
      </x:c>
      <x:c r="AL31" s="18" t="n">
        <x:f>'两日价格与决策'!AL127</x:f>
        <x:v>0.011402888888888888</x:v>
      </x:c>
      <x:c r="AM31" s="18" t="n">
        <x:f>'两日价格与决策'!AM127</x:f>
        <x:v>4.462</x:v>
      </x:c>
      <x:c r="AN31" s="18" t="n">
        <x:f>'两日价格与决策'!AN127</x:f>
        <x:v>0</x:v>
      </x:c>
      <x:c r="AO31" s="18" t="n">
        <x:f>'两日价格与决策'!AO127</x:f>
        <x:v>184.8214124956521</x:v>
      </x:c>
      <x:c r="AP31" s="18" t="n">
        <x:f>'两日价格与决策'!AP127</x:f>
        <x:v>2.842170943040401e-14</x:v>
      </x:c>
      <x:c r="AQ31" s="18" t="n">
        <x:f>'两日价格与决策'!AQ127</x:f>
        <x:v>4.9741</x:v>
      </x:c>
      <x:c r="AR31" s="21" t="n">
        <x:f>'两日价格与决策'!AR127</x:f>
        <x:v>45657</x:v>
      </x:c>
      <x:c r="AS31" s="17" t="n">
        <x:f>'两日价格与决策'!AS127</x:f>
        <x:v>45659.166666666664</x:v>
      </x:c>
      <x:c r="AT31" s="18" t="str">
        <x:f>'两日价格与决策'!AT127</x:f>
        <x:v>2025-01-02_6</x:v>
      </x:c>
      <x:c r="AU31" s="19" t="n">
        <x:f>'两日价格与决策'!AU127</x:f>
        <x:v>60</x:v>
      </x:c>
      <x:c r="AV31" s="18" t="str">
        <x:f>'两日价格与决策'!AV127</x:f>
        <x:v>OK</x:v>
      </x:c>
    </x:row>
    <x:row r="32" ht="21" customHeight="1">
      <x:c r="A32" s="17" t="n">
        <x:f>'两日价格与决策'!A128</x:f>
        <x:v>45659.260416666664</x:v>
      </x:c>
      <x:c r="B32" s="23" t="n">
        <x:f>'两日价格与决策'!B128</x:f>
        <x:v>72.84</x:v>
      </x:c>
      <x:c r="C32" s="23" t="str">
        <x:f>'两日价格与决策'!C128</x:f>
        <x:v>缺失</x:v>
      </x:c>
      <x:c r="D32" s="23" t="n">
        <x:f>'两日价格与决策'!D128</x:f>
        <x:v>13.831647936310086</x:v>
      </x:c>
      <x:c r="E32" s="23" t="n">
        <x:f>'两日价格与决策'!E128</x:f>
        <x:v>14.710198829939085</x:v>
      </x:c>
      <x:c r="F32" s="23" t="n">
        <x:f>'两日价格与决策'!F128</x:f>
        <x:v>0</x:v>
      </x:c>
      <x:c r="G32" s="23" t="n">
        <x:f>'两日价格与决策'!G128</x:f>
        <x:v>16.782734565046944</x:v>
      </x:c>
      <x:c r="H32" s="23" t="str">
        <x:f>'两日价格与决策'!H128</x:f>
        <x:v>未模拟</x:v>
      </x:c>
      <x:c r="I32" s="24" t="n">
        <x:f>'两日价格与决策'!I128</x:f>
        <x:v>184.82141249565208</x:v>
      </x:c>
      <x:c r="J32" s="24" t="n">
        <x:f>'两日价格与决策'!J128</x:f>
        <x:v>189.3487324956521</x:v>
      </x:c>
      <x:c r="K32" s="24" t="n">
        <x:f>'两日价格与决策'!K128</x:f>
        <x:v>0</x:v>
      </x:c>
      <x:c r="L32" s="24" t="n">
        <x:f>'两日价格与决策'!L128</x:f>
        <x:v>0</x:v>
      </x:c>
      <x:c r="M32" s="24" t="n">
        <x:f>'两日价格与决策'!M128</x:f>
        <x:v>100</x:v>
      </x:c>
      <x:c r="N32" s="24" t="n">
        <x:f>'两日价格与决策'!N128</x:f>
        <x:v>100</x:v>
      </x:c>
      <x:c r="O32" s="24" t="n">
        <x:f>'两日价格与决策'!O128</x:f>
        <x:v>0</x:v>
      </x:c>
      <x:c r="P32" s="24" t="n">
        <x:f>'两日价格与决策'!P128</x:f>
        <x:v>4.921</x:v>
      </x:c>
      <x:c r="Q32" s="25" t="n">
        <x:f>'两日价格与决策'!Q128</x:f>
        <x:v>0</x:v>
      </x:c>
      <x:c r="R32" s="25" t="n">
        <x:f>'两日价格与决策'!R128</x:f>
        <x:v>0</x:v>
      </x:c>
      <x:c r="S32" s="25" t="n">
        <x:f>'两日价格与决策'!S128</x:f>
        <x:v>345.7911984077521</x:v>
      </x:c>
      <x:c r="T32" s="25" t="n">
        <x:f>'两日价格与决策'!T128</x:f>
        <x:v>367.7549707484771</x:v>
      </x:c>
      <x:c r="U32" s="25" t="n">
        <x:f>'两日价格与决策'!U128</x:f>
        <x:v>0</x:v>
      </x:c>
      <x:c r="V32" s="25" t="n">
        <x:f>'两日价格与决策'!V128</x:f>
        <x:v>-82.58783679459602</x:v>
      </x:c>
      <x:c r="W32" s="25" t="n">
        <x:f>'两日价格与决策'!W128</x:f>
        <x:v>630.9583323616332</x:v>
      </x:c>
      <x:c r="X32" s="18" t="n">
        <x:f>'两日价格与决策'!X128</x:f>
        <x:v>630.9583323616332</x:v>
      </x:c>
      <x:c r="Y32" s="18" t="n">
        <x:f>'两日价格与决策'!Y128</x:f>
        <x:v>0</x:v>
      </x:c>
      <x:c r="Z32" s="18" t="str">
        <x:f>"1月2日执行｜前窗冻结订单"</x:f>
        <x:v>1月2日执行｜前窗冻结订单</x:v>
      </x:c>
      <x:c r="AA32" s="19" t="n">
        <x:f>'两日价格与决策'!AA128</x:f>
        <x:v>1</x:v>
      </x:c>
      <x:c r="AB32" s="19" t="n">
        <x:f>'两日价格与决策'!AB128</x:f>
        <x:v>0</x:v>
      </x:c>
      <x:c r="AC32" s="18" t="n">
        <x:f>'两日价格与决策'!AC128</x:f>
        <x:v>0.25</x:v>
      </x:c>
      <x:c r="AD32" s="20" t="n">
        <x:f>'两日价格与决策'!AD128</x:f>
        <x:v>1</x:v>
      </x:c>
      <x:c r="AE32" s="20" t="n">
        <x:f>'两日价格与决策'!AE128</x:f>
        <x:v>0</x:v>
      </x:c>
      <x:c r="AF32" s="20" t="n">
        <x:f>'两日价格与决策'!AF128</x:f>
        <x:v>0.19684000000000001</x:v>
      </x:c>
      <x:c r="AG32" s="18" t="n">
        <x:f>'两日价格与决策'!AG128</x:f>
        <x:v>193</x:v>
      </x:c>
      <x:c r="AH32" s="18" t="n">
        <x:f>'两日价格与决策'!AH128</x:f>
        <x:v>200</x:v>
      </x:c>
      <x:c r="AI32" s="18" t="n">
        <x:f>'两日价格与决策'!AI128</x:f>
        <x:v>0</x:v>
      </x:c>
      <x:c r="AJ32" s="18" t="n">
        <x:f>'两日价格与决策'!AJ128</x:f>
        <x:v>9.842</x:v>
      </x:c>
      <x:c r="AK32" s="18" t="str">
        <x:f>'两日价格与决策'!AK128</x:f>
        <x:v>缺失</x:v>
      </x:c>
      <x:c r="AL32" s="18" t="n">
        <x:f>'两日价格与决策'!AL128</x:f>
        <x:v>0.01257588888888889</x:v>
      </x:c>
      <x:c r="AM32" s="18" t="n">
        <x:f>'两日价格与决策'!AM128</x:f>
        <x:v>4.921</x:v>
      </x:c>
      <x:c r="AN32" s="18" t="n">
        <x:f>'两日价格与决策'!AN128</x:f>
        <x:v>0</x:v>
      </x:c>
      <x:c r="AO32" s="18" t="n">
        <x:f>'两日价格与决策'!AO128</x:f>
        <x:v>189.34873249565211</x:v>
      </x:c>
      <x:c r="AP32" s="18" t="n">
        <x:f>'两日价格与决策'!AP128</x:f>
        <x:v>2.842170943040401e-14</x:v>
      </x:c>
      <x:c r="AQ32" s="18" t="n">
        <x:f>'两日价格与决策'!AQ128</x:f>
        <x:v>4.9741</x:v>
      </x:c>
      <x:c r="AR32" s="21" t="n">
        <x:f>'两日价格与决策'!AR128</x:f>
        <x:v>45657</x:v>
      </x:c>
      <x:c r="AS32" s="17" t="n">
        <x:f>'两日价格与决策'!AS128</x:f>
        <x:v>45659.177083333336</x:v>
      </x:c>
      <x:c r="AT32" s="18" t="str">
        <x:f>'两日价格与决策'!AT128</x:f>
        <x:v>2025-01-02_6</x:v>
      </x:c>
      <x:c r="AU32" s="19" t="n">
        <x:f>'两日价格与决策'!AU128</x:f>
        <x:v>60</x:v>
      </x:c>
      <x:c r="AV32" s="18" t="str">
        <x:f>'两日价格与决策'!AV128</x:f>
        <x:v>OK</x:v>
      </x:c>
    </x:row>
    <x:row r="33" ht="21" customHeight="1">
      <x:c r="A33" s="17" t="n">
        <x:f>'两日价格与决策'!A129</x:f>
        <x:v>45659.270833333336</x:v>
      </x:c>
      <x:c r="B33" s="23" t="n">
        <x:f>'两日价格与决策'!B129</x:f>
        <x:v>72.84</x:v>
      </x:c>
      <x:c r="C33" s="23" t="str">
        <x:f>'两日价格与决策'!C129</x:f>
        <x:v>缺失</x:v>
      </x:c>
      <x:c r="D33" s="23" t="n">
        <x:f>'两日价格与决策'!D129</x:f>
        <x:v>13.831647936310086</x:v>
      </x:c>
      <x:c r="E33" s="23" t="n">
        <x:f>'两日价格与决策'!E129</x:f>
        <x:v>14.710198829939085</x:v>
      </x:c>
      <x:c r="F33" s="23" t="n">
        <x:f>'两日价格与决策'!F129</x:f>
        <x:v>0</x:v>
      </x:c>
      <x:c r="G33" s="23" t="n">
        <x:f>'两日价格与决策'!G129</x:f>
        <x:v>31.880943286222635</x:v>
      </x:c>
      <x:c r="H33" s="23" t="str">
        <x:f>'两日价格与决策'!H129</x:f>
        <x:v>未模拟</x:v>
      </x:c>
      <x:c r="I33" s="24" t="n">
        <x:f>'两日价格与决策'!I129</x:f>
        <x:v>189.3487324956521</x:v>
      </x:c>
      <x:c r="J33" s="24" t="n">
        <x:f>'两日价格与决策'!J129</x:f>
        <x:v>189.89015249565207</x:v>
      </x:c>
      <x:c r="K33" s="24" t="n">
        <x:f>'两日价格与决策'!K129</x:f>
        <x:v>0</x:v>
      </x:c>
      <x:c r="L33" s="24" t="n">
        <x:f>'两日价格与决策'!L129</x:f>
        <x:v>0</x:v>
      </x:c>
      <x:c r="M33" s="24" t="n">
        <x:f>'两日价格与决策'!M129</x:f>
        <x:v>100</x:v>
      </x:c>
      <x:c r="N33" s="24" t="n">
        <x:f>'两日价格与决策'!N129</x:f>
        <x:v>100</x:v>
      </x:c>
      <x:c r="O33" s="24" t="n">
        <x:f>'两日价格与决策'!O129</x:f>
        <x:v>0</x:v>
      </x:c>
      <x:c r="P33" s="24" t="n">
        <x:f>'两日价格与决策'!P129</x:f>
        <x:v>0.5885</x:v>
      </x:c>
      <x:c r="Q33" s="25" t="n">
        <x:f>'两日价格与决策'!Q129</x:f>
        <x:v>0</x:v>
      </x:c>
      <x:c r="R33" s="25" t="n">
        <x:f>'两日价格与决策'!R129</x:f>
        <x:v>0</x:v>
      </x:c>
      <x:c r="S33" s="25" t="n">
        <x:f>'两日价格与决策'!S129</x:f>
        <x:v>345.7911984077521</x:v>
      </x:c>
      <x:c r="T33" s="25" t="n">
        <x:f>'两日价格与决策'!T129</x:f>
        <x:v>367.7549707484771</x:v>
      </x:c>
      <x:c r="U33" s="25" t="n">
        <x:f>'两日价格与决策'!U129</x:f>
        <x:v>0</x:v>
      </x:c>
      <x:c r="V33" s="25" t="n">
        <x:f>'两日价格与决策'!V129</x:f>
        <x:v>-18.76193512394202</x:v>
      </x:c>
      <x:c r="W33" s="25" t="n">
        <x:f>'两日价格与决策'!W129</x:f>
        <x:v>694.7842340322871</x:v>
      </x:c>
      <x:c r="X33" s="18" t="n">
        <x:f>'两日价格与决策'!X129</x:f>
        <x:v>694.7842340322871</x:v>
      </x:c>
      <x:c r="Y33" s="18" t="n">
        <x:f>'两日价格与决策'!Y129</x:f>
        <x:v>0</x:v>
      </x:c>
      <x:c r="Z33" s="18" t="str">
        <x:f>"1月2日执行｜前窗冻结订单"</x:f>
        <x:v>1月2日执行｜前窗冻结订单</x:v>
      </x:c>
      <x:c r="AA33" s="19" t="n">
        <x:f>'两日价格与决策'!AA129</x:f>
        <x:v>1</x:v>
      </x:c>
      <x:c r="AB33" s="19" t="n">
        <x:f>'两日价格与决策'!AB129</x:f>
        <x:v>0</x:v>
      </x:c>
      <x:c r="AC33" s="18" t="n">
        <x:f>'两日价格与决策'!AC129</x:f>
        <x:v>0.25</x:v>
      </x:c>
      <x:c r="AD33" s="20" t="n">
        <x:f>'两日价格与决策'!AD129</x:f>
        <x:v>1</x:v>
      </x:c>
      <x:c r="AE33" s="20" t="n">
        <x:f>'两日价格与决策'!AE129</x:f>
        <x:v>0</x:v>
      </x:c>
      <x:c r="AF33" s="20" t="n">
        <x:f>'两日价格与决策'!AF129</x:f>
        <x:v>0.023540000000000002</x:v>
      </x:c>
      <x:c r="AG33" s="18" t="n">
        <x:f>'两日价格与决策'!AG129</x:f>
        <x:v>193</x:v>
      </x:c>
      <x:c r="AH33" s="18" t="n">
        <x:f>'两日价格与决策'!AH129</x:f>
        <x:v>200</x:v>
      </x:c>
      <x:c r="AI33" s="18" t="n">
        <x:f>'两日价格与决策'!AI129</x:f>
        <x:v>0</x:v>
      </x:c>
      <x:c r="AJ33" s="18" t="n">
        <x:f>'两日价格与决策'!AJ129</x:f>
        <x:v>1.177</x:v>
      </x:c>
      <x:c r="AK33" s="18" t="str">
        <x:f>'两日价格与决策'!AK129</x:f>
        <x:v>缺失</x:v>
      </x:c>
      <x:c r="AL33" s="18" t="n">
        <x:f>'两日价格与决策'!AL129</x:f>
        <x:v>0.0015039444444444445</x:v>
      </x:c>
      <x:c r="AM33" s="18" t="n">
        <x:f>'两日价格与决策'!AM129</x:f>
        <x:v>0.5885</x:v>
      </x:c>
      <x:c r="AN33" s="18" t="n">
        <x:f>'两日价格与决策'!AN129</x:f>
        <x:v>0</x:v>
      </x:c>
      <x:c r="AO33" s="18" t="n">
        <x:f>'两日价格与决策'!AO129</x:f>
        <x:v>189.8901524956521</x:v>
      </x:c>
      <x:c r="AP33" s="18" t="n">
        <x:f>'两日价格与决策'!AP129</x:f>
        <x:v>2.842170943040401e-14</x:v>
      </x:c>
      <x:c r="AQ33" s="18" t="n">
        <x:f>'两日价格与决策'!AQ129</x:f>
        <x:v>4.9741</x:v>
      </x:c>
      <x:c r="AR33" s="21" t="n">
        <x:f>'两日价格与决策'!AR129</x:f>
        <x:v>45657</x:v>
      </x:c>
      <x:c r="AS33" s="17" t="n">
        <x:f>'两日价格与决策'!AS129</x:f>
        <x:v>45659.1875</x:v>
      </x:c>
      <x:c r="AT33" s="18" t="str">
        <x:f>'两日价格与决策'!AT129</x:f>
        <x:v>2025-01-02_6</x:v>
      </x:c>
      <x:c r="AU33" s="19" t="n">
        <x:f>'两日价格与决策'!AU129</x:f>
        <x:v>60</x:v>
      </x:c>
      <x:c r="AV33" s="18" t="str">
        <x:f>'两日价格与决策'!AV129</x:f>
        <x:v>OK</x:v>
      </x:c>
    </x:row>
    <x:row r="34" ht="21" customHeight="1">
      <x:c r="A34" s="17" t="n">
        <x:f>'两日价格与决策'!A130</x:f>
        <x:v>45659.28125</x:v>
      </x:c>
      <x:c r="B34" s="23" t="n">
        <x:f>'两日价格与决策'!B130</x:f>
        <x:v>72.84</x:v>
      </x:c>
      <x:c r="C34" s="23" t="str">
        <x:f>'两日价格与决策'!C130</x:f>
        <x:v>缺失</x:v>
      </x:c>
      <x:c r="D34" s="23" t="n">
        <x:f>'两日价格与决策'!D130</x:f>
        <x:v>13.831647936310086</x:v>
      </x:c>
      <x:c r="E34" s="23" t="n">
        <x:f>'两日价格与决策'!E130</x:f>
        <x:v>14.710198829939085</x:v>
      </x:c>
      <x:c r="F34" s="23" t="n">
        <x:f>'两日价格与决策'!F130</x:f>
        <x:v>139.16788966848276</x:v>
      </x:c>
      <x:c r="G34" s="23" t="n">
        <x:f>'两日价格与决策'!G130</x:f>
        <x:v>58.3020043827024</x:v>
      </x:c>
      <x:c r="H34" s="23" t="str">
        <x:f>'两日价格与决策'!H130</x:f>
        <x:v>未模拟</x:v>
      </x:c>
      <x:c r="I34" s="24" t="n">
        <x:f>'两日价格与决策'!I130</x:f>
        <x:v>189.89015249565207</x:v>
      </x:c>
      <x:c r="J34" s="24" t="n">
        <x:f>'两日价格与决策'!J130</x:f>
        <x:v>187.6313133697228</x:v>
      </x:c>
      <x:c r="K34" s="24" t="n">
        <x:f>'两日价格与决策'!K130</x:f>
        <x:v>0</x:v>
      </x:c>
      <x:c r="L34" s="24" t="n">
        <x:f>'两日价格与决策'!L130</x:f>
        <x:v>0</x:v>
      </x:c>
      <x:c r="M34" s="24" t="n">
        <x:f>'两日价格与决策'!M130</x:f>
        <x:v>100</x:v>
      </x:c>
      <x:c r="N34" s="24" t="n">
        <x:f>'两日价格与决策'!N130</x:f>
        <x:v>100</x:v>
      </x:c>
      <x:c r="O34" s="24" t="n">
        <x:f>'两日价格与决策'!O130</x:f>
        <x:v>2.098445595854922</x:v>
      </x:c>
      <x:c r="P34" s="24" t="n">
        <x:f>'两日价格与决策'!P130</x:f>
        <x:v>0.024</x:v>
      </x:c>
      <x:c r="Q34" s="25" t="n">
        <x:f>'两日价格与决策'!Q130</x:f>
        <x:v>0</x:v>
      </x:c>
      <x:c r="R34" s="25" t="n">
        <x:f>'两日价格与决策'!R130</x:f>
        <x:v>0</x:v>
      </x:c>
      <x:c r="S34" s="25" t="n">
        <x:f>'两日价格与决策'!S130</x:f>
        <x:v>345.7911984077521</x:v>
      </x:c>
      <x:c r="T34" s="25" t="n">
        <x:f>'两日价格与决策'!T130</x:f>
        <x:v>367.7549707484771</x:v>
      </x:c>
      <x:c r="U34" s="25" t="n">
        <x:f>'两日价格与决策'!U130</x:f>
        <x:v>292.0362451592514</x:v>
      </x:c>
      <x:c r="V34" s="25" t="n">
        <x:f>'两日价格与决策'!V130</x:f>
        <x:v>-1.3992481051848575</x:v>
      </x:c>
      <x:c r="W34" s="25" t="n">
        <x:f>'两日价格与决策'!W130</x:f>
        <x:v>1004.1831662102958</x:v>
      </x:c>
      <x:c r="X34" s="18" t="n">
        <x:f>'两日价格与决策'!X130</x:f>
        <x:v>1004.1831662102958</x:v>
      </x:c>
      <x:c r="Y34" s="18" t="n">
        <x:f>'两日价格与决策'!Y130</x:f>
        <x:v>0</x:v>
      </x:c>
      <x:c r="Z34" s="18" t="str">
        <x:f>"1月2日执行｜前窗冻结订单"</x:f>
        <x:v>1月2日执行｜前窗冻结订单</x:v>
      </x:c>
      <x:c r="AA34" s="19" t="n">
        <x:f>'两日价格与决策'!AA130</x:f>
        <x:v>1</x:v>
      </x:c>
      <x:c r="AB34" s="19" t="n">
        <x:f>'两日价格与决策'!AB130</x:f>
        <x:v>0</x:v>
      </x:c>
      <x:c r="AC34" s="18" t="n">
        <x:f>'两日价格与决策'!AC130</x:f>
        <x:v>0.25</x:v>
      </x:c>
      <x:c r="AD34" s="20" t="n">
        <x:f>'两日价格与决策'!AD130</x:f>
        <x:v>1</x:v>
      </x:c>
      <x:c r="AE34" s="20" t="n">
        <x:f>'两日价格与决策'!AE130</x:f>
        <x:v>0.08393782383419689</x:v>
      </x:c>
      <x:c r="AF34" s="20" t="n">
        <x:f>'两日价格与决策'!AF130</x:f>
        <x:v>0.00096</x:v>
      </x:c>
      <x:c r="AG34" s="18" t="n">
        <x:f>'两日价格与决策'!AG130</x:f>
        <x:v>193</x:v>
      </x:c>
      <x:c r="AH34" s="18" t="n">
        <x:f>'两日价格与决策'!AH130</x:f>
        <x:v>200</x:v>
      </x:c>
      <x:c r="AI34" s="18" t="n">
        <x:f>'两日价格与决策'!AI130</x:f>
        <x:v>4.05</x:v>
      </x:c>
      <x:c r="AJ34" s="18" t="n">
        <x:f>'两日价格与决策'!AJ130</x:f>
        <x:v>0.048</x:v>
      </x:c>
      <x:c r="AK34" s="18" t="str">
        <x:f>'两日价格与决策'!AK130</x:f>
        <x:v>缺失</x:v>
      </x:c>
      <x:c r="AL34" s="18" t="n">
        <x:f>'两日价格与决策'!AL130</x:f>
        <x:v>0.006397219794247953</x:v>
      </x:c>
      <x:c r="AM34" s="18" t="n">
        <x:f>'两日价格与决策'!AM130</x:f>
        <x:v>0.024</x:v>
      </x:c>
      <x:c r="AN34" s="18" t="n">
        <x:f>'两日价格与决策'!AN130</x:f>
        <x:v>2.098445595854922</x:v>
      </x:c>
      <x:c r="AO34" s="18" t="n">
        <x:f>'两日价格与决策'!AO130</x:f>
        <x:v>187.63131336972282</x:v>
      </x:c>
      <x:c r="AP34" s="18" t="n">
        <x:f>'两日价格与决策'!AP130</x:f>
        <x:v>2.842170943040401e-14</x:v>
      </x:c>
      <x:c r="AQ34" s="18" t="n">
        <x:f>'两日价格与决策'!AQ130</x:f>
        <x:v>4.9741</x:v>
      </x:c>
      <x:c r="AR34" s="21" t="n">
        <x:f>'两日价格与决策'!AR130</x:f>
        <x:v>45657</x:v>
      </x:c>
      <x:c r="AS34" s="17" t="n">
        <x:f>'两日价格与决策'!AS130</x:f>
        <x:v>45659.197916666664</x:v>
      </x:c>
      <x:c r="AT34" s="18" t="str">
        <x:f>'两日价格与决策'!AT130</x:f>
        <x:v>2025-01-02_6</x:v>
      </x:c>
      <x:c r="AU34" s="19" t="n">
        <x:f>'两日价格与决策'!AU130</x:f>
        <x:v>60</x:v>
      </x:c>
      <x:c r="AV34" s="18" t="str">
        <x:f>'两日价格与决策'!AV130</x:f>
        <x:v>OK</x:v>
      </x:c>
    </x:row>
    <x:row r="35" ht="21" customHeight="1">
      <x:c r="A35" s="17" t="n">
        <x:f>'两日价格与决策'!A131</x:f>
        <x:v>45659.291666666664</x:v>
      </x:c>
      <x:c r="B35" s="23" t="n">
        <x:f>'两日价格与决策'!B131</x:f>
        <x:v>114.75</x:v>
      </x:c>
      <x:c r="C35" s="23" t="str">
        <x:f>'两日价格与决策'!C131</x:f>
        <x:v>缺失</x:v>
      </x:c>
      <x:c r="D35" s="23" t="n">
        <x:f>'两日价格与决策'!D131</x:f>
        <x:v>13.831647936310086</x:v>
      </x:c>
      <x:c r="E35" s="23" t="n">
        <x:f>'两日价格与决策'!E131</x:f>
        <x:v>14.710198829939085</x:v>
      </x:c>
      <x:c r="F35" s="23" t="n">
        <x:f>'两日价格与决策'!F131</x:f>
        <x:v>134.6512937013731</x:v>
      </x:c>
      <x:c r="G35" s="23" t="n">
        <x:f>'两日价格与决策'!G131</x:f>
        <x:v>19.651997346253594</x:v>
      </x:c>
      <x:c r="H35" s="23" t="str">
        <x:f>'两日价格与决策'!H131</x:f>
        <x:v>未模拟</x:v>
      </x:c>
      <x:c r="I35" s="24" t="n">
        <x:f>'两日价格与决策'!I131</x:f>
        <x:v>187.6313133697228</x:v>
      </x:c>
      <x:c r="J35" s="24" t="n">
        <x:f>'两日价格与决策'!J131</x:f>
        <x:v>186.32943861525854</x:v>
      </x:c>
      <x:c r="K35" s="24" t="n">
        <x:f>'两日价格与决策'!K131</x:f>
        <x:v>13.420107886130486</x:v>
      </x:c>
      <x:c r="L35" s="24" t="n">
        <x:f>'两日价格与决策'!L131</x:f>
        <x:v>0</x:v>
      </x:c>
      <x:c r="M35" s="24" t="n">
        <x:f>'两日价格与决策'!M131</x:f>
        <x:v>86</x:v>
      </x:c>
      <x:c r="N35" s="24" t="n">
        <x:f>'两日价格与决策'!N131</x:f>
        <x:v>100</x:v>
      </x:c>
      <x:c r="O35" s="24" t="n">
        <x:f>'两日价格与决策'!O131</x:f>
        <x:v>0.07438999999999998</x:v>
      </x:c>
      <x:c r="P35" s="24" t="n">
        <x:f>'两日价格与决策'!P131</x:f>
        <x:v>2.574</x:v>
      </x:c>
      <x:c r="Q35" s="25" t="n">
        <x:f>'两日价格与决策'!Q131</x:f>
        <x:v>384.9893449833683</x:v>
      </x:c>
      <x:c r="R35" s="25" t="n">
        <x:f>'两日价格与决策'!R131</x:f>
        <x:v>0</x:v>
      </x:c>
      <x:c r="S35" s="25" t="n">
        <x:f>'两日价格与决策'!S131</x:f>
        <x:v>297.38043063066686</x:v>
      </x:c>
      <x:c r="T35" s="25" t="n">
        <x:f>'两日价格与决策'!T131</x:f>
        <x:v>367.7549707484771</x:v>
      </x:c>
      <x:c r="U35" s="25" t="n">
        <x:f>'两日价格与决策'!U131</x:f>
        <x:v>10.016709738445144</x:v>
      </x:c>
      <x:c r="V35" s="25" t="n">
        <x:f>'两日价格与决策'!V131</x:f>
        <x:v>-50.58424116925675</x:v>
      </x:c>
      <x:c r="W35" s="25" t="n">
        <x:f>'两日价格与决策'!W131</x:f>
        <x:v>1009.5572149317006</x:v>
      </x:c>
      <x:c r="X35" s="18" t="n">
        <x:f>'两日价格与决策'!X131</x:f>
        <x:v>1009.5572149317006</x:v>
      </x:c>
      <x:c r="Y35" s="18" t="n">
        <x:f>'两日价格与决策'!Y131</x:f>
        <x:v>0</x:v>
      </x:c>
      <x:c r="Z35" s="18" t="str">
        <x:f>"1月2日执行｜前窗冻结订单"</x:f>
        <x:v>1月2日执行｜前窗冻结订单</x:v>
      </x:c>
      <x:c r="AA35" s="19" t="n">
        <x:f>'两日价格与决策'!AA131</x:f>
        <x:v>1</x:v>
      </x:c>
      <x:c r="AB35" s="19" t="n">
        <x:f>'两日价格与决策'!AB131</x:f>
        <x:v>0</x:v>
      </x:c>
      <x:c r="AC35" s="18" t="n">
        <x:f>'两日价格与决策'!AC131</x:f>
        <x:v>0.25</x:v>
      </x:c>
      <x:c r="AD35" s="20" t="n">
        <x:f>'两日价格与决策'!AD131</x:f>
        <x:v>1</x:v>
      </x:c>
      <x:c r="AE35" s="20" t="n">
        <x:f>'两日价格与决策'!AE131</x:f>
        <x:v>0.0034599999999999995</x:v>
      </x:c>
      <x:c r="AF35" s="20" t="n">
        <x:f>'两日价格与决策'!AF131</x:f>
        <x:v>0.10296</x:v>
      </x:c>
      <x:c r="AG35" s="18" t="n">
        <x:f>'两日价格与决策'!AG131</x:f>
        <x:v>200</x:v>
      </x:c>
      <x:c r="AH35" s="18" t="n">
        <x:f>'两日价格与决策'!AH131</x:f>
        <x:v>200</x:v>
      </x:c>
      <x:c r="AI35" s="18" t="n">
        <x:f>'两日价格与决策'!AI131</x:f>
        <x:v>0.173</x:v>
      </x:c>
      <x:c r="AJ35" s="18" t="n">
        <x:f>'两日价格与决策'!AJ131</x:f>
        <x:v>5.148</x:v>
      </x:c>
      <x:c r="AK35" s="18" t="str">
        <x:f>'两日价格与决策'!AK131</x:f>
        <x:v>缺失</x:v>
      </x:c>
      <x:c r="AL35" s="18" t="n">
        <x:f>'两日价格与决策'!AL131</x:f>
        <x:v>0.015006769368901371</x:v>
      </x:c>
      <x:c r="AM35" s="18" t="n">
        <x:f>'两日价格与决策'!AM131</x:f>
        <x:v>2.228566423011001</x:v>
      </x:c>
      <x:c r="AN35" s="18" t="n">
        <x:f>'两日价格与决策'!AN131</x:f>
        <x:v>3.083983394543623</x:v>
      </x:c>
      <x:c r="AO35" s="18" t="n">
        <x:f>'两日价格与决策'!AO131</x:f>
        <x:v>186.32943861525857</x:v>
      </x:c>
      <x:c r="AP35" s="18" t="n">
        <x:f>'两日价格与决策'!AP131</x:f>
        <x:v>2.842170943040401e-14</x:v>
      </x:c>
      <x:c r="AQ35" s="18" t="n">
        <x:f>'两日价格与决策'!AQ131</x:f>
        <x:v>4.9741</x:v>
      </x:c>
      <x:c r="AR35" s="21" t="n">
        <x:f>'两日价格与决策'!AR131</x:f>
        <x:v>45657</x:v>
      </x:c>
      <x:c r="AS35" s="17" t="n">
        <x:f>'两日价格与决策'!AS131</x:f>
        <x:v>45659.208333333336</x:v>
      </x:c>
      <x:c r="AT35" s="18" t="str">
        <x:f>'两日价格与决策'!AT131</x:f>
        <x:v>2025-01-02_7</x:v>
      </x:c>
      <x:c r="AU35" s="19" t="n">
        <x:f>'两日价格与决策'!AU131</x:f>
        <x:v>60</x:v>
      </x:c>
      <x:c r="AV35" s="18" t="str">
        <x:f>'两日价格与决策'!AV131</x:f>
        <x:v>OK</x:v>
      </x:c>
    </x:row>
    <x:row r="36" ht="21" customHeight="1">
      <x:c r="A36" s="17" t="n">
        <x:f>'两日价格与决策'!A132</x:f>
        <x:v>45659.302083333336</x:v>
      </x:c>
      <x:c r="B36" s="23" t="n">
        <x:f>'两日价格与决策'!B132</x:f>
        <x:v>114.75</x:v>
      </x:c>
      <x:c r="C36" s="23" t="str">
        <x:f>'两日价格与决策'!C132</x:f>
        <x:v>缺失</x:v>
      </x:c>
      <x:c r="D36" s="23" t="n">
        <x:f>'两日价格与决策'!D132</x:f>
        <x:v>13.831647936310086</x:v>
      </x:c>
      <x:c r="E36" s="23" t="n">
        <x:f>'两日价格与决策'!E132</x:f>
        <x:v>14.710198829939085</x:v>
      </x:c>
      <x:c r="F36" s="23" t="n">
        <x:f>'两日价格与决策'!F132</x:f>
        <x:v>0</x:v>
      </x:c>
      <x:c r="G36" s="23" t="n">
        <x:f>'两日价格与决策'!G132</x:f>
        <x:v>22.712651534951046</x:v>
      </x:c>
      <x:c r="H36" s="23" t="str">
        <x:f>'两日价格与决策'!H132</x:f>
        <x:v>未模拟</x:v>
      </x:c>
      <x:c r="I36" s="24" t="n">
        <x:f>'两日价格与决策'!I132</x:f>
        <x:v>186.32943861525854</x:v>
      </x:c>
      <x:c r="J36" s="24" t="n">
        <x:f>'两日价格与决策'!J132</x:f>
        <x:v>183.53978819332747</x:v>
      </x:c>
      <x:c r="K36" s="24" t="n">
        <x:f>'两日价格与决策'!K132</x:f>
        <x:v>13.420107886130486</x:v>
      </x:c>
      <x:c r="L36" s="24" t="n">
        <x:f>'两日价格与决策'!L132</x:f>
        <x:v>0</x:v>
      </x:c>
      <x:c r="M36" s="24" t="n">
        <x:f>'两日价格与决策'!M132</x:f>
        <x:v>86</x:v>
      </x:c>
      <x:c r="N36" s="24" t="n">
        <x:f>'两日价格与决策'!N132</x:f>
        <x:v>100</x:v>
      </x:c>
      <x:c r="O36" s="24" t="n">
        <x:f>'两日价格与决策'!O132</x:f>
        <x:v>0</x:v>
      </x:c>
      <x:c r="P36" s="24" t="n">
        <x:f>'两日价格与决策'!P132</x:f>
        <x:v>0.9094999999999999</x:v>
      </x:c>
      <x:c r="Q36" s="25" t="n">
        <x:f>'两日价格与决策'!Q132</x:f>
        <x:v>384.9893449833683</x:v>
      </x:c>
      <x:c r="R36" s="25" t="n">
        <x:f>'两日价格与决策'!R132</x:f>
        <x:v>0</x:v>
      </x:c>
      <x:c r="S36" s="25" t="n">
        <x:f>'两日价格与决策'!S132</x:f>
        <x:v>297.38043063066686</x:v>
      </x:c>
      <x:c r="T36" s="25" t="n">
        <x:f>'两日价格与决策'!T132</x:f>
        <x:v>367.7549707484771</x:v>
      </x:c>
      <x:c r="U36" s="25" t="n">
        <x:f>'两日价格与决策'!U132</x:f>
        <x:v>0</x:v>
      </x:c>
      <x:c r="V36" s="25" t="n">
        <x:f>'两日价格与决策'!V132</x:f>
        <x:v>-20.657156571037973</x:v>
      </x:c>
      <x:c r="W36" s="25" t="n">
        <x:f>'两日价格与决策'!W132</x:f>
        <x:v>1029.4675897914742</x:v>
      </x:c>
      <x:c r="X36" s="18" t="n">
        <x:f>'两日价格与决策'!X132</x:f>
        <x:v>1029.4675897914742</x:v>
      </x:c>
      <x:c r="Y36" s="18" t="n">
        <x:f>'两日价格与决策'!Y132</x:f>
        <x:v>0</x:v>
      </x:c>
      <x:c r="Z36" s="18" t="str">
        <x:f>"1月2日执行｜前窗冻结订单"</x:f>
        <x:v>1月2日执行｜前窗冻结订单</x:v>
      </x:c>
      <x:c r="AA36" s="19" t="n">
        <x:f>'两日价格与决策'!AA132</x:f>
        <x:v>1</x:v>
      </x:c>
      <x:c r="AB36" s="19" t="n">
        <x:f>'两日价格与决策'!AB132</x:f>
        <x:v>0</x:v>
      </x:c>
      <x:c r="AC36" s="18" t="n">
        <x:f>'两日价格与决策'!AC132</x:f>
        <x:v>0.25</x:v>
      </x:c>
      <x:c r="AD36" s="20" t="n">
        <x:f>'两日价格与决策'!AD132</x:f>
        <x:v>1</x:v>
      </x:c>
      <x:c r="AE36" s="20" t="n">
        <x:f>'两日价格与决策'!AE132</x:f>
        <x:v>0</x:v>
      </x:c>
      <x:c r="AF36" s="20" t="n">
        <x:f>'两日价格与决策'!AF132</x:f>
        <x:v>0.036379999999999996</x:v>
      </x:c>
      <x:c r="AG36" s="18" t="n">
        <x:f>'两日价格与决策'!AG132</x:f>
        <x:v>200</x:v>
      </x:c>
      <x:c r="AH36" s="18" t="n">
        <x:f>'两日价格与决策'!AH132</x:f>
        <x:v>200</x:v>
      </x:c>
      <x:c r="AI36" s="18" t="n">
        <x:f>'两日价格与决策'!AI132</x:f>
        <x:v>0</x:v>
      </x:c>
      <x:c r="AJ36" s="18" t="n">
        <x:f>'两日价格与决策'!AJ132</x:f>
        <x:v>1.819</x:v>
      </x:c>
      <x:c r="AK36" s="18" t="str">
        <x:f>'两日价格与决策'!AK132</x:f>
        <x:v>缺失</x:v>
      </x:c>
      <x:c r="AL36" s="18" t="n">
        <x:f>'两日价格与决策'!AL132</x:f>
        <x:v>0.011773743334661742</x:v>
      </x:c>
      <x:c r="AM36" s="18" t="n">
        <x:f>'两日价格与决策'!AM132</x:f>
        <x:v>0.7874441187756431</x:v>
      </x:c>
      <x:c r="AN36" s="18" t="n">
        <x:f>'两日价格与决策'!AN132</x:f>
        <x:v>3.232971090308265</x:v>
      </x:c>
      <x:c r="AO36" s="18" t="n">
        <x:f>'两日价格与决策'!AO132</x:f>
        <x:v>183.5397881933275</x:v>
      </x:c>
      <x:c r="AP36" s="18" t="n">
        <x:f>'两日价格与决策'!AP132</x:f>
        <x:v>2.842170943040401e-14</x:v>
      </x:c>
      <x:c r="AQ36" s="18" t="n">
        <x:f>'两日价格与决策'!AQ132</x:f>
        <x:v>4.9741</x:v>
      </x:c>
      <x:c r="AR36" s="21" t="n">
        <x:f>'两日价格与决策'!AR132</x:f>
        <x:v>45657</x:v>
      </x:c>
      <x:c r="AS36" s="17" t="n">
        <x:f>'两日价格与决策'!AS132</x:f>
        <x:v>45659.21875</x:v>
      </x:c>
      <x:c r="AT36" s="18" t="str">
        <x:f>'两日价格与决策'!AT132</x:f>
        <x:v>2025-01-02_7</x:v>
      </x:c>
      <x:c r="AU36" s="19" t="n">
        <x:f>'两日价格与决策'!AU132</x:f>
        <x:v>60</x:v>
      </x:c>
      <x:c r="AV36" s="18" t="str">
        <x:f>'两日价格与决策'!AV132</x:f>
        <x:v>OK</x:v>
      </x:c>
    </x:row>
    <x:row r="37" ht="21" customHeight="1">
      <x:c r="A37" s="17" t="n">
        <x:f>'两日价格与决策'!A133</x:f>
        <x:v>45659.3125</x:v>
      </x:c>
      <x:c r="B37" s="23" t="n">
        <x:f>'两日价格与决策'!B133</x:f>
        <x:v>114.75</x:v>
      </x:c>
      <x:c r="C37" s="23" t="str">
        <x:f>'两日价格与决策'!C133</x:f>
        <x:v>缺失</x:v>
      </x:c>
      <x:c r="D37" s="23" t="n">
        <x:f>'两日价格与决策'!D133</x:f>
        <x:v>13.831647936310086</x:v>
      </x:c>
      <x:c r="E37" s="23" t="n">
        <x:f>'两日价格与决策'!E133</x:f>
        <x:v>14.710198829939085</x:v>
      </x:c>
      <x:c r="F37" s="23" t="n">
        <x:f>'两日价格与决策'!F133</x:f>
        <x:v>0</x:v>
      </x:c>
      <x:c r="G37" s="23" t="n">
        <x:f>'两日价格与决策'!G133</x:f>
        <x:v>21.76172573932973</x:v>
      </x:c>
      <x:c r="H37" s="23" t="str">
        <x:f>'两日价格与决策'!H133</x:f>
        <x:v>未模拟</x:v>
      </x:c>
      <x:c r="I37" s="24" t="n">
        <x:f>'两日价格与决策'!I133</x:f>
        <x:v>183.53978819332747</x:v>
      </x:c>
      <x:c r="J37" s="24" t="n">
        <x:f>'两日价格与决策'!J133</x:f>
        <x:v>182.2504477179782</x:v>
      </x:c>
      <x:c r="K37" s="24" t="n">
        <x:f>'两日价格与决策'!K133</x:f>
        <x:v>13.420107886130486</x:v>
      </x:c>
      <x:c r="L37" s="24" t="n">
        <x:f>'两日价格与决策'!L133</x:f>
        <x:v>0</x:v>
      </x:c>
      <x:c r="M37" s="24" t="n">
        <x:f>'两日价格与决策'!M133</x:f>
        <x:v>86</x:v>
      </x:c>
      <x:c r="N37" s="24" t="n">
        <x:f>'两日价格与决策'!N133</x:f>
        <x:v>100</x:v>
      </x:c>
      <x:c r="O37" s="24" t="n">
        <x:f>'两日价格与决策'!O133</x:f>
        <x:v>0</x:v>
      </x:c>
      <x:c r="P37" s="24" t="n">
        <x:f>'两日价格与决策'!P133</x:f>
        <x:v>2.5015</x:v>
      </x:c>
      <x:c r="Q37" s="25" t="n">
        <x:f>'两日价格与决策'!Q133</x:f>
        <x:v>384.9893449833683</x:v>
      </x:c>
      <x:c r="R37" s="25" t="n">
        <x:f>'两日价格与决策'!R133</x:f>
        <x:v>0</x:v>
      </x:c>
      <x:c r="S37" s="25" t="n">
        <x:f>'两日价格与决策'!S133</x:f>
        <x:v>297.38043063066686</x:v>
      </x:c>
      <x:c r="T37" s="25" t="n">
        <x:f>'两日价格与决策'!T133</x:f>
        <x:v>367.7549707484771</x:v>
      </x:c>
      <x:c r="U37" s="25" t="n">
        <x:f>'两日价格与决策'!U133</x:f>
        <x:v>0</x:v>
      </x:c>
      <x:c r="V37" s="25" t="n">
        <x:f>'两日价格与决策'!V133</x:f>
        <x:v>-54.43695693693332</x:v>
      </x:c>
      <x:c r="W37" s="25" t="n">
        <x:f>'两日价格与决策'!W133</x:f>
        <x:v>995.6877894255789</x:v>
      </x:c>
      <x:c r="X37" s="18" t="n">
        <x:f>'两日价格与决策'!X133</x:f>
        <x:v>995.6877894255789</x:v>
      </x:c>
      <x:c r="Y37" s="18" t="n">
        <x:f>'两日价格与决策'!Y133</x:f>
        <x:v>0</x:v>
      </x:c>
      <x:c r="Z37" s="18" t="str">
        <x:f>"1月2日执行｜前窗冻结订单"</x:f>
        <x:v>1月2日执行｜前窗冻结订单</x:v>
      </x:c>
      <x:c r="AA37" s="19" t="n">
        <x:f>'两日价格与决策'!AA133</x:f>
        <x:v>1</x:v>
      </x:c>
      <x:c r="AB37" s="19" t="n">
        <x:f>'两日价格与决策'!AB133</x:f>
        <x:v>0</x:v>
      </x:c>
      <x:c r="AC37" s="18" t="n">
        <x:f>'两日价格与决策'!AC133</x:f>
        <x:v>0.25</x:v>
      </x:c>
      <x:c r="AD37" s="20" t="n">
        <x:f>'两日价格与决策'!AD133</x:f>
        <x:v>1</x:v>
      </x:c>
      <x:c r="AE37" s="20" t="n">
        <x:f>'两日价格与决策'!AE133</x:f>
        <x:v>0</x:v>
      </x:c>
      <x:c r="AF37" s="20" t="n">
        <x:f>'两日价格与决策'!AF133</x:f>
        <x:v>0.10006</x:v>
      </x:c>
      <x:c r="AG37" s="18" t="n">
        <x:f>'两日价格与决策'!AG133</x:f>
        <x:v>200</x:v>
      </x:c>
      <x:c r="AH37" s="18" t="n">
        <x:f>'两日价格与决策'!AH133</x:f>
        <x:v>200</x:v>
      </x:c>
      <x:c r="AI37" s="18" t="n">
        <x:f>'两日价格与决策'!AI133</x:f>
        <x:v>0</x:v>
      </x:c>
      <x:c r="AJ37" s="18" t="n">
        <x:f>'两日价格与决策'!AJ133</x:f>
        <x:v>5.003</x:v>
      </x:c>
      <x:c r="AK37" s="18" t="str">
        <x:f>'两日价格与决策'!AK133</x:f>
        <x:v>缺失</x:v>
      </x:c>
      <x:c r="AL37" s="18" t="n">
        <x:f>'两日价格与决策'!AL133</x:f>
        <x:v>0.014651125326693309</x:v>
      </x:c>
      <x:c r="AM37" s="18" t="n">
        <x:f>'两日价格与决策'!AM133</x:f>
        <x:v>2.165796001228446</x:v>
      </x:c>
      <x:c r="AN37" s="18" t="n">
        <x:f>'两日价格与决策'!AN133</x:f>
        <x:v>3.019322972761067</x:v>
      </x:c>
      <x:c r="AO37" s="18" t="n">
        <x:f>'两日价格与决策'!AO133</x:f>
        <x:v>182.25044771797823</x:v>
      </x:c>
      <x:c r="AP37" s="18" t="n">
        <x:f>'两日价格与决策'!AP133</x:f>
        <x:v>2.842170943040401e-14</x:v>
      </x:c>
      <x:c r="AQ37" s="18" t="n">
        <x:f>'两日价格与决策'!AQ133</x:f>
        <x:v>4.9741</x:v>
      </x:c>
      <x:c r="AR37" s="21" t="n">
        <x:f>'两日价格与决策'!AR133</x:f>
        <x:v>45657</x:v>
      </x:c>
      <x:c r="AS37" s="17" t="n">
        <x:f>'两日价格与决策'!AS133</x:f>
        <x:v>45659.229166666664</x:v>
      </x:c>
      <x:c r="AT37" s="18" t="str">
        <x:f>'两日价格与决策'!AT133</x:f>
        <x:v>2025-01-02_7</x:v>
      </x:c>
      <x:c r="AU37" s="19" t="n">
        <x:f>'两日价格与决策'!AU133</x:f>
        <x:v>60</x:v>
      </x:c>
      <x:c r="AV37" s="18" t="str">
        <x:f>'两日价格与决策'!AV133</x:f>
        <x:v>OK</x:v>
      </x:c>
    </x:row>
    <x:row r="38" ht="21" customHeight="1">
      <x:c r="A38" s="17" t="n">
        <x:f>'两日价格与决策'!A134</x:f>
        <x:v>45659.322916666664</x:v>
      </x:c>
      <x:c r="B38" s="23" t="n">
        <x:f>'两日价格与决策'!B134</x:f>
        <x:v>114.75</x:v>
      </x:c>
      <x:c r="C38" s="23" t="str">
        <x:f>'两日价格与决策'!C134</x:f>
        <x:v>缺失</x:v>
      </x:c>
      <x:c r="D38" s="23" t="n">
        <x:f>'两日价格与决策'!D134</x:f>
        <x:v>13.831647936310086</x:v>
      </x:c>
      <x:c r="E38" s="23" t="n">
        <x:f>'两日价格与决策'!E134</x:f>
        <x:v>14.710198829939085</x:v>
      </x:c>
      <x:c r="F38" s="23" t="n">
        <x:f>'两日价格与决策'!F134</x:f>
        <x:v>0</x:v>
      </x:c>
      <x:c r="G38" s="23" t="n">
        <x:f>'两日价格与决策'!G134</x:f>
        <x:v>12.849962807342033</x:v>
      </x:c>
      <x:c r="H38" s="23" t="str">
        <x:f>'两日价格与决策'!H134</x:f>
        <x:v>未模拟</x:v>
      </x:c>
      <x:c r="I38" s="24" t="n">
        <x:f>'两日价格与决策'!I134</x:f>
        <x:v>182.2504477179782</x:v>
      </x:c>
      <x:c r="J38" s="24" t="n">
        <x:f>'两日价格与决策'!J134</x:f>
        <x:v>184.85088695652112</x:v>
      </x:c>
      <x:c r="K38" s="24" t="n">
        <x:f>'两日价格与决策'!K134</x:f>
        <x:v>13.420107886130486</x:v>
      </x:c>
      <x:c r="L38" s="24" t="n">
        <x:f>'两日价格与决策'!L134</x:f>
        <x:v>0</x:v>
      </x:c>
      <x:c r="M38" s="24" t="n">
        <x:f>'两日价格与决策'!M134</x:f>
        <x:v>86</x:v>
      </x:c>
      <x:c r="N38" s="24" t="n">
        <x:f>'两日价格与决策'!N134</x:f>
        <x:v>100</x:v>
      </x:c>
      <x:c r="O38" s="24" t="n">
        <x:f>'两日价格与决策'!O134</x:f>
        <x:v>0</x:v>
      </x:c>
      <x:c r="P38" s="24" t="n">
        <x:f>'两日价格与决策'!P134</x:f>
        <x:v>6.6290000000000004</x:v>
      </x:c>
      <x:c r="Q38" s="25" t="n">
        <x:f>'两日价格与决策'!Q134</x:f>
        <x:v>384.9893449833683</x:v>
      </x:c>
      <x:c r="R38" s="25" t="n">
        <x:f>'两日价格与决策'!R134</x:f>
        <x:v>0</x:v>
      </x:c>
      <x:c r="S38" s="25" t="n">
        <x:f>'两日价格与决策'!S134</x:f>
        <x:v>297.38043063066686</x:v>
      </x:c>
      <x:c r="T38" s="25" t="n">
        <x:f>'两日价格与决策'!T134</x:f>
        <x:v>367.7549707484771</x:v>
      </x:c>
      <x:c r="U38" s="25" t="n">
        <x:f>'两日价格与决策'!U134</x:f>
        <x:v>0</x:v>
      </x:c>
      <x:c r="V38" s="25" t="n">
        <x:f>'两日价格与决策'!V134</x:f>
        <x:v>-85.18240344987034</x:v>
      </x:c>
      <x:c r="W38" s="25" t="n">
        <x:f>'两日价格与决策'!W134</x:f>
        <x:v>964.942342912642</x:v>
      </x:c>
      <x:c r="X38" s="18" t="n">
        <x:f>'两日价格与决策'!X134</x:f>
        <x:v>964.942342912642</x:v>
      </x:c>
      <x:c r="Y38" s="18" t="n">
        <x:f>'两日价格与决策'!Y134</x:f>
        <x:v>0</x:v>
      </x:c>
      <x:c r="Z38" s="18" t="str">
        <x:f>"1月2日执行｜前窗冻结订单"</x:f>
        <x:v>1月2日执行｜前窗冻结订单</x:v>
      </x:c>
      <x:c r="AA38" s="19" t="n">
        <x:f>'两日价格与决策'!AA134</x:f>
        <x:v>1</x:v>
      </x:c>
      <x:c r="AB38" s="19" t="n">
        <x:f>'两日价格与决策'!AB134</x:f>
        <x:v>0</x:v>
      </x:c>
      <x:c r="AC38" s="18" t="n">
        <x:f>'两日价格与决策'!AC134</x:f>
        <x:v>0.25</x:v>
      </x:c>
      <x:c r="AD38" s="20" t="n">
        <x:f>'两日价格与决策'!AD134</x:f>
        <x:v>1</x:v>
      </x:c>
      <x:c r="AE38" s="20" t="n">
        <x:f>'两日价格与决策'!AE134</x:f>
        <x:v>0</x:v>
      </x:c>
      <x:c r="AF38" s="20" t="n">
        <x:f>'两日价格与决策'!AF134</x:f>
        <x:v>0.26516</x:v>
      </x:c>
      <x:c r="AG38" s="18" t="n">
        <x:f>'两日价格与决策'!AG134</x:f>
        <x:v>200</x:v>
      </x:c>
      <x:c r="AH38" s="18" t="n">
        <x:f>'两日价格与决策'!AH134</x:f>
        <x:v>200</x:v>
      </x:c>
      <x:c r="AI38" s="18" t="n">
        <x:f>'两日价格与决策'!AI134</x:f>
        <x:v>0</x:v>
      </x:c>
      <x:c r="AJ38" s="18" t="n">
        <x:f>'两日价格与决策'!AJ134</x:f>
        <x:v>13.258</x:v>
      </x:c>
      <x:c r="AK38" s="18" t="str">
        <x:f>'两日价格与决策'!AK134</x:f>
        <x:v>缺失</x:v>
      </x:c>
      <x:c r="AL38" s="18" t="n">
        <x:f>'两日价格与决策'!AL134</x:f>
        <x:v>0.02211117191721485</x:v>
      </x:c>
      <x:c r="AM38" s="18" t="n">
        <x:f>'两日价格与决策'!AM134</x:f>
        <x:v>5.73938104822841</x:v>
      </x:c>
      <x:c r="AN38" s="18" t="n">
        <x:f>'两日价格与决策'!AN134</x:f>
        <x:v>2.4654080197610315</x:v>
      </x:c>
      <x:c r="AO38" s="18" t="n">
        <x:f>'两日价格与决策'!AO134</x:f>
        <x:v>184.85088695652115</x:v>
      </x:c>
      <x:c r="AP38" s="18" t="n">
        <x:f>'两日价格与决策'!AP134</x:f>
        <x:v>2.842170943040401e-14</x:v>
      </x:c>
      <x:c r="AQ38" s="18" t="n">
        <x:f>'两日价格与决策'!AQ134</x:f>
        <x:v>4.9741</x:v>
      </x:c>
      <x:c r="AR38" s="21" t="n">
        <x:f>'两日价格与决策'!AR134</x:f>
        <x:v>45657</x:v>
      </x:c>
      <x:c r="AS38" s="17" t="n">
        <x:f>'两日价格与决策'!AS134</x:f>
        <x:v>45659.239583333336</x:v>
      </x:c>
      <x:c r="AT38" s="18" t="str">
        <x:f>'两日价格与决策'!AT134</x:f>
        <x:v>2025-01-02_7</x:v>
      </x:c>
      <x:c r="AU38" s="19" t="n">
        <x:f>'两日价格与决策'!AU134</x:f>
        <x:v>60</x:v>
      </x:c>
      <x:c r="AV38" s="18" t="str">
        <x:f>'两日价格与决策'!AV134</x:f>
        <x:v>OK</x:v>
      </x:c>
    </x:row>
    <x:row r="39" ht="21" customHeight="1">
      <x:c r="A39" s="17" t="n">
        <x:f>'两日价格与决策'!A135</x:f>
        <x:v>45659.333333333336</x:v>
      </x:c>
      <x:c r="B39" s="23" t="n">
        <x:f>'两日价格与决策'!B135</x:f>
        <x:v>139</x:v>
      </x:c>
      <x:c r="C39" s="23" t="str">
        <x:f>'两日价格与决策'!C135</x:f>
        <x:v>缺失</x:v>
      </x:c>
      <x:c r="D39" s="23" t="n">
        <x:f>'两日价格与决策'!D135</x:f>
        <x:v>13.831647936310086</x:v>
      </x:c>
      <x:c r="E39" s="23" t="n">
        <x:f>'两日价格与决策'!E135</x:f>
        <x:v>14.676021792887155</x:v>
      </x:c>
      <x:c r="F39" s="23" t="n">
        <x:f>'两日价格与决策'!F135</x:f>
        <x:v>0</x:v>
      </x:c>
      <x:c r="G39" s="23" t="n">
        <x:f>'两日价格与决策'!G135</x:f>
        <x:v>0.20365493255061215</x:v>
      </x:c>
      <x:c r="H39" s="23" t="str">
        <x:f>'两日价格与决策'!H135</x:f>
        <x:v>未模拟</x:v>
      </x:c>
      <x:c r="I39" s="24" t="n">
        <x:f>'两日价格与决策'!I135</x:f>
        <x:v>184.85088695652112</x:v>
      </x:c>
      <x:c r="J39" s="24" t="n">
        <x:f>'两日价格与决策'!J135</x:f>
        <x:v>182.18127217391242</x:v>
      </x:c>
      <x:c r="K39" s="24" t="n">
        <x:f>'两日价格与决策'!K135</x:f>
        <x:v>49.999999999999986</x:v>
      </x:c>
      <x:c r="L39" s="24" t="n">
        <x:f>'两日价格与决策'!L135</x:f>
        <x:v>0</x:v>
      </x:c>
      <x:c r="M39" s="24" t="n">
        <x:f>'两日价格与决策'!M135</x:f>
        <x:v>50</x:v>
      </x:c>
      <x:c r="N39" s="24" t="n">
        <x:f>'两日价格与决策'!N135</x:f>
        <x:v>100</x:v>
      </x:c>
      <x:c r="O39" s="24" t="n">
        <x:f>'两日价格与决策'!O135</x:f>
        <x:v>0</x:v>
      </x:c>
      <x:c r="P39" s="24" t="n">
        <x:f>'两日价格与决策'!P135</x:f>
        <x:v>10.8795</x:v>
      </x:c>
      <x:c r="Q39" s="25" t="n">
        <x:f>'两日价格与决策'!Q135</x:f>
        <x:v>1737.4999999999995</x:v>
      </x:c>
      <x:c r="R39" s="25" t="n">
        <x:f>'两日价格与决策'!R135</x:f>
        <x:v>0</x:v>
      </x:c>
      <x:c r="S39" s="25" t="n">
        <x:f>'两日价格与决策'!S135</x:f>
        <x:v>172.89559920387606</x:v>
      </x:c>
      <x:c r="T39" s="25" t="n">
        <x:f>'两日价格与决策'!T135</x:f>
        <x:v>366.90054482217886</x:v>
      </x:c>
      <x:c r="U39" s="25" t="n">
        <x:f>'两日价格与决策'!U135</x:f>
        <x:v>0</x:v>
      </x:c>
      <x:c r="V39" s="25" t="n">
        <x:f>'两日价格与决策'!V135</x:f>
        <x:v>-2.2156638386843848</x:v>
      </x:c>
      <x:c r="W39" s="25" t="n">
        <x:f>'两日价格与决策'!W135</x:f>
        <x:v>2275.08048018737</x:v>
      </x:c>
      <x:c r="X39" s="18" t="n">
        <x:f>'两日价格与决策'!X135</x:f>
        <x:v>2275.08048018737</x:v>
      </x:c>
      <x:c r="Y39" s="18" t="n">
        <x:f>'两日价格与决策'!Y135</x:f>
        <x:v>0</x:v>
      </x:c>
      <x:c r="Z39" s="18" t="str">
        <x:f>"1月2日执行｜前窗冻结订单"</x:f>
        <x:v>1月2日执行｜前窗冻结订单</x:v>
      </x:c>
      <x:c r="AA39" s="19" t="n">
        <x:f>'两日价格与决策'!AA135</x:f>
        <x:v>1</x:v>
      </x:c>
      <x:c r="AB39" s="19" t="n">
        <x:f>'两日价格与决策'!AB135</x:f>
        <x:v>0</x:v>
      </x:c>
      <x:c r="AC39" s="18" t="n">
        <x:f>'两日价格与决策'!AC135</x:f>
        <x:v>0.25</x:v>
      </x:c>
      <x:c r="AD39" s="20" t="n">
        <x:f>'两日价格与决策'!AD135</x:f>
        <x:v>1</x:v>
      </x:c>
      <x:c r="AE39" s="20" t="n">
        <x:f>'两日价格与决策'!AE135</x:f>
        <x:v>0</x:v>
      </x:c>
      <x:c r="AF39" s="20" t="n">
        <x:f>'两日价格与决策'!AF135</x:f>
        <x:v>0.43518</x:v>
      </x:c>
      <x:c r="AG39" s="18" t="n">
        <x:f>'两日价格与决策'!AG135</x:f>
        <x:v>200</x:v>
      </x:c>
      <x:c r="AH39" s="18" t="n">
        <x:f>'两日价格与决策'!AH135</x:f>
        <x:v>200</x:v>
      </x:c>
      <x:c r="AI39" s="18" t="n">
        <x:f>'两日价格与决策'!AI135</x:f>
        <x:v>0</x:v>
      </x:c>
      <x:c r="AJ39" s="18" t="n">
        <x:f>'两日价格与决策'!AJ135</x:f>
        <x:v>21.759</x:v>
      </x:c>
      <x:c r="AK39" s="18" t="str">
        <x:f>'两日价格与决策'!AK135</x:f>
        <x:v>缺失</x:v>
      </x:c>
      <x:c r="AL39" s="18" t="n">
        <x:f>'两日价格与决策'!AL135</x:f>
        <x:v>0.03521876328502416</x:v>
      </x:c>
      <x:c r="AM39" s="18" t="n">
        <x:f>'两日价格与决策'!AM135</x:f>
        <x:v>5.439750000000002</x:v>
      </x:c>
      <x:c r="AN39" s="18" t="n">
        <x:f>'两日价格与决策'!AN135</x:f>
        <x:v>7.060249999999998</x:v>
      </x:c>
      <x:c r="AO39" s="18" t="n">
        <x:f>'两日价格与决策'!AO135</x:f>
        <x:v>182.18127217391245</x:v>
      </x:c>
      <x:c r="AP39" s="18" t="n">
        <x:f>'两日价格与决策'!AP135</x:f>
        <x:v>2.842170943040401e-14</x:v>
      </x:c>
      <x:c r="AQ39" s="18" t="n">
        <x:f>'两日价格与决策'!AQ135</x:f>
        <x:v>4.9741</x:v>
      </x:c>
      <x:c r="AR39" s="21" t="n">
        <x:f>'两日价格与决策'!AR135</x:f>
        <x:v>45657</x:v>
      </x:c>
      <x:c r="AS39" s="17" t="n">
        <x:f>'两日价格与决策'!AS135</x:f>
        <x:v>45659.25</x:v>
      </x:c>
      <x:c r="AT39" s="18" t="str">
        <x:f>'两日价格与决策'!AT135</x:f>
        <x:v>2025-01-02_8</x:v>
      </x:c>
      <x:c r="AU39" s="19" t="n">
        <x:f>'两日价格与决策'!AU135</x:f>
        <x:v>60</x:v>
      </x:c>
      <x:c r="AV39" s="18" t="str">
        <x:f>'两日价格与决策'!AV135</x:f>
        <x:v>OK</x:v>
      </x:c>
    </x:row>
    <x:row r="40" ht="21" customHeight="1">
      <x:c r="A40" s="17" t="n">
        <x:f>'两日价格与决策'!A136</x:f>
        <x:v>45659.34375</x:v>
      </x:c>
      <x:c r="B40" s="23" t="n">
        <x:f>'两日价格与决策'!B136</x:f>
        <x:v>139</x:v>
      </x:c>
      <x:c r="C40" s="23" t="str">
        <x:f>'两日价格与决策'!C136</x:f>
        <x:v>缺失</x:v>
      </x:c>
      <x:c r="D40" s="23" t="n">
        <x:f>'两日价格与决策'!D136</x:f>
        <x:v>13.831647936310086</x:v>
      </x:c>
      <x:c r="E40" s="23" t="n">
        <x:f>'两日价格与决策'!E136</x:f>
        <x:v>14.676021792887155</x:v>
      </x:c>
      <x:c r="F40" s="23" t="n">
        <x:f>'两日价格与决策'!F136</x:f>
        <x:v>0</x:v>
      </x:c>
      <x:c r="G40" s="23" t="n">
        <x:f>'两日价格与决策'!G136</x:f>
        <x:v>5.414044751814399</x:v>
      </x:c>
      <x:c r="H40" s="23" t="str">
        <x:f>'两日价格与决策'!H136</x:f>
        <x:v>未模拟</x:v>
      </x:c>
      <x:c r="I40" s="24" t="n">
        <x:f>'两日价格与决策'!I136</x:f>
        <x:v>182.18127217391242</x:v>
      </x:c>
      <x:c r="J40" s="24" t="n">
        <x:f>'两日价格与决策'!J136</x:f>
        <x:v>175.56648260869503</x:v>
      </x:c>
      <x:c r="K40" s="24" t="n">
        <x:f>'两日价格与决策'!K136</x:f>
        <x:v>49.999999999999986</x:v>
      </x:c>
      <x:c r="L40" s="24" t="n">
        <x:f>'两日价格与决策'!L136</x:f>
        <x:v>0</x:v>
      </x:c>
      <x:c r="M40" s="24" t="n">
        <x:f>'两日价格与决策'!M136</x:f>
        <x:v>50</x:v>
      </x:c>
      <x:c r="N40" s="24" t="n">
        <x:f>'两日价格与决策'!N136</x:f>
        <x:v>100</x:v>
      </x:c>
      <x:c r="O40" s="24" t="n">
        <x:f>'两日价格与决策'!O136</x:f>
        <x:v>0</x:v>
      </x:c>
      <x:c r="P40" s="24" t="n">
        <x:f>'两日价格与决策'!P136</x:f>
        <x:v>6.948</x:v>
      </x:c>
      <x:c r="Q40" s="25" t="n">
        <x:f>'两日价格与决策'!Q136</x:f>
        <x:v>1737.4999999999995</x:v>
      </x:c>
      <x:c r="R40" s="25" t="n">
        <x:f>'两日价格与决策'!R136</x:f>
        <x:v>0</x:v>
      </x:c>
      <x:c r="S40" s="25" t="n">
        <x:f>'两日价格与决策'!S136</x:f>
        <x:v>172.89559920387606</x:v>
      </x:c>
      <x:c r="T40" s="25" t="n">
        <x:f>'两日价格与决策'!T136</x:f>
        <x:v>366.90054482217886</x:v>
      </x:c>
      <x:c r="U40" s="25" t="n">
        <x:f>'两日价格与决策'!U136</x:f>
        <x:v>0</x:v>
      </x:c>
      <x:c r="V40" s="25" t="n">
        <x:f>'两日价格与决策'!V136</x:f>
        <x:v>-37.616782935606444</x:v>
      </x:c>
      <x:c r="W40" s="25" t="n">
        <x:f>'两日价格与决策'!W136</x:f>
        <x:v>2239.6793610904483</x:v>
      </x:c>
      <x:c r="X40" s="18" t="n">
        <x:f>'两日价格与决策'!X136</x:f>
        <x:v>2239.679361090448</x:v>
      </x:c>
      <x:c r="Y40" s="18" t="n">
        <x:f>'两日价格与决策'!Y136</x:f>
        <x:v>4.547473508864641e-13</x:v>
      </x:c>
      <x:c r="Z40" s="18" t="str">
        <x:f>"1月2日执行｜前窗冻结订单"</x:f>
        <x:v>1月2日执行｜前窗冻结订单</x:v>
      </x:c>
      <x:c r="AA40" s="19" t="n">
        <x:f>'两日价格与决策'!AA136</x:f>
        <x:v>1</x:v>
      </x:c>
      <x:c r="AB40" s="19" t="n">
        <x:f>'两日价格与决策'!AB136</x:f>
        <x:v>0</x:v>
      </x:c>
      <x:c r="AC40" s="18" t="n">
        <x:f>'两日价格与决策'!AC136</x:f>
        <x:v>0.25</x:v>
      </x:c>
      <x:c r="AD40" s="20" t="n">
        <x:f>'两日价格与决策'!AD136</x:f>
        <x:v>1</x:v>
      </x:c>
      <x:c r="AE40" s="20" t="n">
        <x:f>'两日价格与决策'!AE136</x:f>
        <x:v>0</x:v>
      </x:c>
      <x:c r="AF40" s="20" t="n">
        <x:f>'两日价格与决策'!AF136</x:f>
        <x:v>0.27792</x:v>
      </x:c>
      <x:c r="AG40" s="18" t="n">
        <x:f>'两日价格与决策'!AG136</x:f>
        <x:v>200</x:v>
      </x:c>
      <x:c r="AH40" s="18" t="n">
        <x:f>'两日价格与决策'!AH136</x:f>
        <x:v>200</x:v>
      </x:c>
      <x:c r="AI40" s="18" t="n">
        <x:f>'两日价格与决策'!AI136</x:f>
        <x:v>0</x:v>
      </x:c>
      <x:c r="AJ40" s="18" t="n">
        <x:f>'两日价格与决策'!AJ136</x:f>
        <x:v>13.896</x:v>
      </x:c>
      <x:c r="AK40" s="18" t="str">
        <x:f>'两日价格与决策'!AK136</x:f>
        <x:v>缺失</x:v>
      </x:c>
      <x:c r="AL40" s="18" t="n">
        <x:f>'两日价格与决策'!AL136</x:f>
        <x:v>0.03613041545893719</x:v>
      </x:c>
      <x:c r="AM40" s="18" t="n">
        <x:f>'两日价格与决策'!AM136</x:f>
        <x:v>3.474000000000001</x:v>
      </x:c>
      <x:c r="AN40" s="18" t="n">
        <x:f>'两日价格与决策'!AN136</x:f>
        <x:v>9.025999999999998</x:v>
      </x:c>
      <x:c r="AO40" s="18" t="n">
        <x:f>'两日价格与决策'!AO136</x:f>
        <x:v>175.56648260869505</x:v>
      </x:c>
      <x:c r="AP40" s="18" t="n">
        <x:f>'两日价格与决策'!AP136</x:f>
        <x:v>2.842170943040401e-14</x:v>
      </x:c>
      <x:c r="AQ40" s="18" t="n">
        <x:f>'两日价格与决策'!AQ136</x:f>
        <x:v>4.9741</x:v>
      </x:c>
      <x:c r="AR40" s="21" t="n">
        <x:f>'两日价格与决策'!AR136</x:f>
        <x:v>45657</x:v>
      </x:c>
      <x:c r="AS40" s="17" t="n">
        <x:f>'两日价格与决策'!AS136</x:f>
        <x:v>45659.260416666664</x:v>
      </x:c>
      <x:c r="AT40" s="18" t="str">
        <x:f>'两日价格与决策'!AT136</x:f>
        <x:v>2025-01-02_8</x:v>
      </x:c>
      <x:c r="AU40" s="19" t="n">
        <x:f>'两日价格与决策'!AU136</x:f>
        <x:v>60</x:v>
      </x:c>
      <x:c r="AV40" s="18" t="str">
        <x:f>'两日价格与决策'!AV136</x:f>
        <x:v>OK</x:v>
      </x:c>
    </x:row>
    <x:row r="41" ht="21" customHeight="1">
      <x:c r="A41" s="17" t="n">
        <x:f>'两日价格与决策'!A137</x:f>
        <x:v>45659.354166666664</x:v>
      </x:c>
      <x:c r="B41" s="23" t="n">
        <x:f>'两日价格与决策'!B137</x:f>
        <x:v>139</x:v>
      </x:c>
      <x:c r="C41" s="23" t="str">
        <x:f>'两日价格与决策'!C137</x:f>
        <x:v>缺失</x:v>
      </x:c>
      <x:c r="D41" s="23" t="n">
        <x:f>'两日价格与决策'!D137</x:f>
        <x:v>13.831647936310086</x:v>
      </x:c>
      <x:c r="E41" s="23" t="n">
        <x:f>'两日价格与决策'!E137</x:f>
        <x:v>14.676021792887155</x:v>
      </x:c>
      <x:c r="F41" s="23" t="n">
        <x:f>'两日价格与决策'!F137</x:f>
        <x:v>0</x:v>
      </x:c>
      <x:c r="G41" s="23" t="n">
        <x:f>'两日价格与决策'!G137</x:f>
        <x:v>21.846565207776283</x:v>
      </x:c>
      <x:c r="H41" s="23" t="str">
        <x:f>'两日价格与决策'!H137</x:f>
        <x:v>未模拟</x:v>
      </x:c>
      <x:c r="I41" s="24" t="n">
        <x:f>'两日价格与决策'!I137</x:f>
        <x:v>175.56648260869503</x:v>
      </x:c>
      <x:c r="J41" s="24" t="n">
        <x:f>'两日价格与决策'!J137</x:f>
        <x:v>163.53341217391244</x:v>
      </x:c>
      <x:c r="K41" s="24" t="n">
        <x:f>'两日价格与决策'!K137</x:f>
        <x:v>49.999999999999986</x:v>
      </x:c>
      <x:c r="L41" s="24" t="n">
        <x:f>'两日价格与决策'!L137</x:f>
        <x:v>0</x:v>
      </x:c>
      <x:c r="M41" s="24" t="n">
        <x:f>'两日价格与决策'!M137</x:f>
        <x:v>50</x:v>
      </x:c>
      <x:c r="N41" s="24" t="n">
        <x:f>'两日价格与决策'!N137</x:f>
        <x:v>100</x:v>
      </x:c>
      <x:c r="O41" s="24" t="n">
        <x:f>'两日价格与决策'!O137</x:f>
        <x:v>0</x:v>
      </x:c>
      <x:c r="P41" s="24" t="n">
        <x:f>'两日价格与决策'!P137</x:f>
        <x:v>1.5485</x:v>
      </x:c>
      <x:c r="Q41" s="25" t="n">
        <x:f>'两日价格与决策'!Q137</x:f>
        <x:v>1737.4999999999995</x:v>
      </x:c>
      <x:c r="R41" s="25" t="n">
        <x:f>'两日价格与决策'!R137</x:f>
        <x:v>0</x:v>
      </x:c>
      <x:c r="S41" s="25" t="n">
        <x:f>'两日价格与决策'!S137</x:f>
        <x:v>172.89559920387606</x:v>
      </x:c>
      <x:c r="T41" s="25" t="n">
        <x:f>'两日价格与决策'!T137</x:f>
        <x:v>366.90054482217886</x:v>
      </x:c>
      <x:c r="U41" s="25" t="n">
        <x:f>'两日价格与决策'!U137</x:f>
        <x:v>0</x:v>
      </x:c>
      <x:c r="V41" s="25" t="n">
        <x:f>'两日价格与决策'!V137</x:f>
        <x:v>-33.82940622424157</x:v>
      </x:c>
      <x:c r="W41" s="25" t="n">
        <x:f>'两日价格与决策'!W137</x:f>
        <x:v>2243.466737801813</x:v>
      </x:c>
      <x:c r="X41" s="18" t="n">
        <x:f>'两日价格与决策'!X137</x:f>
        <x:v>2243.466737801813</x:v>
      </x:c>
      <x:c r="Y41" s="18" t="n">
        <x:f>'两日价格与决策'!Y137</x:f>
        <x:v>0</x:v>
      </x:c>
      <x:c r="Z41" s="18" t="str">
        <x:f>"1月2日执行｜前窗冻结订单"</x:f>
        <x:v>1月2日执行｜前窗冻结订单</x:v>
      </x:c>
      <x:c r="AA41" s="19" t="n">
        <x:f>'两日价格与决策'!AA137</x:f>
        <x:v>1</x:v>
      </x:c>
      <x:c r="AB41" s="19" t="n">
        <x:f>'两日价格与决策'!AB137</x:f>
        <x:v>0</x:v>
      </x:c>
      <x:c r="AC41" s="18" t="n">
        <x:f>'两日价格与决策'!AC137</x:f>
        <x:v>0.25</x:v>
      </x:c>
      <x:c r="AD41" s="20" t="n">
        <x:f>'两日价格与决策'!AD137</x:f>
        <x:v>1</x:v>
      </x:c>
      <x:c r="AE41" s="20" t="n">
        <x:f>'两日价格与决策'!AE137</x:f>
        <x:v>0</x:v>
      </x:c>
      <x:c r="AF41" s="20" t="n">
        <x:f>'两日价格与决策'!AF137</x:f>
        <x:v>0.06194</x:v>
      </x:c>
      <x:c r="AG41" s="18" t="n">
        <x:f>'两日价格与决策'!AG137</x:f>
        <x:v>200</x:v>
      </x:c>
      <x:c r="AH41" s="18" t="n">
        <x:f>'两日价格与决策'!AH137</x:f>
        <x:v>200</x:v>
      </x:c>
      <x:c r="AI41" s="18" t="n">
        <x:f>'两日价格与决策'!AI137</x:f>
        <x:v>0</x:v>
      </x:c>
      <x:c r="AJ41" s="18" t="n">
        <x:f>'两日价格与决策'!AJ137</x:f>
        <x:v>3.097</x:v>
      </x:c>
      <x:c r="AK41" s="18" t="str">
        <x:f>'两日价格与决策'!AK137</x:f>
        <x:v>缺失</x:v>
      </x:c>
      <x:c r="AL41" s="18" t="n">
        <x:f>'两日价格与决策'!AL137</x:f>
        <x:v>0.03738247342995168</x:v>
      </x:c>
      <x:c r="AM41" s="18" t="n">
        <x:f>'两日价格与决策'!AM137</x:f>
        <x:v>0.7742500000000002</x:v>
      </x:c>
      <x:c r="AN41" s="18" t="n">
        <x:f>'两日价格与决策'!AN137</x:f>
        <x:v>11.725749999999996</x:v>
      </x:c>
      <x:c r="AO41" s="18" t="n">
        <x:f>'两日价格与决策'!AO137</x:f>
        <x:v>163.53341217391244</x:v>
      </x:c>
      <x:c r="AP41" s="18" t="n">
        <x:f>'两日价格与决策'!AP137</x:f>
        <x:v>0</x:v>
      </x:c>
      <x:c r="AQ41" s="18" t="n">
        <x:f>'两日价格与决策'!AQ137</x:f>
        <x:v>4.9741</x:v>
      </x:c>
      <x:c r="AR41" s="21" t="n">
        <x:f>'两日价格与决策'!AR137</x:f>
        <x:v>45657</x:v>
      </x:c>
      <x:c r="AS41" s="17" t="n">
        <x:f>'两日价格与决策'!AS137</x:f>
        <x:v>45659.270833333336</x:v>
      </x:c>
      <x:c r="AT41" s="18" t="str">
        <x:f>'两日价格与决策'!AT137</x:f>
        <x:v>2025-01-02_8</x:v>
      </x:c>
      <x:c r="AU41" s="19" t="n">
        <x:f>'两日价格与决策'!AU137</x:f>
        <x:v>60</x:v>
      </x:c>
      <x:c r="AV41" s="18" t="str">
        <x:f>'两日价格与决策'!AV137</x:f>
        <x:v>OK</x:v>
      </x:c>
    </x:row>
    <x:row r="42" ht="21" customHeight="1">
      <x:c r="A42" s="17" t="n">
        <x:f>'两日价格与决策'!A138</x:f>
        <x:v>45659.364583333336</x:v>
      </x:c>
      <x:c r="B42" s="23" t="n">
        <x:f>'两日价格与决策'!B138</x:f>
        <x:v>139</x:v>
      </x:c>
      <x:c r="C42" s="23" t="str">
        <x:f>'两日价格与决策'!C138</x:f>
        <x:v>缺失</x:v>
      </x:c>
      <x:c r="D42" s="23" t="n">
        <x:f>'两日价格与决策'!D138</x:f>
        <x:v>13.831647936310086</x:v>
      </x:c>
      <x:c r="E42" s="23" t="n">
        <x:f>'两日价格与决策'!E138</x:f>
        <x:v>14.676021792887155</x:v>
      </x:c>
      <x:c r="F42" s="23" t="n">
        <x:f>'两日价格与决策'!F138</x:f>
        <x:v>90.02191351199212</x:v>
      </x:c>
      <x:c r="G42" s="23" t="n">
        <x:f>'两日价格与决策'!G138</x:f>
        <x:v>37.77768842604692</x:v>
      </x:c>
      <x:c r="H42" s="23" t="str">
        <x:f>'两日价格与决策'!H138</x:f>
        <x:v>未模拟</x:v>
      </x:c>
      <x:c r="I42" s="24" t="n">
        <x:f>'两日价格与决策'!I138</x:f>
        <x:v>163.53341217391244</x:v>
      </x:c>
      <x:c r="J42" s="24" t="n">
        <x:f>'两日价格与决策'!J138</x:f>
        <x:v>150.09258782608637</x:v>
      </x:c>
      <x:c r="K42" s="24" t="n">
        <x:f>'两日价格与决策'!K138</x:f>
        <x:v>49.999999999999986</x:v>
      </x:c>
      <x:c r="L42" s="24" t="n">
        <x:f>'两日价格与决策'!L138</x:f>
        <x:v>0</x:v>
      </x:c>
      <x:c r="M42" s="24" t="n">
        <x:f>'两日价格与决策'!M138</x:f>
        <x:v>50</x:v>
      </x:c>
      <x:c r="N42" s="24" t="n">
        <x:f>'两日价格与决策'!N138</x:f>
        <x:v>100</x:v>
      </x:c>
      <x:c r="O42" s="24" t="n">
        <x:f>'两日价格与决策'!O138</x:f>
        <x:v>0.0045</x:v>
      </x:c>
      <x:c r="P42" s="24" t="n">
        <x:f>'两日价格与决策'!P138</x:f>
        <x:v>0.1505</x:v>
      </x:c>
      <x:c r="Q42" s="25" t="n">
        <x:f>'两日价格与决策'!Q138</x:f>
        <x:v>1737.4999999999995</x:v>
      </x:c>
      <x:c r="R42" s="25" t="n">
        <x:f>'两日价格与决策'!R138</x:f>
        <x:v>0</x:v>
      </x:c>
      <x:c r="S42" s="25" t="n">
        <x:f>'两日价格与决策'!S138</x:f>
        <x:v>172.89559920387606</x:v>
      </x:c>
      <x:c r="T42" s="25" t="n">
        <x:f>'两日价格与决策'!T138</x:f>
        <x:v>366.90054482217886</x:v>
      </x:c>
      <x:c r="U42" s="25" t="n">
        <x:f>'两日价格与决策'!U138</x:f>
        <x:v>0.40509861080396453</x:v>
      </x:c>
      <x:c r="V42" s="25" t="n">
        <x:f>'两日价格与决策'!V138</x:f>
        <x:v>-5.685542108120061</x:v>
      </x:c>
      <x:c r="W42" s="25" t="n">
        <x:f>'两日价格与决策'!W138</x:f>
        <x:v>2272.0157005287388</x:v>
      </x:c>
      <x:c r="X42" s="18" t="n">
        <x:f>'两日价格与决策'!X138</x:f>
        <x:v>2272.0157005287383</x:v>
      </x:c>
      <x:c r="Y42" s="18" t="n">
        <x:f>'两日价格与决策'!Y138</x:f>
        <x:v>4.547473508864641e-13</x:v>
      </x:c>
      <x:c r="Z42" s="18" t="str">
        <x:f>"1月2日执行｜前窗冻结订单"</x:f>
        <x:v>1月2日执行｜前窗冻结订单</x:v>
      </x:c>
      <x:c r="AA42" s="19" t="n">
        <x:f>'两日价格与决策'!AA138</x:f>
        <x:v>1</x:v>
      </x:c>
      <x:c r="AB42" s="19" t="n">
        <x:f>'两日价格与决策'!AB138</x:f>
        <x:v>0</x:v>
      </x:c>
      <x:c r="AC42" s="18" t="n">
        <x:f>'两日价格与决策'!AC138</x:f>
        <x:v>0.25</x:v>
      </x:c>
      <x:c r="AD42" s="20" t="n">
        <x:f>'两日价格与决策'!AD138</x:f>
        <x:v>1</x:v>
      </x:c>
      <x:c r="AE42" s="20" t="n">
        <x:f>'两日价格与决策'!AE138</x:f>
        <x:v>0.00035999999999999997</x:v>
      </x:c>
      <x:c r="AF42" s="20" t="n">
        <x:f>'两日价格与决策'!AF138</x:f>
        <x:v>0.00602</x:v>
      </x:c>
      <x:c r="AG42" s="18" t="n">
        <x:f>'两日价格与决策'!AG138</x:f>
        <x:v>200</x:v>
      </x:c>
      <x:c r="AH42" s="18" t="n">
        <x:f>'两日价格与决策'!AH138</x:f>
        <x:v>200</x:v>
      </x:c>
      <x:c r="AI42" s="18" t="n">
        <x:f>'两日价格与决策'!AI138</x:f>
        <x:v>0.018</x:v>
      </x:c>
      <x:c r="AJ42" s="18" t="n">
        <x:f>'两日价格与决策'!AJ138</x:f>
        <x:v>0.301</x:v>
      </x:c>
      <x:c r="AK42" s="18" t="str">
        <x:f>'两日价格与决策'!AK138</x:f>
        <x:v>缺失</x:v>
      </x:c>
      <x:c r="AL42" s="18" t="n">
        <x:f>'两日价格与决策'!AL138</x:f>
        <x:v>0.037720234299516896</x:v>
      </x:c>
      <x:c r="AM42" s="18" t="n">
        <x:f>'两日价格与决策'!AM138</x:f>
        <x:v>0.07525000000000003</x:v>
      </x:c>
      <x:c r="AN42" s="18" t="n">
        <x:f>'两日价格与决策'!AN138</x:f>
        <x:v>12.429249999999996</x:v>
      </x:c>
      <x:c r="AO42" s="18" t="n">
        <x:f>'两日价格与决策'!AO138</x:f>
        <x:v>150.09258782608637</x:v>
      </x:c>
      <x:c r="AP42" s="18" t="n">
        <x:f>'两日价格与决策'!AP138</x:f>
        <x:v>0</x:v>
      </x:c>
      <x:c r="AQ42" s="18" t="n">
        <x:f>'两日价格与决策'!AQ138</x:f>
        <x:v>4.9741</x:v>
      </x:c>
      <x:c r="AR42" s="21" t="n">
        <x:f>'两日价格与决策'!AR138</x:f>
        <x:v>45657</x:v>
      </x:c>
      <x:c r="AS42" s="17" t="n">
        <x:f>'两日价格与决策'!AS138</x:f>
        <x:v>45659.28125</x:v>
      </x:c>
      <x:c r="AT42" s="18" t="str">
        <x:f>'两日价格与决策'!AT138</x:f>
        <x:v>2025-01-02_8</x:v>
      </x:c>
      <x:c r="AU42" s="19" t="n">
        <x:f>'两日价格与决策'!AU138</x:f>
        <x:v>60</x:v>
      </x:c>
      <x:c r="AV42" s="18" t="str">
        <x:f>'两日价格与决策'!AV138</x:f>
        <x:v>OK</x:v>
      </x:c>
    </x:row>
    <x:row r="43" ht="21" customHeight="1">
      <x:c r="A43" s="17" t="n">
        <x:f>'两日价格与决策'!A139</x:f>
        <x:v>45659.375</x:v>
      </x:c>
      <x:c r="B43" s="23" t="n">
        <x:f>'两日价格与决策'!B139</x:f>
        <x:v>129.07</x:v>
      </x:c>
      <x:c r="C43" s="23" t="str">
        <x:f>'两日价格与决策'!C139</x:f>
        <x:v>缺失</x:v>
      </x:c>
      <x:c r="D43" s="23" t="n">
        <x:f>'两日价格与决策'!D139</x:f>
        <x:v>13.831647936310086</x:v>
      </x:c>
      <x:c r="E43" s="23" t="n">
        <x:f>'两日价格与决策'!E139</x:f>
        <x:v>14.676021792887155</x:v>
      </x:c>
      <x:c r="F43" s="23" t="n">
        <x:f>'两日价格与决策'!F139</x:f>
        <x:v>121.58420618805413</x:v>
      </x:c>
      <x:c r="G43" s="23" t="n">
        <x:f>'两日价格与决策'!G139</x:f>
        <x:v>58.3020043827024</x:v>
      </x:c>
      <x:c r="H43" s="23" t="str">
        <x:f>'两日价格与决策'!H139</x:f>
        <x:v>未模拟</x:v>
      </x:c>
      <x:c r="I43" s="24" t="n">
        <x:f>'两日价格与决策'!I139</x:f>
        <x:v>150.09258782608637</x:v>
      </x:c>
      <x:c r="J43" s="24" t="n">
        <x:f>'两日价格与决策'!J139</x:f>
        <x:v>150.01542260869508</x:v>
      </x:c>
      <x:c r="K43" s="24" t="n">
        <x:f>'两日价格与决策'!K139</x:f>
        <x:v>0</x:v>
      </x:c>
      <x:c r="L43" s="24" t="n">
        <x:f>'两日价格与决策'!L139</x:f>
        <x:v>0</x:v>
      </x:c>
      <x:c r="M43" s="24" t="n">
        <x:f>'两日价格与决策'!M139</x:f>
        <x:v>100</x:v>
      </x:c>
      <x:c r="N43" s="24" t="n">
        <x:f>'两日价格与决策'!N139</x:f>
        <x:v>100</x:v>
      </x:c>
      <x:c r="O43" s="24" t="n">
        <x:f>'两日价格与决策'!O139</x:f>
        <x:v>0.0985</x:v>
      </x:c>
      <x:c r="P43" s="24" t="n">
        <x:f>'两日价格与决策'!P139</x:f>
        <x:v>0.0325</x:v>
      </x:c>
      <x:c r="Q43" s="25" t="n">
        <x:f>'两日价格与决策'!Q139</x:f>
        <x:v>0</x:v>
      </x:c>
      <x:c r="R43" s="25" t="n">
        <x:f>'两日价格与决策'!R139</x:f>
        <x:v>0</x:v>
      </x:c>
      <x:c r="S43" s="25" t="n">
        <x:f>'两日价格与决策'!S139</x:f>
        <x:v>345.7911984077521</x:v>
      </x:c>
      <x:c r="T43" s="25" t="n">
        <x:f>'两日价格与决策'!T139</x:f>
        <x:v>366.90054482217886</x:v>
      </x:c>
      <x:c r="U43" s="25" t="n">
        <x:f>'两日价格与决策'!U139</x:f>
        <x:v>11.976044309523331</x:v>
      </x:c>
      <x:c r="V43" s="25" t="n">
        <x:f>'两日价格与决策'!V139</x:f>
        <x:v>-1.8948151424378281</x:v>
      </x:c>
      <x:c r="W43" s="25" t="n">
        <x:f>'两日价格与决策'!W139</x:f>
        <x:v>722.7729723970166</x:v>
      </x:c>
      <x:c r="X43" s="18" t="n">
        <x:f>'两日价格与决策'!X139</x:f>
        <x:v>722.7729723970165</x:v>
      </x:c>
      <x:c r="Y43" s="18" t="n">
        <x:f>'两日价格与决策'!Y139</x:f>
        <x:v>1.1368683772161603e-13</x:v>
      </x:c>
      <x:c r="Z43" s="18" t="str">
        <x:f>"1月2日执行｜前窗冻结订单"</x:f>
        <x:v>1月2日执行｜前窗冻结订单</x:v>
      </x:c>
      <x:c r="AA43" s="19" t="n">
        <x:f>'两日价格与决策'!AA139</x:f>
        <x:v>1</x:v>
      </x:c>
      <x:c r="AB43" s="19" t="n">
        <x:f>'两日价格与决策'!AB139</x:f>
        <x:v>0</x:v>
      </x:c>
      <x:c r="AC43" s="18" t="n">
        <x:f>'两日价格与决策'!AC139</x:f>
        <x:v>0.25</x:v>
      </x:c>
      <x:c r="AD43" s="20" t="n">
        <x:f>'两日价格与决策'!AD139</x:f>
        <x:v>1</x:v>
      </x:c>
      <x:c r="AE43" s="20" t="n">
        <x:f>'两日价格与决策'!AE139</x:f>
        <x:v>0.00394</x:v>
      </x:c>
      <x:c r="AF43" s="20" t="n">
        <x:f>'两日价格与决策'!AF139</x:f>
        <x:v>0.0013</x:v>
      </x:c>
      <x:c r="AG43" s="18" t="n">
        <x:f>'两日价格与决策'!AG139</x:f>
        <x:v>200</x:v>
      </x:c>
      <x:c r="AH43" s="18" t="n">
        <x:f>'两日价格与决策'!AH139</x:f>
        <x:v>200</x:v>
      </x:c>
      <x:c r="AI43" s="18" t="n">
        <x:f>'两日价格与决策'!AI139</x:f>
        <x:v>0.197</x:v>
      </x:c>
      <x:c r="AJ43" s="18" t="n">
        <x:f>'两日价格与决策'!AJ139</x:f>
        <x:v>0.065</x:v>
      </x:c>
      <x:c r="AK43" s="18" t="str">
        <x:f>'两日价格与决策'!AK139</x:f>
        <x:v>缺失</x:v>
      </x:c>
      <x:c r="AL43" s="18" t="n">
        <x:f>'两日价格与决策'!AL139</x:f>
        <x:v>0.0003804589371980676</x:v>
      </x:c>
      <x:c r="AM43" s="18" t="n">
        <x:f>'两日价格与决策'!AM139</x:f>
        <x:v>0.0325</x:v>
      </x:c>
      <x:c r="AN43" s="18" t="n">
        <x:f>'两日价格与决策'!AN139</x:f>
        <x:v>0.0985</x:v>
      </x:c>
      <x:c r="AO43" s="18" t="n">
        <x:f>'两日价格与决策'!AO139</x:f>
        <x:v>150.01542260869508</x:v>
      </x:c>
      <x:c r="AP43" s="18" t="n">
        <x:f>'两日价格与决策'!AP139</x:f>
        <x:v>0</x:v>
      </x:c>
      <x:c r="AQ43" s="18" t="n">
        <x:f>'两日价格与决策'!AQ139</x:f>
        <x:v>4.9741</x:v>
      </x:c>
      <x:c r="AR43" s="21" t="n">
        <x:f>'两日价格与决策'!AR139</x:f>
        <x:v>45657</x:v>
      </x:c>
      <x:c r="AS43" s="17" t="n">
        <x:f>'两日价格与决策'!AS139</x:f>
        <x:v>45659.291666666664</x:v>
      </x:c>
      <x:c r="AT43" s="18" t="str">
        <x:f>'两日价格与决策'!AT139</x:f>
        <x:v>2025-01-02_9</x:v>
      </x:c>
      <x:c r="AU43" s="19" t="n">
        <x:f>'两日价格与决策'!AU139</x:f>
        <x:v>60</x:v>
      </x:c>
      <x:c r="AV43" s="18" t="str">
        <x:f>'两日价格与决策'!AV139</x:f>
        <x:v>OK</x:v>
      </x:c>
    </x:row>
    <x:row r="44" ht="21" customHeight="1">
      <x:c r="A44" s="17" t="n">
        <x:f>'两日价格与决策'!A140</x:f>
        <x:v>45659.385416666664</x:v>
      </x:c>
      <x:c r="B44" s="23" t="n">
        <x:f>'两日价格与决策'!B140</x:f>
        <x:v>129.07</x:v>
      </x:c>
      <x:c r="C44" s="23" t="str">
        <x:f>'两日价格与决策'!C140</x:f>
        <x:v>缺失</x:v>
      </x:c>
      <x:c r="D44" s="23" t="n">
        <x:f>'两日价格与决策'!D140</x:f>
        <x:v>13.831647936310086</x:v>
      </x:c>
      <x:c r="E44" s="23" t="n">
        <x:f>'两日价格与决策'!E140</x:f>
        <x:v>14.676021792887155</x:v>
      </x:c>
      <x:c r="F44" s="23" t="n">
        <x:f>'两日价格与决策'!F140</x:f>
        <x:v>84.7590518887839</x:v>
      </x:c>
      <x:c r="G44" s="23" t="n">
        <x:f>'两日价格与决策'!G140</x:f>
        <x:v>47.90233409058925</x:v>
      </x:c>
      <x:c r="H44" s="23" t="str">
        <x:f>'两日价格与决策'!H140</x:f>
        <x:v>未模拟</x:v>
      </x:c>
      <x:c r="I44" s="24" t="n">
        <x:f>'两日价格与决策'!I140</x:f>
        <x:v>150.01542260869508</x:v>
      </x:c>
      <x:c r="J44" s="24" t="n">
        <x:f>'两日价格与决策'!J140</x:f>
        <x:v>150.07494173912986</x:v>
      </x:c>
      <x:c r="K44" s="24" t="n">
        <x:f>'两日价格与决策'!K140</x:f>
        <x:v>0</x:v>
      </x:c>
      <x:c r="L44" s="24" t="n">
        <x:f>'两日价格与决策'!L140</x:f>
        <x:v>0</x:v>
      </x:c>
      <x:c r="M44" s="24" t="n">
        <x:f>'两日价格与决策'!M140</x:f>
        <x:v>100</x:v>
      </x:c>
      <x:c r="N44" s="24" t="n">
        <x:f>'两日价格与决策'!N140</x:f>
        <x:v>100</x:v>
      </x:c>
      <x:c r="O44" s="24" t="n">
        <x:f>'两日价格与决策'!O140</x:f>
        <x:v>0.0375</x:v>
      </x:c>
      <x:c r="P44" s="24" t="n">
        <x:f>'两日价格与决策'!P140</x:f>
        <x:v>0.109</x:v>
      </x:c>
      <x:c r="Q44" s="25" t="n">
        <x:f>'两日价格与决策'!Q140</x:f>
        <x:v>0</x:v>
      </x:c>
      <x:c r="R44" s="25" t="n">
        <x:f>'两日价格与决策'!R140</x:f>
        <x:v>0</x:v>
      </x:c>
      <x:c r="S44" s="25" t="n">
        <x:f>'两日价格与决策'!S140</x:f>
        <x:v>345.7911984077521</x:v>
      </x:c>
      <x:c r="T44" s="25" t="n">
        <x:f>'两日价格与决策'!T140</x:f>
        <x:v>366.90054482217886</x:v>
      </x:c>
      <x:c r="U44" s="25" t="n">
        <x:f>'两日价格与决策'!U140</x:f>
        <x:v>3.178464445829396</x:v>
      </x:c>
      <x:c r="V44" s="25" t="n">
        <x:f>'两日价格与决策'!V140</x:f>
        <x:v>-5.221354415874228</x:v>
      </x:c>
      <x:c r="W44" s="25" t="n">
        <x:f>'两日价格与决策'!W140</x:f>
        <x:v>710.6488532598862</x:v>
      </x:c>
      <x:c r="X44" s="18" t="n">
        <x:f>'两日价格与决策'!X140</x:f>
        <x:v>710.6488532598861</x:v>
      </x:c>
      <x:c r="Y44" s="18" t="n">
        <x:f>'两日价格与决策'!Y140</x:f>
        <x:v>1.1368683772161603e-13</x:v>
      </x:c>
      <x:c r="Z44" s="18" t="str">
        <x:f>"1月2日执行｜前窗冻结订单"</x:f>
        <x:v>1月2日执行｜前窗冻结订单</x:v>
      </x:c>
      <x:c r="AA44" s="19" t="n">
        <x:f>'两日价格与决策'!AA140</x:f>
        <x:v>1</x:v>
      </x:c>
      <x:c r="AB44" s="19" t="n">
        <x:f>'两日价格与决策'!AB140</x:f>
        <x:v>0</x:v>
      </x:c>
      <x:c r="AC44" s="18" t="n">
        <x:f>'两日价格与决策'!AC140</x:f>
        <x:v>0.25</x:v>
      </x:c>
      <x:c r="AD44" s="20" t="n">
        <x:f>'两日价格与决策'!AD140</x:f>
        <x:v>1</x:v>
      </x:c>
      <x:c r="AE44" s="20" t="n">
        <x:f>'两日价格与决策'!AE140</x:f>
        <x:v>0.0015</x:v>
      </x:c>
      <x:c r="AF44" s="20" t="n">
        <x:f>'两日价格与决策'!AF140</x:f>
        <x:v>0.00436</x:v>
      </x:c>
      <x:c r="AG44" s="18" t="n">
        <x:f>'两日价格与决策'!AG140</x:f>
        <x:v>200</x:v>
      </x:c>
      <x:c r="AH44" s="18" t="n">
        <x:f>'两日价格与决策'!AH140</x:f>
        <x:v>200</x:v>
      </x:c>
      <x:c r="AI44" s="18" t="n">
        <x:f>'两日价格与决策'!AI140</x:f>
        <x:v>0.075</x:v>
      </x:c>
      <x:c r="AJ44" s="18" t="n">
        <x:f>'两日价格与决策'!AJ140</x:f>
        <x:v>0.218</x:v>
      </x:c>
      <x:c r="AK44" s="18" t="str">
        <x:f>'两日价格与决策'!AK140</x:f>
        <x:v>缺失</x:v>
      </x:c>
      <x:c r="AL44" s="18" t="n">
        <x:f>'两日价格与决策'!AL140</x:f>
        <x:v>0.00039178019323671503</x:v>
      </x:c>
      <x:c r="AM44" s="18" t="n">
        <x:f>'两日价格与决策'!AM140</x:f>
        <x:v>0.109</x:v>
      </x:c>
      <x:c r="AN44" s="18" t="n">
        <x:f>'两日价格与决策'!AN140</x:f>
        <x:v>0.0375</x:v>
      </x:c>
      <x:c r="AO44" s="18" t="n">
        <x:f>'两日价格与决策'!AO140</x:f>
        <x:v>150.07494173912986</x:v>
      </x:c>
      <x:c r="AP44" s="18" t="n">
        <x:f>'两日价格与决策'!AP140</x:f>
        <x:v>0</x:v>
      </x:c>
      <x:c r="AQ44" s="18" t="n">
        <x:f>'两日价格与决策'!AQ140</x:f>
        <x:v>4.9741</x:v>
      </x:c>
      <x:c r="AR44" s="21" t="n">
        <x:f>'两日价格与决策'!AR140</x:f>
        <x:v>45657</x:v>
      </x:c>
      <x:c r="AS44" s="17" t="n">
        <x:f>'两日价格与决策'!AS140</x:f>
        <x:v>45659.302083333336</x:v>
      </x:c>
      <x:c r="AT44" s="18" t="str">
        <x:f>'两日价格与决策'!AT140</x:f>
        <x:v>2025-01-02_9</x:v>
      </x:c>
      <x:c r="AU44" s="19" t="n">
        <x:f>'两日价格与决策'!AU140</x:f>
        <x:v>60</x:v>
      </x:c>
      <x:c r="AV44" s="18" t="str">
        <x:f>'两日价格与决策'!AV140</x:f>
        <x:v>OK</x:v>
      </x:c>
    </x:row>
    <x:row r="45" ht="21" customHeight="1">
      <x:c r="A45" s="17" t="n">
        <x:f>'两日价格与决策'!A141</x:f>
        <x:v>45659.395833333336</x:v>
      </x:c>
      <x:c r="B45" s="23" t="n">
        <x:f>'两日价格与决策'!B141</x:f>
        <x:v>129.07</x:v>
      </x:c>
      <x:c r="C45" s="23" t="str">
        <x:f>'两日价格与决策'!C141</x:f>
        <x:v>缺失</x:v>
      </x:c>
      <x:c r="D45" s="23" t="n">
        <x:f>'两日价格与决策'!D141</x:f>
        <x:v>13.831647936310086</x:v>
      </x:c>
      <x:c r="E45" s="23" t="n">
        <x:f>'两日价格与决策'!E141</x:f>
        <x:v>14.676021792887155</x:v>
      </x:c>
      <x:c r="F45" s="23" t="n">
        <x:f>'两日价格与决策'!F141</x:f>
        <x:v>0</x:v>
      </x:c>
      <x:c r="G45" s="23" t="n">
        <x:f>'两日价格与决策'!G141</x:f>
        <x:v>3.4633401017269456</x:v>
      </x:c>
      <x:c r="H45" s="23" t="str">
        <x:f>'两日价格与决策'!H141</x:f>
        <x:v>未模拟</x:v>
      </x:c>
      <x:c r="I45" s="24" t="n">
        <x:f>'两日价格与决策'!I141</x:f>
        <x:v>150.07494173912986</x:v>
      </x:c>
      <x:c r="J45" s="24" t="n">
        <x:f>'两日价格与决策'!J141</x:f>
        <x:v>155.93580173912986</x:v>
      </x:c>
      <x:c r="K45" s="24" t="n">
        <x:f>'两日价格与决策'!K141</x:f>
        <x:v>0</x:v>
      </x:c>
      <x:c r="L45" s="24" t="n">
        <x:f>'两日价格与决策'!L141</x:f>
        <x:v>0</x:v>
      </x:c>
      <x:c r="M45" s="24" t="n">
        <x:f>'两日价格与决策'!M141</x:f>
        <x:v>100</x:v>
      </x:c>
      <x:c r="N45" s="24" t="n">
        <x:f>'两日价格与决策'!N141</x:f>
        <x:v>100</x:v>
      </x:c>
      <x:c r="O45" s="24" t="n">
        <x:f>'两日价格与决策'!O141</x:f>
        <x:v>0</x:v>
      </x:c>
      <x:c r="P45" s="24" t="n">
        <x:f>'两日价格与决策'!P141</x:f>
        <x:v>6.3705</x:v>
      </x:c>
      <x:c r="Q45" s="25" t="n">
        <x:f>'两日价格与决策'!Q141</x:f>
        <x:v>0</x:v>
      </x:c>
      <x:c r="R45" s="25" t="n">
        <x:f>'两日价格与决策'!R141</x:f>
        <x:v>0</x:v>
      </x:c>
      <x:c r="S45" s="25" t="n">
        <x:f>'两日价格与决策'!S141</x:f>
        <x:v>345.7911984077521</x:v>
      </x:c>
      <x:c r="T45" s="25" t="n">
        <x:f>'两日价格与决策'!T141</x:f>
        <x:v>366.90054482217886</x:v>
      </x:c>
      <x:c r="U45" s="25" t="n">
        <x:f>'两日价格与决策'!U141</x:f>
        <x:v>0</x:v>
      </x:c>
      <x:c r="V45" s="25" t="n">
        <x:f>'两日价格与决策'!V141</x:f>
        <x:v>-22.063208118051506</x:v>
      </x:c>
      <x:c r="W45" s="25" t="n">
        <x:f>'两日价格与决策'!W141</x:f>
        <x:v>690.6285351118795</x:v>
      </x:c>
      <x:c r="X45" s="18" t="n">
        <x:f>'两日价格与决策'!X141</x:f>
        <x:v>690.6285351118795</x:v>
      </x:c>
      <x:c r="Y45" s="18" t="n">
        <x:f>'两日价格与决策'!Y141</x:f>
        <x:v>0</x:v>
      </x:c>
      <x:c r="Z45" s="18" t="str">
        <x:f>"1月2日执行｜前窗冻结订单"</x:f>
        <x:v>1月2日执行｜前窗冻结订单</x:v>
      </x:c>
      <x:c r="AA45" s="19" t="n">
        <x:f>'两日价格与决策'!AA141</x:f>
        <x:v>1</x:v>
      </x:c>
      <x:c r="AB45" s="19" t="n">
        <x:f>'两日价格与决策'!AB141</x:f>
        <x:v>0</x:v>
      </x:c>
      <x:c r="AC45" s="18" t="n">
        <x:f>'两日价格与决策'!AC141</x:f>
        <x:v>0.25</x:v>
      </x:c>
      <x:c r="AD45" s="20" t="n">
        <x:f>'两日价格与决策'!AD141</x:f>
        <x:v>1</x:v>
      </x:c>
      <x:c r="AE45" s="20" t="n">
        <x:f>'两日价格与决策'!AE141</x:f>
        <x:v>0</x:v>
      </x:c>
      <x:c r="AF45" s="20" t="n">
        <x:f>'两日价格与决策'!AF141</x:f>
        <x:v>0.25482</x:v>
      </x:c>
      <x:c r="AG45" s="18" t="n">
        <x:f>'两日价格与决策'!AG141</x:f>
        <x:v>200</x:v>
      </x:c>
      <x:c r="AH45" s="18" t="n">
        <x:f>'两日价格与决策'!AH141</x:f>
        <x:v>200</x:v>
      </x:c>
      <x:c r="AI45" s="18" t="n">
        <x:f>'两日价格与决策'!AI141</x:f>
        <x:v>0</x:v>
      </x:c>
      <x:c r="AJ45" s="18" t="n">
        <x:f>'两日价格与决策'!AJ141</x:f>
        <x:v>12.741</x:v>
      </x:c>
      <x:c r="AK45" s="18" t="str">
        <x:f>'两日价格与决策'!AK141</x:f>
        <x:v>缺失</x:v>
      </x:c>
      <x:c r="AL45" s="18" t="n">
        <x:f>'两日价格与决策'!AL141</x:f>
        <x:v>0.016280166666666665</x:v>
      </x:c>
      <x:c r="AM45" s="18" t="n">
        <x:f>'两日价格与决策'!AM141</x:f>
        <x:v>6.3705</x:v>
      </x:c>
      <x:c r="AN45" s="18" t="n">
        <x:f>'两日价格与决策'!AN141</x:f>
        <x:v>0</x:v>
      </x:c>
      <x:c r="AO45" s="18" t="n">
        <x:f>'两日价格与决策'!AO141</x:f>
        <x:v>155.93580173912986</x:v>
      </x:c>
      <x:c r="AP45" s="18" t="n">
        <x:f>'两日价格与决策'!AP141</x:f>
        <x:v>0</x:v>
      </x:c>
      <x:c r="AQ45" s="18" t="n">
        <x:f>'两日价格与决策'!AQ141</x:f>
        <x:v>4.9741</x:v>
      </x:c>
      <x:c r="AR45" s="21" t="n">
        <x:f>'两日价格与决策'!AR141</x:f>
        <x:v>45657</x:v>
      </x:c>
      <x:c r="AS45" s="17" t="n">
        <x:f>'两日价格与决策'!AS141</x:f>
        <x:v>45659.3125</x:v>
      </x:c>
      <x:c r="AT45" s="18" t="str">
        <x:f>'两日价格与决策'!AT141</x:f>
        <x:v>2025-01-02_9</x:v>
      </x:c>
      <x:c r="AU45" s="19" t="n">
        <x:f>'两日价格与决策'!AU141</x:f>
        <x:v>60</x:v>
      </x:c>
      <x:c r="AV45" s="18" t="str">
        <x:f>'两日价格与决策'!AV141</x:f>
        <x:v>OK</x:v>
      </x:c>
    </x:row>
    <x:row r="46" ht="21" customHeight="1">
      <x:c r="A46" s="17" t="n">
        <x:f>'两日价格与决策'!A142</x:f>
        <x:v>45659.40625</x:v>
      </x:c>
      <x:c r="B46" s="23" t="n">
        <x:f>'两日价格与决策'!B142</x:f>
        <x:v>129.07</x:v>
      </x:c>
      <x:c r="C46" s="23" t="str">
        <x:f>'两日价格与决策'!C142</x:f>
        <x:v>缺失</x:v>
      </x:c>
      <x:c r="D46" s="23" t="n">
        <x:f>'两日价格与决策'!D142</x:f>
        <x:v>13.831647936310086</x:v>
      </x:c>
      <x:c r="E46" s="23" t="n">
        <x:f>'两日价格与决策'!E142</x:f>
        <x:v>14.676021792887155</x:v>
      </x:c>
      <x:c r="F46" s="23" t="n">
        <x:f>'两日价格与决策'!F142</x:f>
        <x:v>0</x:v>
      </x:c>
      <x:c r="G46" s="23" t="n">
        <x:f>'两日价格与决策'!G142</x:f>
        <x:v>-52.10269194427132</x:v>
      </x:c>
      <x:c r="H46" s="23" t="str">
        <x:f>'两日价格与决策'!H142</x:f>
        <x:v>未模拟</x:v>
      </x:c>
      <x:c r="I46" s="24" t="n">
        <x:f>'两日价格与决策'!I142</x:f>
        <x:v>155.93580173912986</x:v>
      </x:c>
      <x:c r="J46" s="24" t="n">
        <x:f>'两日价格与决策'!J142</x:f>
        <x:v>170.71238173912985</x:v>
      </x:c>
      <x:c r="K46" s="24" t="n">
        <x:f>'两日价格与决策'!K142</x:f>
        <x:v>0</x:v>
      </x:c>
      <x:c r="L46" s="24" t="n">
        <x:f>'两日价格与决策'!L142</x:f>
        <x:v>0</x:v>
      </x:c>
      <x:c r="M46" s="24" t="n">
        <x:f>'两日价格与决策'!M142</x:f>
        <x:v>100</x:v>
      </x:c>
      <x:c r="N46" s="24" t="n">
        <x:f>'两日价格与决策'!N142</x:f>
        <x:v>100</x:v>
      </x:c>
      <x:c r="O46" s="24" t="n">
        <x:f>'两日价格与决策'!O142</x:f>
        <x:v>0</x:v>
      </x:c>
      <x:c r="P46" s="24" t="n">
        <x:f>'两日价格与决策'!P142</x:f>
        <x:v>16.0615</x:v>
      </x:c>
      <x:c r="Q46" s="25" t="n">
        <x:f>'两日价格与决策'!Q142</x:f>
        <x:v>0</x:v>
      </x:c>
      <x:c r="R46" s="25" t="n">
        <x:f>'两日价格与决策'!R142</x:f>
        <x:v>0</x:v>
      </x:c>
      <x:c r="S46" s="25" t="n">
        <x:f>'两日价格与决策'!S142</x:f>
        <x:v>345.7911984077521</x:v>
      </x:c>
      <x:c r="T46" s="25" t="n">
        <x:f>'两日价格与决策'!T142</x:f>
        <x:v>366.90054482217886</x:v>
      </x:c>
      <x:c r="U46" s="25" t="n">
        <x:f>'两日价格与决策'!U142</x:f>
        <x:v>0</x:v>
      </x:c>
      <x:c r="V46" s="25" t="n">
        <x:f>'两日价格与决策'!V142</x:f>
        <x:v>836.8473866629138</x:v>
      </x:c>
      <x:c r="W46" s="25" t="n">
        <x:f>'两日价格与决策'!W142</x:f>
        <x:v>1549.5391298928448</x:v>
      </x:c>
      <x:c r="X46" s="18" t="n">
        <x:f>'两日价格与决策'!X142</x:f>
        <x:v>1549.5391298928448</x:v>
      </x:c>
      <x:c r="Y46" s="18" t="n">
        <x:f>'两日价格与决策'!Y142</x:f>
        <x:v>0</x:v>
      </x:c>
      <x:c r="Z46" s="18" t="str">
        <x:f>"1月2日执行｜前窗冻结订单"</x:f>
        <x:v>1月2日执行｜前窗冻结订单</x:v>
      </x:c>
      <x:c r="AA46" s="19" t="n">
        <x:f>'两日价格与决策'!AA142</x:f>
        <x:v>1</x:v>
      </x:c>
      <x:c r="AB46" s="19" t="n">
        <x:f>'两日价格与决策'!AB142</x:f>
        <x:v>0</x:v>
      </x:c>
      <x:c r="AC46" s="18" t="n">
        <x:f>'两日价格与决策'!AC142</x:f>
        <x:v>0.25</x:v>
      </x:c>
      <x:c r="AD46" s="20" t="n">
        <x:f>'两日价格与决策'!AD142</x:f>
        <x:v>1</x:v>
      </x:c>
      <x:c r="AE46" s="20" t="n">
        <x:f>'两日价格与决策'!AE142</x:f>
        <x:v>0</x:v>
      </x:c>
      <x:c r="AF46" s="20" t="n">
        <x:f>'两日价格与决策'!AF142</x:f>
        <x:v>0.6424599999999999</x:v>
      </x:c>
      <x:c r="AG46" s="18" t="n">
        <x:f>'两日价格与决策'!AG142</x:f>
        <x:v>200</x:v>
      </x:c>
      <x:c r="AH46" s="18" t="n">
        <x:f>'两日价格与决策'!AH142</x:f>
        <x:v>200</x:v>
      </x:c>
      <x:c r="AI46" s="18" t="n">
        <x:f>'两日价格与决策'!AI142</x:f>
        <x:v>0</x:v>
      </x:c>
      <x:c r="AJ46" s="18" t="n">
        <x:f>'两日价格与决策'!AJ142</x:f>
        <x:v>32.123</x:v>
      </x:c>
      <x:c r="AK46" s="18" t="str">
        <x:f>'两日价格与决策'!AK142</x:f>
        <x:v>缺失</x:v>
      </x:c>
      <x:c r="AL46" s="18" t="n">
        <x:f>'两日价格与决策'!AL142</x:f>
        <x:v>0.04104605555555555</x:v>
      </x:c>
      <x:c r="AM46" s="18" t="n">
        <x:f>'两日价格与决策'!AM142</x:f>
        <x:v>16.0615</x:v>
      </x:c>
      <x:c r="AN46" s="18" t="n">
        <x:f>'两日价格与决策'!AN142</x:f>
        <x:v>0</x:v>
      </x:c>
      <x:c r="AO46" s="18" t="n">
        <x:f>'两日价格与决策'!AO142</x:f>
        <x:v>170.71238173912985</x:v>
      </x:c>
      <x:c r="AP46" s="18" t="n">
        <x:f>'两日价格与决策'!AP142</x:f>
        <x:v>0</x:v>
      </x:c>
      <x:c r="AQ46" s="18" t="n">
        <x:f>'两日价格与决策'!AQ142</x:f>
        <x:v>4.9741</x:v>
      </x:c>
      <x:c r="AR46" s="21" t="n">
        <x:f>'两日价格与决策'!AR142</x:f>
        <x:v>45657</x:v>
      </x:c>
      <x:c r="AS46" s="17" t="n">
        <x:f>'两日价格与决策'!AS142</x:f>
        <x:v>45659.322916666664</x:v>
      </x:c>
      <x:c r="AT46" s="18" t="str">
        <x:f>'两日价格与决策'!AT142</x:f>
        <x:v>2025-01-02_9</x:v>
      </x:c>
      <x:c r="AU46" s="19" t="n">
        <x:f>'两日价格与决策'!AU142</x:f>
        <x:v>60</x:v>
      </x:c>
      <x:c r="AV46" s="18" t="str">
        <x:f>'两日价格与决策'!AV142</x:f>
        <x:v>OK</x:v>
      </x:c>
    </x:row>
    <x:row r="47" ht="21" customHeight="1">
      <x:c r="A47" s="17" t="n">
        <x:f>'两日价格与决策'!A143</x:f>
        <x:v>45659.416666666664</x:v>
      </x:c>
      <x:c r="B47" s="23" t="n">
        <x:f>'两日价格与决策'!B143</x:f>
        <x:v>129.78</x:v>
      </x:c>
      <x:c r="C47" s="23" t="str">
        <x:f>'两日价格与决策'!C143</x:f>
        <x:v>缺失</x:v>
      </x:c>
      <x:c r="D47" s="23" t="n">
        <x:f>'两日价格与决策'!D143</x:f>
        <x:v>13.831647936310086</x:v>
      </x:c>
      <x:c r="E47" s="23" t="n">
        <x:f>'两日价格与决策'!E143</x:f>
        <x:v>14.710198829939085</x:v>
      </x:c>
      <x:c r="F47" s="23" t="n">
        <x:f>'两日价格与决策'!F143</x:f>
        <x:v>0</x:v>
      </x:c>
      <x:c r="G47" s="23" t="n">
        <x:f>'两日价格与决策'!G143</x:f>
        <x:v>8.397499045053378</x:v>
      </x:c>
      <x:c r="H47" s="23" t="str">
        <x:f>'两日价格与决策'!H143</x:f>
        <x:v>未模拟</x:v>
      </x:c>
      <x:c r="I47" s="24" t="n">
        <x:f>'两日价格与决策'!I143</x:f>
        <x:v>170.71238173912985</x:v>
      </x:c>
      <x:c r="J47" s="24" t="n">
        <x:f>'两日价格与决策'!J143</x:f>
        <x:v>173.96688173912986</x:v>
      </x:c>
      <x:c r="K47" s="24" t="n">
        <x:f>'两日价格与决策'!K143</x:f>
        <x:v>0</x:v>
      </x:c>
      <x:c r="L47" s="24" t="n">
        <x:f>'两日价格与决策'!L143</x:f>
        <x:v>0</x:v>
      </x:c>
      <x:c r="M47" s="24" t="n">
        <x:f>'两日价格与决策'!M143</x:f>
        <x:v>100</x:v>
      </x:c>
      <x:c r="N47" s="24" t="n">
        <x:f>'两日价格与决策'!N143</x:f>
        <x:v>100</x:v>
      </x:c>
      <x:c r="O47" s="24" t="n">
        <x:f>'两日价格与决策'!O143</x:f>
        <x:v>0</x:v>
      </x:c>
      <x:c r="P47" s="24" t="n">
        <x:f>'两日价格与决策'!P143</x:f>
        <x:v>3.5375000000000005</x:v>
      </x:c>
      <x:c r="Q47" s="25" t="n">
        <x:f>'两日价格与决策'!Q143</x:f>
        <x:v>0</x:v>
      </x:c>
      <x:c r="R47" s="25" t="n">
        <x:f>'两日价格与决策'!R143</x:f>
        <x:v>0</x:v>
      </x:c>
      <x:c r="S47" s="25" t="n">
        <x:f>'两日价格与决策'!S143</x:f>
        <x:v>345.7911984077521</x:v>
      </x:c>
      <x:c r="T47" s="25" t="n">
        <x:f>'两日价格与决策'!T143</x:f>
        <x:v>367.7549707484771</x:v>
      </x:c>
      <x:c r="U47" s="25" t="n">
        <x:f>'两日价格与决策'!U143</x:f>
        <x:v>0</x:v>
      </x:c>
      <x:c r="V47" s="25" t="n">
        <x:f>'两日价格与决策'!V143</x:f>
        <x:v>-29.706152871876327</x:v>
      </x:c>
      <x:c r="W47" s="25" t="n">
        <x:f>'两日价格与决策'!W143</x:f>
        <x:v>683.8400162843529</x:v>
      </x:c>
      <x:c r="X47" s="18" t="n">
        <x:f>'两日价格与决策'!X143</x:f>
        <x:v>683.8400162843529</x:v>
      </x:c>
      <x:c r="Y47" s="18" t="n">
        <x:f>'两日价格与决策'!Y143</x:f>
        <x:v>0</x:v>
      </x:c>
      <x:c r="Z47" s="18" t="str">
        <x:f>"1月2日执行｜前窗冻结订单"</x:f>
        <x:v>1月2日执行｜前窗冻结订单</x:v>
      </x:c>
      <x:c r="AA47" s="19" t="n">
        <x:f>'两日价格与决策'!AA143</x:f>
        <x:v>1</x:v>
      </x:c>
      <x:c r="AB47" s="19" t="n">
        <x:f>'两日价格与决策'!AB143</x:f>
        <x:v>0</x:v>
      </x:c>
      <x:c r="AC47" s="18" t="n">
        <x:f>'两日价格与决策'!AC143</x:f>
        <x:v>0.25</x:v>
      </x:c>
      <x:c r="AD47" s="20" t="n">
        <x:f>'两日价格与决策'!AD143</x:f>
        <x:v>1</x:v>
      </x:c>
      <x:c r="AE47" s="20" t="n">
        <x:f>'两日价格与决策'!AE143</x:f>
        <x:v>0</x:v>
      </x:c>
      <x:c r="AF47" s="20" t="n">
        <x:f>'两日价格与决策'!AF143</x:f>
        <x:v>0.14150000000000001</x:v>
      </x:c>
      <x:c r="AG47" s="18" t="n">
        <x:f>'两日价格与决策'!AG143</x:f>
        <x:v>200</x:v>
      </x:c>
      <x:c r="AH47" s="18" t="n">
        <x:f>'两日价格与决策'!AH143</x:f>
        <x:v>200</x:v>
      </x:c>
      <x:c r="AI47" s="18" t="n">
        <x:f>'两日价格与决策'!AI143</x:f>
        <x:v>0</x:v>
      </x:c>
      <x:c r="AJ47" s="18" t="n">
        <x:f>'两日价格与决策'!AJ143</x:f>
        <x:v>7.075</x:v>
      </x:c>
      <x:c r="AK47" s="18" t="str">
        <x:f>'两日价格与决策'!AK143</x:f>
        <x:v>缺失</x:v>
      </x:c>
      <x:c r="AL47" s="18" t="n">
        <x:f>'两日价格与决策'!AL143</x:f>
        <x:v>0.009040277777777779</x:v>
      </x:c>
      <x:c r="AM47" s="18" t="n">
        <x:f>'两日价格与决策'!AM143</x:f>
        <x:v>3.5375000000000005</x:v>
      </x:c>
      <x:c r="AN47" s="18" t="n">
        <x:f>'两日价格与决策'!AN143</x:f>
        <x:v>0</x:v>
      </x:c>
      <x:c r="AO47" s="18" t="n">
        <x:f>'两日价格与决策'!AO143</x:f>
        <x:v>173.96688173912986</x:v>
      </x:c>
      <x:c r="AP47" s="18" t="n">
        <x:f>'两日价格与决策'!AP143</x:f>
        <x:v>0</x:v>
      </x:c>
      <x:c r="AQ47" s="18" t="n">
        <x:f>'两日价格与决策'!AQ143</x:f>
        <x:v>4.9741</x:v>
      </x:c>
      <x:c r="AR47" s="21" t="n">
        <x:f>'两日价格与决策'!AR143</x:f>
        <x:v>45657</x:v>
      </x:c>
      <x:c r="AS47" s="17" t="n">
        <x:f>'两日价格与决策'!AS143</x:f>
        <x:v>45659.333333333336</x:v>
      </x:c>
      <x:c r="AT47" s="18" t="str">
        <x:f>'两日价格与决策'!AT143</x:f>
        <x:v>2025-01-02_10</x:v>
      </x:c>
      <x:c r="AU47" s="19" t="n">
        <x:f>'两日价格与决策'!AU143</x:f>
        <x:v>60</x:v>
      </x:c>
      <x:c r="AV47" s="18" t="str">
        <x:f>'两日价格与决策'!AV143</x:f>
        <x:v>OK</x:v>
      </x:c>
    </x:row>
    <x:row r="48" ht="21" customHeight="1">
      <x:c r="A48" s="17" t="n">
        <x:f>'两日价格与决策'!A144</x:f>
        <x:v>45659.427083333336</x:v>
      </x:c>
      <x:c r="B48" s="23" t="n">
        <x:f>'两日价格与决策'!B144</x:f>
        <x:v>129.78</x:v>
      </x:c>
      <x:c r="C48" s="23" t="str">
        <x:f>'两日价格与决策'!C144</x:f>
        <x:v>缺失</x:v>
      </x:c>
      <x:c r="D48" s="23" t="n">
        <x:f>'两日价格与决策'!D144</x:f>
        <x:v>13.831647936310086</x:v>
      </x:c>
      <x:c r="E48" s="23" t="n">
        <x:f>'两日价格与决策'!E144</x:f>
        <x:v>14.710198829939085</x:v>
      </x:c>
      <x:c r="F48" s="23" t="n">
        <x:f>'两日价格与决策'!F144</x:f>
        <x:v>0</x:v>
      </x:c>
      <x:c r="G48" s="23" t="n">
        <x:f>'两日价格与决策'!G144</x:f>
        <x:v>25.69248708309041</x:v>
      </x:c>
      <x:c r="H48" s="23" t="str">
        <x:f>'两日价格与决策'!H144</x:f>
        <x:v>未模拟</x:v>
      </x:c>
      <x:c r="I48" s="24" t="n">
        <x:f>'两日价格与决策'!I144</x:f>
        <x:v>173.96688173912986</x:v>
      </x:c>
      <x:c r="J48" s="24" t="n">
        <x:f>'两日价格与决策'!J144</x:f>
        <x:v>174.87216173912987</x:v>
      </x:c>
      <x:c r="K48" s="24" t="n">
        <x:f>'两日价格与决策'!K144</x:f>
        <x:v>0</x:v>
      </x:c>
      <x:c r="L48" s="24" t="n">
        <x:f>'两日价格与决策'!L144</x:f>
        <x:v>0</x:v>
      </x:c>
      <x:c r="M48" s="24" t="n">
        <x:f>'两日价格与决策'!M144</x:f>
        <x:v>100</x:v>
      </x:c>
      <x:c r="N48" s="24" t="n">
        <x:f>'两日价格与决策'!N144</x:f>
        <x:v>100</x:v>
      </x:c>
      <x:c r="O48" s="24" t="n">
        <x:f>'两日价格与决策'!O144</x:f>
        <x:v>0</x:v>
      </x:c>
      <x:c r="P48" s="24" t="n">
        <x:f>'两日价格与决策'!P144</x:f>
        <x:v>0.984</x:v>
      </x:c>
      <x:c r="Q48" s="25" t="n">
        <x:f>'两日价格与决策'!Q144</x:f>
        <x:v>0</x:v>
      </x:c>
      <x:c r="R48" s="25" t="n">
        <x:f>'两日价格与决策'!R144</x:f>
        <x:v>0</x:v>
      </x:c>
      <x:c r="S48" s="25" t="n">
        <x:f>'两日价格与决策'!S144</x:f>
        <x:v>345.7911984077521</x:v>
      </x:c>
      <x:c r="T48" s="25" t="n">
        <x:f>'两日价格与决策'!T144</x:f>
        <x:v>367.7549707484771</x:v>
      </x:c>
      <x:c r="U48" s="25" t="n">
        <x:f>'两日价格与决策'!U144</x:f>
        <x:v>0</x:v>
      </x:c>
      <x:c r="V48" s="25" t="n">
        <x:f>'两日价格与决策'!V144</x:f>
        <x:v>-25.281407289760963</x:v>
      </x:c>
      <x:c r="W48" s="25" t="n">
        <x:f>'两日价格与决策'!W144</x:f>
        <x:v>688.2647618664682</x:v>
      </x:c>
      <x:c r="X48" s="18" t="n">
        <x:f>'两日价格与决策'!X144</x:f>
        <x:v>688.2647618664682</x:v>
      </x:c>
      <x:c r="Y48" s="18" t="n">
        <x:f>'两日价格与决策'!Y144</x:f>
        <x:v>0</x:v>
      </x:c>
      <x:c r="Z48" s="18" t="str">
        <x:f>"1月2日执行｜前窗冻结订单"</x:f>
        <x:v>1月2日执行｜前窗冻结订单</x:v>
      </x:c>
      <x:c r="AA48" s="19" t="n">
        <x:f>'两日价格与决策'!AA144</x:f>
        <x:v>1</x:v>
      </x:c>
      <x:c r="AB48" s="19" t="n">
        <x:f>'两日价格与决策'!AB144</x:f>
        <x:v>0</x:v>
      </x:c>
      <x:c r="AC48" s="18" t="n">
        <x:f>'两日价格与决策'!AC144</x:f>
        <x:v>0.25</x:v>
      </x:c>
      <x:c r="AD48" s="20" t="n">
        <x:f>'两日价格与决策'!AD144</x:f>
        <x:v>1</x:v>
      </x:c>
      <x:c r="AE48" s="20" t="n">
        <x:f>'两日价格与决策'!AE144</x:f>
        <x:v>0</x:v>
      </x:c>
      <x:c r="AF48" s="20" t="n">
        <x:f>'两日价格与决策'!AF144</x:f>
        <x:v>0.03936</x:v>
      </x:c>
      <x:c r="AG48" s="18" t="n">
        <x:f>'两日价格与决策'!AG144</x:f>
        <x:v>200</x:v>
      </x:c>
      <x:c r="AH48" s="18" t="n">
        <x:f>'两日价格与决策'!AH144</x:f>
        <x:v>200</x:v>
      </x:c>
      <x:c r="AI48" s="18" t="n">
        <x:f>'两日价格与决策'!AI144</x:f>
        <x:v>0</x:v>
      </x:c>
      <x:c r="AJ48" s="18" t="n">
        <x:f>'两日价格与决策'!AJ144</x:f>
        <x:v>1.968</x:v>
      </x:c>
      <x:c r="AK48" s="18" t="str">
        <x:f>'两日价格与决策'!AK144</x:f>
        <x:v>缺失</x:v>
      </x:c>
      <x:c r="AL48" s="18" t="n">
        <x:f>'两日价格与决策'!AL144</x:f>
        <x:v>0.002514666666666667</x:v>
      </x:c>
      <x:c r="AM48" s="18" t="n">
        <x:f>'两日价格与决策'!AM144</x:f>
        <x:v>0.984</x:v>
      </x:c>
      <x:c r="AN48" s="18" t="n">
        <x:f>'两日价格与决策'!AN144</x:f>
        <x:v>0</x:v>
      </x:c>
      <x:c r="AO48" s="18" t="n">
        <x:f>'两日价格与决策'!AO144</x:f>
        <x:v>174.87216173912987</x:v>
      </x:c>
      <x:c r="AP48" s="18" t="n">
        <x:f>'两日价格与决策'!AP144</x:f>
        <x:v>0</x:v>
      </x:c>
      <x:c r="AQ48" s="18" t="n">
        <x:f>'两日价格与决策'!AQ144</x:f>
        <x:v>4.9741</x:v>
      </x:c>
      <x:c r="AR48" s="21" t="n">
        <x:f>'两日价格与决策'!AR144</x:f>
        <x:v>45657</x:v>
      </x:c>
      <x:c r="AS48" s="17" t="n">
        <x:f>'两日价格与决策'!AS144</x:f>
        <x:v>45659.34375</x:v>
      </x:c>
      <x:c r="AT48" s="18" t="str">
        <x:f>'两日价格与决策'!AT144</x:f>
        <x:v>2025-01-02_10</x:v>
      </x:c>
      <x:c r="AU48" s="19" t="n">
        <x:f>'两日价格与决策'!AU144</x:f>
        <x:v>60</x:v>
      </x:c>
      <x:c r="AV48" s="18" t="str">
        <x:f>'两日价格与决策'!AV144</x:f>
        <x:v>OK</x:v>
      </x:c>
    </x:row>
    <x:row r="49" ht="21" customHeight="1">
      <x:c r="A49" s="17" t="n">
        <x:f>'两日价格与决策'!A145</x:f>
        <x:v>45659.4375</x:v>
      </x:c>
      <x:c r="B49" s="23" t="n">
        <x:f>'两日价格与决策'!B145</x:f>
        <x:v>129.78</x:v>
      </x:c>
      <x:c r="C49" s="23" t="str">
        <x:f>'两日价格与决策'!C145</x:f>
        <x:v>缺失</x:v>
      </x:c>
      <x:c r="D49" s="23" t="n">
        <x:f>'两日价格与决策'!D145</x:f>
        <x:v>13.831647936310086</x:v>
      </x:c>
      <x:c r="E49" s="23" t="n">
        <x:f>'两日价格与决策'!E145</x:f>
        <x:v>14.710198829939085</x:v>
      </x:c>
      <x:c r="F49" s="23" t="n">
        <x:f>'两日价格与决策'!F145</x:f>
        <x:v>0</x:v>
      </x:c>
      <x:c r="G49" s="23" t="n">
        <x:f>'两日价格与决策'!G145</x:f>
        <x:v>20.759735429524937</x:v>
      </x:c>
      <x:c r="H49" s="23" t="str">
        <x:f>'两日价格与决策'!H145</x:f>
        <x:v>未模拟</x:v>
      </x:c>
      <x:c r="I49" s="24" t="n">
        <x:f>'两日价格与决策'!I145</x:f>
        <x:v>174.87216173912987</x:v>
      </x:c>
      <x:c r="J49" s="24" t="n">
        <x:f>'两日价格与决策'!J145</x:f>
        <x:v>176.61234173912987</x:v>
      </x:c>
      <x:c r="K49" s="24" t="n">
        <x:f>'两日价格与决策'!K145</x:f>
        <x:v>0</x:v>
      </x:c>
      <x:c r="L49" s="24" t="n">
        <x:f>'两日价格与决策'!L145</x:f>
        <x:v>0</x:v>
      </x:c>
      <x:c r="M49" s="24" t="n">
        <x:f>'两日价格与决策'!M145</x:f>
        <x:v>100</x:v>
      </x:c>
      <x:c r="N49" s="24" t="n">
        <x:f>'两日价格与决策'!N145</x:f>
        <x:v>100</x:v>
      </x:c>
      <x:c r="O49" s="24" t="n">
        <x:f>'两日价格与决策'!O145</x:f>
        <x:v>0</x:v>
      </x:c>
      <x:c r="P49" s="24" t="n">
        <x:f>'两日价格与决策'!P145</x:f>
        <x:v>1.8915000000000002</x:v>
      </x:c>
      <x:c r="Q49" s="25" t="n">
        <x:f>'两日价格与决策'!Q145</x:f>
        <x:v>0</x:v>
      </x:c>
      <x:c r="R49" s="25" t="n">
        <x:f>'两日价格与决策'!R145</x:f>
        <x:v>0</x:v>
      </x:c>
      <x:c r="S49" s="25" t="n">
        <x:f>'两日价格与决策'!S145</x:f>
        <x:v>345.7911984077521</x:v>
      </x:c>
      <x:c r="T49" s="25" t="n">
        <x:f>'两日价格与决策'!T145</x:f>
        <x:v>367.7549707484771</x:v>
      </x:c>
      <x:c r="U49" s="25" t="n">
        <x:f>'两日价格与决策'!U145</x:f>
        <x:v>0</x:v>
      </x:c>
      <x:c r="V49" s="25" t="n">
        <x:f>'两日价格与决策'!V145</x:f>
        <x:v>-39.26703956494642</x:v>
      </x:c>
      <x:c r="W49" s="25" t="n">
        <x:f>'两日价格与决策'!W145</x:f>
        <x:v>674.2791295912828</x:v>
      </x:c>
      <x:c r="X49" s="18" t="n">
        <x:f>'两日价格与决策'!X145</x:f>
        <x:v>674.2791295912828</x:v>
      </x:c>
      <x:c r="Y49" s="18" t="n">
        <x:f>'两日价格与决策'!Y145</x:f>
        <x:v>0</x:v>
      </x:c>
      <x:c r="Z49" s="18" t="str">
        <x:f>"1月2日执行｜前窗冻结订单"</x:f>
        <x:v>1月2日执行｜前窗冻结订单</x:v>
      </x:c>
      <x:c r="AA49" s="19" t="n">
        <x:f>'两日价格与决策'!AA145</x:f>
        <x:v>1</x:v>
      </x:c>
      <x:c r="AB49" s="19" t="n">
        <x:f>'两日价格与决策'!AB145</x:f>
        <x:v>0</x:v>
      </x:c>
      <x:c r="AC49" s="18" t="n">
        <x:f>'两日价格与决策'!AC145</x:f>
        <x:v>0.25</x:v>
      </x:c>
      <x:c r="AD49" s="20" t="n">
        <x:f>'两日价格与决策'!AD145</x:f>
        <x:v>1</x:v>
      </x:c>
      <x:c r="AE49" s="20" t="n">
        <x:f>'两日价格与决策'!AE145</x:f>
        <x:v>0</x:v>
      </x:c>
      <x:c r="AF49" s="20" t="n">
        <x:f>'两日价格与决策'!AF145</x:f>
        <x:v>0.07566</x:v>
      </x:c>
      <x:c r="AG49" s="18" t="n">
        <x:f>'两日价格与决策'!AG145</x:f>
        <x:v>200</x:v>
      </x:c>
      <x:c r="AH49" s="18" t="n">
        <x:f>'两日价格与决策'!AH145</x:f>
        <x:v>200</x:v>
      </x:c>
      <x:c r="AI49" s="18" t="n">
        <x:f>'两日价格与决策'!AI145</x:f>
        <x:v>0</x:v>
      </x:c>
      <x:c r="AJ49" s="18" t="n">
        <x:f>'两日价格与决策'!AJ145</x:f>
        <x:v>3.783</x:v>
      </x:c>
      <x:c r="AK49" s="18" t="str">
        <x:f>'两日价格与决策'!AK145</x:f>
        <x:v>缺失</x:v>
      </x:c>
      <x:c r="AL49" s="18" t="n">
        <x:f>'两日价格与决策'!AL145</x:f>
        <x:v>0.004833833333333333</x:v>
      </x:c>
      <x:c r="AM49" s="18" t="n">
        <x:f>'两日价格与决策'!AM145</x:f>
        <x:v>1.8915000000000002</x:v>
      </x:c>
      <x:c r="AN49" s="18" t="n">
        <x:f>'两日价格与决策'!AN145</x:f>
        <x:v>0</x:v>
      </x:c>
      <x:c r="AO49" s="18" t="n">
        <x:f>'两日价格与决策'!AO145</x:f>
        <x:v>176.61234173912987</x:v>
      </x:c>
      <x:c r="AP49" s="18" t="n">
        <x:f>'两日价格与决策'!AP145</x:f>
        <x:v>0</x:v>
      </x:c>
      <x:c r="AQ49" s="18" t="n">
        <x:f>'两日价格与决策'!AQ145</x:f>
        <x:v>4.9741</x:v>
      </x:c>
      <x:c r="AR49" s="21" t="n">
        <x:f>'两日价格与决策'!AR145</x:f>
        <x:v>45657</x:v>
      </x:c>
      <x:c r="AS49" s="17" t="n">
        <x:f>'两日价格与决策'!AS145</x:f>
        <x:v>45659.354166666664</x:v>
      </x:c>
      <x:c r="AT49" s="18" t="str">
        <x:f>'两日价格与决策'!AT145</x:f>
        <x:v>2025-01-02_10</x:v>
      </x:c>
      <x:c r="AU49" s="19" t="n">
        <x:f>'两日价格与决策'!AU145</x:f>
        <x:v>60</x:v>
      </x:c>
      <x:c r="AV49" s="18" t="str">
        <x:f>'两日价格与决策'!AV145</x:f>
        <x:v>OK</x:v>
      </x:c>
    </x:row>
    <x:row r="50" ht="21" customHeight="1">
      <x:c r="A50" s="17" t="n">
        <x:f>'两日价格与决策'!A146</x:f>
        <x:v>45659.447916666664</x:v>
      </x:c>
      <x:c r="B50" s="23" t="n">
        <x:f>'两日价格与决策'!B146</x:f>
        <x:v>129.78</x:v>
      </x:c>
      <x:c r="C50" s="23" t="str">
        <x:f>'两日价格与决策'!C146</x:f>
        <x:v>缺失</x:v>
      </x:c>
      <x:c r="D50" s="23" t="n">
        <x:f>'两日价格与决策'!D146</x:f>
        <x:v>13.831647936310086</x:v>
      </x:c>
      <x:c r="E50" s="23" t="n">
        <x:f>'两日价格与决策'!E146</x:f>
        <x:v>14.710198829939085</x:v>
      </x:c>
      <x:c r="F50" s="23" t="n">
        <x:f>'两日价格与决策'!F146</x:f>
        <x:v>0</x:v>
      </x:c>
      <x:c r="G50" s="23" t="n">
        <x:f>'两日价格与决策'!G146</x:f>
        <x:v>19.618423433384933</x:v>
      </x:c>
      <x:c r="H50" s="23" t="str">
        <x:f>'两日价格与决策'!H146</x:f>
        <x:v>未模拟</x:v>
      </x:c>
      <x:c r="I50" s="24" t="n">
        <x:f>'两日价格与决策'!I146</x:f>
        <x:v>176.61234173912987</x:v>
      </x:c>
      <x:c r="J50" s="24" t="n">
        <x:f>'两日价格与决策'!J146</x:f>
        <x:v>178.45740173912986</x:v>
      </x:c>
      <x:c r="K50" s="24" t="n">
        <x:f>'两日价格与决策'!K146</x:f>
        <x:v>0</x:v>
      </x:c>
      <x:c r="L50" s="24" t="n">
        <x:f>'两日价格与决策'!L146</x:f>
        <x:v>0</x:v>
      </x:c>
      <x:c r="M50" s="24" t="n">
        <x:f>'两日价格与决策'!M146</x:f>
        <x:v>100</x:v>
      </x:c>
      <x:c r="N50" s="24" t="n">
        <x:f>'两日价格与决策'!N146</x:f>
        <x:v>100</x:v>
      </x:c>
      <x:c r="O50" s="24" t="n">
        <x:f>'两日价格与决策'!O146</x:f>
        <x:v>0</x:v>
      </x:c>
      <x:c r="P50" s="24" t="n">
        <x:f>'两日价格与决策'!P146</x:f>
        <x:v>2.0055</x:v>
      </x:c>
      <x:c r="Q50" s="25" t="n">
        <x:f>'两日价格与决策'!Q146</x:f>
        <x:v>0</x:v>
      </x:c>
      <x:c r="R50" s="25" t="n">
        <x:f>'两日价格与决策'!R146</x:f>
        <x:v>0</x:v>
      </x:c>
      <x:c r="S50" s="25" t="n">
        <x:f>'两日价格与决策'!S146</x:f>
        <x:v>345.7911984077521</x:v>
      </x:c>
      <x:c r="T50" s="25" t="n">
        <x:f>'两日价格与决策'!T146</x:f>
        <x:v>367.7549707484771</x:v>
      </x:c>
      <x:c r="U50" s="25" t="n">
        <x:f>'两日价格与决策'!U146</x:f>
        <x:v>0</x:v>
      </x:c>
      <x:c r="V50" s="25" t="n">
        <x:f>'两日价格与决策'!V146</x:f>
        <x:v>-39.34474819565349</x:v>
      </x:c>
      <x:c r="W50" s="25" t="n">
        <x:f>'两日价格与决策'!W146</x:f>
        <x:v>674.2014209605758</x:v>
      </x:c>
      <x:c r="X50" s="18" t="n">
        <x:f>'两日价格与决策'!X146</x:f>
        <x:v>674.2014209605758</x:v>
      </x:c>
      <x:c r="Y50" s="18" t="n">
        <x:f>'两日价格与决策'!Y146</x:f>
        <x:v>0</x:v>
      </x:c>
      <x:c r="Z50" s="18" t="str">
        <x:f>"1月2日执行｜前窗冻结订单"</x:f>
        <x:v>1月2日执行｜前窗冻结订单</x:v>
      </x:c>
      <x:c r="AA50" s="19" t="n">
        <x:f>'两日价格与决策'!AA146</x:f>
        <x:v>1</x:v>
      </x:c>
      <x:c r="AB50" s="19" t="n">
        <x:f>'两日价格与决策'!AB146</x:f>
        <x:v>0</x:v>
      </x:c>
      <x:c r="AC50" s="18" t="n">
        <x:f>'两日价格与决策'!AC146</x:f>
        <x:v>0.25</x:v>
      </x:c>
      <x:c r="AD50" s="20" t="n">
        <x:f>'两日价格与决策'!AD146</x:f>
        <x:v>1</x:v>
      </x:c>
      <x:c r="AE50" s="20" t="n">
        <x:f>'两日价格与决策'!AE146</x:f>
        <x:v>0</x:v>
      </x:c>
      <x:c r="AF50" s="20" t="n">
        <x:f>'两日价格与决策'!AF146</x:f>
        <x:v>0.08022</x:v>
      </x:c>
      <x:c r="AG50" s="18" t="n">
        <x:f>'两日价格与决策'!AG146</x:f>
        <x:v>200</x:v>
      </x:c>
      <x:c r="AH50" s="18" t="n">
        <x:f>'两日价格与决策'!AH146</x:f>
        <x:v>200</x:v>
      </x:c>
      <x:c r="AI50" s="18" t="n">
        <x:f>'两日价格与决策'!AI146</x:f>
        <x:v>0</x:v>
      </x:c>
      <x:c r="AJ50" s="18" t="n">
        <x:f>'两日价格与决策'!AJ146</x:f>
        <x:v>4.011</x:v>
      </x:c>
      <x:c r="AK50" s="18" t="str">
        <x:f>'两日价格与决策'!AK146</x:f>
        <x:v>缺失</x:v>
      </x:c>
      <x:c r="AL50" s="18" t="n">
        <x:f>'两日价格与决策'!AL146</x:f>
        <x:v>0.005125166666666667</x:v>
      </x:c>
      <x:c r="AM50" s="18" t="n">
        <x:f>'两日价格与决策'!AM146</x:f>
        <x:v>2.0055</x:v>
      </x:c>
      <x:c r="AN50" s="18" t="n">
        <x:f>'两日价格与决策'!AN146</x:f>
        <x:v>0</x:v>
      </x:c>
      <x:c r="AO50" s="18" t="n">
        <x:f>'两日价格与决策'!AO146</x:f>
        <x:v>178.45740173912986</x:v>
      </x:c>
      <x:c r="AP50" s="18" t="n">
        <x:f>'两日价格与决策'!AP146</x:f>
        <x:v>0</x:v>
      </x:c>
      <x:c r="AQ50" s="18" t="n">
        <x:f>'两日价格与决策'!AQ146</x:f>
        <x:v>4.9741</x:v>
      </x:c>
      <x:c r="AR50" s="21" t="n">
        <x:f>'两日价格与决策'!AR146</x:f>
        <x:v>45657</x:v>
      </x:c>
      <x:c r="AS50" s="17" t="n">
        <x:f>'两日价格与决策'!AS146</x:f>
        <x:v>45659.364583333336</x:v>
      </x:c>
      <x:c r="AT50" s="18" t="str">
        <x:f>'两日价格与决策'!AT146</x:f>
        <x:v>2025-01-02_10</x:v>
      </x:c>
      <x:c r="AU50" s="19" t="n">
        <x:f>'两日价格与决策'!AU146</x:f>
        <x:v>60</x:v>
      </x:c>
      <x:c r="AV50" s="18" t="str">
        <x:f>'两日价格与决策'!AV146</x:f>
        <x:v>OK</x:v>
      </x:c>
    </x:row>
    <x:row r="51" ht="21" customHeight="1">
      <x:c r="A51" s="17" t="n">
        <x:f>'两日价格与决策'!A147</x:f>
        <x:v>45659.458333333336</x:v>
      </x:c>
      <x:c r="B51" s="23" t="n">
        <x:f>'两日价格与决策'!B147</x:f>
        <x:v>128.35</x:v>
      </x:c>
      <x:c r="C51" s="23" t="str">
        <x:f>'两日价格与决策'!C147</x:f>
        <x:v>缺失</x:v>
      </x:c>
      <x:c r="D51" s="23" t="n">
        <x:f>'两日价格与决策'!D147</x:f>
        <x:v>13.71102309965622</x:v>
      </x:c>
      <x:c r="E51" s="23" t="n">
        <x:f>'两日价格与决策'!E147</x:f>
        <x:v>14.710198829939085</x:v>
      </x:c>
      <x:c r="F51" s="23" t="n">
        <x:f>'两日价格与决策'!F147</x:f>
        <x:v>134.45748979714924</x:v>
      </x:c>
      <x:c r="G51" s="23" t="n">
        <x:f>'两日价格与决策'!G147</x:f>
        <x:v>0</x:v>
      </x:c>
      <x:c r="H51" s="23" t="str">
        <x:f>'两日价格与决策'!H147</x:f>
        <x:v>未模拟</x:v>
      </x:c>
      <x:c r="I51" s="24" t="n">
        <x:f>'两日价格与决策'!I147</x:f>
        <x:v>178.45740173912986</x:v>
      </x:c>
      <x:c r="J51" s="24" t="n">
        <x:f>'两日价格与决策'!J147</x:f>
        <x:v>177.79327130434726</x:v>
      </x:c>
      <x:c r="K51" s="24" t="n">
        <x:f>'两日价格与决策'!K147</x:f>
        <x:v>0</x:v>
      </x:c>
      <x:c r="L51" s="24" t="n">
        <x:f>'两日价格与决策'!L147</x:f>
        <x:v>0</x:v>
      </x:c>
      <x:c r="M51" s="24" t="n">
        <x:f>'两日价格与决策'!M147</x:f>
        <x:v>100</x:v>
      </x:c>
      <x:c r="N51" s="24" t="n">
        <x:f>'两日价格与决策'!N147</x:f>
        <x:v>100</x:v>
      </x:c>
      <x:c r="O51" s="24" t="n">
        <x:f>'两日价格与决策'!O147</x:f>
        <x:v>0.611</x:v>
      </x:c>
      <x:c r="P51" s="24" t="n">
        <x:f>'两日价格与决策'!P147</x:f>
        <x:v>0</x:v>
      </x:c>
      <x:c r="Q51" s="25" t="n">
        <x:f>'两日价格与决策'!Q147</x:f>
        <x:v>0</x:v>
      </x:c>
      <x:c r="R51" s="25" t="n">
        <x:f>'两日价格与决策'!R147</x:f>
        <x:v>0</x:v>
      </x:c>
      <x:c r="S51" s="25" t="n">
        <x:f>'两日价格与决策'!S147</x:f>
        <x:v>342.7755774914055</x:v>
      </x:c>
      <x:c r="T51" s="25" t="n">
        <x:f>'两日价格与决策'!T147</x:f>
        <x:v>367.7549707484771</x:v>
      </x:c>
      <x:c r="U51" s="25" t="n">
        <x:f>'两日价格与决策'!U147</x:f>
        <x:v>82.15352626605818</x:v>
      </x:c>
      <x:c r="V51" s="25" t="n">
        <x:f>'两日价格与决策'!V147</x:f>
        <x:v>0</x:v>
      </x:c>
      <x:c r="W51" s="25" t="n">
        <x:f>'两日价格与决策'!W147</x:f>
        <x:v>792.6840745059408</x:v>
      </x:c>
      <x:c r="X51" s="18" t="n">
        <x:f>'两日价格与决策'!X147</x:f>
        <x:v>792.6840745059408</x:v>
      </x:c>
      <x:c r="Y51" s="18" t="n">
        <x:f>'两日价格与决策'!Y147</x:f>
        <x:v>0</x:v>
      </x:c>
      <x:c r="Z51" s="18" t="str">
        <x:f>"1月2日执行｜前窗冻结订单"</x:f>
        <x:v>1月2日执行｜前窗冻结订单</x:v>
      </x:c>
      <x:c r="AA51" s="19" t="n">
        <x:f>'两日价格与决策'!AA147</x:f>
        <x:v>1</x:v>
      </x:c>
      <x:c r="AB51" s="19" t="n">
        <x:f>'两日价格与决策'!AB147</x:f>
        <x:v>0</x:v>
      </x:c>
      <x:c r="AC51" s="18" t="n">
        <x:f>'两日价格与决策'!AC147</x:f>
        <x:v>0.25</x:v>
      </x:c>
      <x:c r="AD51" s="20" t="n">
        <x:f>'两日价格与决策'!AD147</x:f>
        <x:v>1</x:v>
      </x:c>
      <x:c r="AE51" s="20" t="n">
        <x:f>'两日价格与决策'!AE147</x:f>
        <x:v>0.02444</x:v>
      </x:c>
      <x:c r="AF51" s="20" t="n">
        <x:f>'两日价格与决策'!AF147</x:f>
        <x:v>0</x:v>
      </x:c>
      <x:c r="AG51" s="18" t="n">
        <x:f>'两日价格与决策'!AG147</x:f>
        <x:v>200</x:v>
      </x:c>
      <x:c r="AH51" s="18" t="n">
        <x:f>'两日价格与决策'!AH147</x:f>
        <x:v>200</x:v>
      </x:c>
      <x:c r="AI51" s="18" t="n">
        <x:f>'两日价格与决策'!AI147</x:f>
        <x:v>1.222</x:v>
      </x:c>
      <x:c r="AJ51" s="18" t="n">
        <x:f>'两日价格与决策'!AJ147</x:f>
        <x:v>0</x:v>
      </x:c>
      <x:c r="AK51" s="18" t="str">
        <x:f>'两日价格与决策'!AK147</x:f>
        <x:v>缺失</x:v>
      </x:c>
      <x:c r="AL51" s="18" t="n">
        <x:f>'两日价格与决策'!AL147</x:f>
        <x:v>0.0018448067632850238</x:v>
      </x:c>
      <x:c r="AM51" s="18" t="n">
        <x:f>'两日价格与决策'!AM147</x:f>
        <x:v>0</x:v>
      </x:c>
      <x:c r="AN51" s="18" t="n">
        <x:f>'两日价格与决策'!AN147</x:f>
        <x:v>0.611</x:v>
      </x:c>
      <x:c r="AO51" s="18" t="n">
        <x:f>'两日价格与决策'!AO147</x:f>
        <x:v>177.79327130434726</x:v>
      </x:c>
      <x:c r="AP51" s="18" t="n">
        <x:f>'两日价格与决策'!AP147</x:f>
        <x:v>0</x:v>
      </x:c>
      <x:c r="AQ51" s="18" t="n">
        <x:f>'两日价格与决策'!AQ147</x:f>
        <x:v>4.9741</x:v>
      </x:c>
      <x:c r="AR51" s="21" t="n">
        <x:f>'两日价格与决策'!AR147</x:f>
        <x:v>45657</x:v>
      </x:c>
      <x:c r="AS51" s="17" t="n">
        <x:f>'两日价格与决策'!AS147</x:f>
        <x:v>45659.375</x:v>
      </x:c>
      <x:c r="AT51" s="18" t="str">
        <x:f>'两日价格与决策'!AT147</x:f>
        <x:v>2025-01-02_11</x:v>
      </x:c>
      <x:c r="AU51" s="19" t="n">
        <x:f>'两日价格与决策'!AU147</x:f>
        <x:v>60</x:v>
      </x:c>
      <x:c r="AV51" s="18" t="str">
        <x:f>'两日价格与决策'!AV147</x:f>
        <x:v>OK</x:v>
      </x:c>
    </x:row>
    <x:row r="52" ht="21" customHeight="1">
      <x:c r="A52" s="17" t="n">
        <x:f>'两日价格与决策'!A148</x:f>
        <x:v>45659.46875</x:v>
      </x:c>
      <x:c r="B52" s="23" t="n">
        <x:f>'两日价格与决策'!B148</x:f>
        <x:v>128.35</x:v>
      </x:c>
      <x:c r="C52" s="23" t="str">
        <x:f>'两日价格与决策'!C148</x:f>
        <x:v>缺失</x:v>
      </x:c>
      <x:c r="D52" s="23" t="n">
        <x:f>'两日价格与决策'!D148</x:f>
        <x:v>13.71102309965622</x:v>
      </x:c>
      <x:c r="E52" s="23" t="n">
        <x:f>'两日价格与决策'!E148</x:f>
        <x:v>14.710198829939085</x:v>
      </x:c>
      <x:c r="F52" s="23" t="n">
        <x:f>'两日价格与决策'!F148</x:f>
        <x:v>0</x:v>
      </x:c>
      <x:c r="G52" s="23" t="n">
        <x:f>'两日价格与决策'!G148</x:f>
        <x:v>26.47373394181862</x:v>
      </x:c>
      <x:c r="H52" s="23" t="str">
        <x:f>'两日价格与决策'!H148</x:f>
        <x:v>未模拟</x:v>
      </x:c>
      <x:c r="I52" s="24" t="n">
        <x:f>'两日价格与决策'!I148</x:f>
        <x:v>177.79327130434726</x:v>
      </x:c>
      <x:c r="J52" s="24" t="n">
        <x:f>'两日价格与决策'!J148</x:f>
        <x:v>178.31813130434725</x:v>
      </x:c>
      <x:c r="K52" s="24" t="n">
        <x:f>'两日价格与决策'!K148</x:f>
        <x:v>0</x:v>
      </x:c>
      <x:c r="L52" s="24" t="n">
        <x:f>'两日价格与决策'!L148</x:f>
        <x:v>0</x:v>
      </x:c>
      <x:c r="M52" s="24" t="n">
        <x:f>'两日价格与决策'!M148</x:f>
        <x:v>100</x:v>
      </x:c>
      <x:c r="N52" s="24" t="n">
        <x:f>'两日价格与决策'!N148</x:f>
        <x:v>100</x:v>
      </x:c>
      <x:c r="O52" s="24" t="n">
        <x:f>'两日价格与决策'!O148</x:f>
        <x:v>0</x:v>
      </x:c>
      <x:c r="P52" s="24" t="n">
        <x:f>'两日价格与决策'!P148</x:f>
        <x:v>0.5705</x:v>
      </x:c>
      <x:c r="Q52" s="25" t="n">
        <x:f>'两日价格与决策'!Q148</x:f>
        <x:v>0</x:v>
      </x:c>
      <x:c r="R52" s="25" t="n">
        <x:f>'两日价格与决策'!R148</x:f>
        <x:v>0</x:v>
      </x:c>
      <x:c r="S52" s="25" t="n">
        <x:f>'两日价格与决策'!S148</x:f>
        <x:v>342.7755774914055</x:v>
      </x:c>
      <x:c r="T52" s="25" t="n">
        <x:f>'两日价格与决策'!T148</x:f>
        <x:v>367.7549707484771</x:v>
      </x:c>
      <x:c r="U52" s="25" t="n">
        <x:f>'两日价格与决策'!U148</x:f>
        <x:v>0</x:v>
      </x:c>
      <x:c r="V52" s="25" t="n">
        <x:f>'两日价格与决策'!V148</x:f>
        <x:v>-15.103265213807521</x:v>
      </x:c>
      <x:c r="W52" s="25" t="n">
        <x:f>'两日价格与决策'!W148</x:f>
        <x:v>695.4272830260751</x:v>
      </x:c>
      <x:c r="X52" s="18" t="n">
        <x:f>'两日价格与决策'!X148</x:f>
        <x:v>695.4272830260751</x:v>
      </x:c>
      <x:c r="Y52" s="18" t="n">
        <x:f>'两日价格与决策'!Y148</x:f>
        <x:v>0</x:v>
      </x:c>
      <x:c r="Z52" s="18" t="str">
        <x:f>"1月2日执行｜前窗冻结订单"</x:f>
        <x:v>1月2日执行｜前窗冻结订单</x:v>
      </x:c>
      <x:c r="AA52" s="19" t="n">
        <x:f>'两日价格与决策'!AA148</x:f>
        <x:v>1</x:v>
      </x:c>
      <x:c r="AB52" s="19" t="n">
        <x:f>'两日价格与决策'!AB148</x:f>
        <x:v>0</x:v>
      </x:c>
      <x:c r="AC52" s="18" t="n">
        <x:f>'两日价格与决策'!AC148</x:f>
        <x:v>0.25</x:v>
      </x:c>
      <x:c r="AD52" s="20" t="n">
        <x:f>'两日价格与决策'!AD148</x:f>
        <x:v>1</x:v>
      </x:c>
      <x:c r="AE52" s="20" t="n">
        <x:f>'两日价格与决策'!AE148</x:f>
        <x:v>0</x:v>
      </x:c>
      <x:c r="AF52" s="20" t="n">
        <x:f>'两日价格与决策'!AF148</x:f>
        <x:v>0.02282</x:v>
      </x:c>
      <x:c r="AG52" s="18" t="n">
        <x:f>'两日价格与决策'!AG148</x:f>
        <x:v>200</x:v>
      </x:c>
      <x:c r="AH52" s="18" t="n">
        <x:f>'两日价格与决策'!AH148</x:f>
        <x:v>200</x:v>
      </x:c>
      <x:c r="AI52" s="18" t="n">
        <x:f>'两日价格与决策'!AI148</x:f>
        <x:v>0</x:v>
      </x:c>
      <x:c r="AJ52" s="18" t="n">
        <x:f>'两日价格与决策'!AJ148</x:f>
        <x:v>1.141</x:v>
      </x:c>
      <x:c r="AK52" s="18" t="str">
        <x:f>'两日价格与决策'!AK148</x:f>
        <x:v>缺失</x:v>
      </x:c>
      <x:c r="AL52" s="18" t="n">
        <x:f>'两日价格与决策'!AL148</x:f>
        <x:v>0.0014579444444444444</x:v>
      </x:c>
      <x:c r="AM52" s="18" t="n">
        <x:f>'两日价格与决策'!AM148</x:f>
        <x:v>0.5705</x:v>
      </x:c>
      <x:c r="AN52" s="18" t="n">
        <x:f>'两日价格与决策'!AN148</x:f>
        <x:v>0</x:v>
      </x:c>
      <x:c r="AO52" s="18" t="n">
        <x:f>'两日价格与决策'!AO148</x:f>
        <x:v>178.31813130434725</x:v>
      </x:c>
      <x:c r="AP52" s="18" t="n">
        <x:f>'两日价格与决策'!AP148</x:f>
        <x:v>0</x:v>
      </x:c>
      <x:c r="AQ52" s="18" t="n">
        <x:f>'两日价格与决策'!AQ148</x:f>
        <x:v>4.9741</x:v>
      </x:c>
      <x:c r="AR52" s="21" t="n">
        <x:f>'两日价格与决策'!AR148</x:f>
        <x:v>45657</x:v>
      </x:c>
      <x:c r="AS52" s="17" t="n">
        <x:f>'两日价格与决策'!AS148</x:f>
        <x:v>45659.385416666664</x:v>
      </x:c>
      <x:c r="AT52" s="18" t="str">
        <x:f>'两日价格与决策'!AT148</x:f>
        <x:v>2025-01-02_11</x:v>
      </x:c>
      <x:c r="AU52" s="19" t="n">
        <x:f>'两日价格与决策'!AU148</x:f>
        <x:v>60</x:v>
      </x:c>
      <x:c r="AV52" s="18" t="str">
        <x:f>'两日价格与决策'!AV148</x:f>
        <x:v>OK</x:v>
      </x:c>
    </x:row>
    <x:row r="53" ht="21" customHeight="1">
      <x:c r="A53" s="17" t="n">
        <x:f>'两日价格与决策'!A149</x:f>
        <x:v>45659.479166666664</x:v>
      </x:c>
      <x:c r="B53" s="23" t="n">
        <x:f>'两日价格与决策'!B149</x:f>
        <x:v>128.35</x:v>
      </x:c>
      <x:c r="C53" s="23" t="str">
        <x:f>'两日价格与决策'!C149</x:f>
        <x:v>缺失</x:v>
      </x:c>
      <x:c r="D53" s="23" t="n">
        <x:f>'两日价格与决策'!D149</x:f>
        <x:v>13.71102309965622</x:v>
      </x:c>
      <x:c r="E53" s="23" t="n">
        <x:f>'两日价格与决策'!E149</x:f>
        <x:v>14.710198829939085</x:v>
      </x:c>
      <x:c r="F53" s="23" t="n">
        <x:f>'两日价格与决策'!F149</x:f>
        <x:v>60.31241832693352</x:v>
      </x:c>
      <x:c r="G53" s="23" t="n">
        <x:f>'两日价格与决策'!G149</x:f>
        <x:v>21.478458414587564</x:v>
      </x:c>
      <x:c r="H53" s="23" t="str">
        <x:f>'两日价格与决策'!H149</x:f>
        <x:v>未模拟</x:v>
      </x:c>
      <x:c r="I53" s="24" t="n">
        <x:f>'两日价格与决策'!I149</x:f>
        <x:v>178.31813130434725</x:v>
      </x:c>
      <x:c r="J53" s="24" t="n">
        <x:f>'两日价格与决策'!J149</x:f>
        <x:v>179.71674086956463</x:v>
      </x:c>
      <x:c r="K53" s="24" t="n">
        <x:f>'两日价格与决策'!K149</x:f>
        <x:v>0</x:v>
      </x:c>
      <x:c r="L53" s="24" t="n">
        <x:f>'两日价格与决策'!L149</x:f>
        <x:v>0</x:v>
      </x:c>
      <x:c r="M53" s="24" t="n">
        <x:f>'两日价格与决策'!M149</x:f>
        <x:v>100</x:v>
      </x:c>
      <x:c r="N53" s="24" t="n">
        <x:f>'两日价格与决策'!N149</x:f>
        <x:v>100</x:v>
      </x:c>
      <x:c r="O53" s="24" t="n">
        <x:f>'两日价格与决策'!O149</x:f>
        <x:v>0.0015</x:v>
      </x:c>
      <x:c r="P53" s="24" t="n">
        <x:f>'两日价格与决策'!P149</x:f>
        <x:v>1.522</x:v>
      </x:c>
      <x:c r="Q53" s="25" t="n">
        <x:f>'两日价格与决策'!Q149</x:f>
        <x:v>0</x:v>
      </x:c>
      <x:c r="R53" s="25" t="n">
        <x:f>'两日价格与决策'!R149</x:f>
        <x:v>0</x:v>
      </x:c>
      <x:c r="S53" s="25" t="n">
        <x:f>'两日价格与决策'!S149</x:f>
        <x:v>342.7755774914055</x:v>
      </x:c>
      <x:c r="T53" s="25" t="n">
        <x:f>'两日价格与决策'!T149</x:f>
        <x:v>367.7549707484771</x:v>
      </x:c>
      <x:c r="U53" s="25" t="n">
        <x:f>'两日价格与决策'!U149</x:f>
        <x:v>0.09046862749040027</x:v>
      </x:c>
      <x:c r="V53" s="25" t="n">
        <x:f>'两日价格与决策'!V149</x:f>
        <x:v>-32.69021370700227</x:v>
      </x:c>
      <x:c r="W53" s="25" t="n">
        <x:f>'两日价格与决策'!W149</x:f>
        <x:v>677.9308031603707</x:v>
      </x:c>
      <x:c r="X53" s="18" t="n">
        <x:f>'两日价格与决策'!X149</x:f>
        <x:v>677.9308031603707</x:v>
      </x:c>
      <x:c r="Y53" s="18" t="n">
        <x:f>'两日价格与决策'!Y149</x:f>
        <x:v>0</x:v>
      </x:c>
      <x:c r="Z53" s="18" t="str">
        <x:f>"1月2日执行｜前窗冻结订单"</x:f>
        <x:v>1月2日执行｜前窗冻结订单</x:v>
      </x:c>
      <x:c r="AA53" s="19" t="n">
        <x:f>'两日价格与决策'!AA149</x:f>
        <x:v>1</x:v>
      </x:c>
      <x:c r="AB53" s="19" t="n">
        <x:f>'两日价格与决策'!AB149</x:f>
        <x:v>0</x:v>
      </x:c>
      <x:c r="AC53" s="18" t="n">
        <x:f>'两日价格与决策'!AC149</x:f>
        <x:v>0.25</x:v>
      </x:c>
      <x:c r="AD53" s="20" t="n">
        <x:f>'两日价格与决策'!AD149</x:f>
        <x:v>1</x:v>
      </x:c>
      <x:c r="AE53" s="20" t="n">
        <x:f>'两日价格与决策'!AE149</x:f>
        <x:v>0.00006</x:v>
      </x:c>
      <x:c r="AF53" s="20" t="n">
        <x:f>'两日价格与决策'!AF149</x:f>
        <x:v>0.060880000000000004</x:v>
      </x:c>
      <x:c r="AG53" s="18" t="n">
        <x:f>'两日价格与决策'!AG149</x:f>
        <x:v>200</x:v>
      </x:c>
      <x:c r="AH53" s="18" t="n">
        <x:f>'两日价格与决策'!AH149</x:f>
        <x:v>200</x:v>
      </x:c>
      <x:c r="AI53" s="18" t="n">
        <x:f>'两日价格与决策'!AI149</x:f>
        <x:v>0.003</x:v>
      </x:c>
      <x:c r="AJ53" s="18" t="n">
        <x:f>'两日价格与决策'!AJ149</x:f>
        <x:v>3.044</x:v>
      </x:c>
      <x:c r="AK53" s="18" t="str">
        <x:f>'两日价格与决策'!AK149</x:f>
        <x:v>缺失</x:v>
      </x:c>
      <x:c r="AL53" s="18" t="n">
        <x:f>'两日价格与决策'!AL149</x:f>
        <x:v>0.003894084541062802</x:v>
      </x:c>
      <x:c r="AM53" s="18" t="n">
        <x:f>'两日价格与决策'!AM149</x:f>
        <x:v>1.522</x:v>
      </x:c>
      <x:c r="AN53" s="18" t="n">
        <x:f>'两日价格与决策'!AN149</x:f>
        <x:v>0.0015</x:v>
      </x:c>
      <x:c r="AO53" s="18" t="n">
        <x:f>'两日价格与决策'!AO149</x:f>
        <x:v>179.71674086956463</x:v>
      </x:c>
      <x:c r="AP53" s="18" t="n">
        <x:f>'两日价格与决策'!AP149</x:f>
        <x:v>0</x:v>
      </x:c>
      <x:c r="AQ53" s="18" t="n">
        <x:f>'两日价格与决策'!AQ149</x:f>
        <x:v>4.9741</x:v>
      </x:c>
      <x:c r="AR53" s="21" t="n">
        <x:f>'两日价格与决策'!AR149</x:f>
        <x:v>45657</x:v>
      </x:c>
      <x:c r="AS53" s="17" t="n">
        <x:f>'两日价格与决策'!AS149</x:f>
        <x:v>45659.395833333336</x:v>
      </x:c>
      <x:c r="AT53" s="18" t="str">
        <x:f>'两日价格与决策'!AT149</x:f>
        <x:v>2025-01-02_11</x:v>
      </x:c>
      <x:c r="AU53" s="19" t="n">
        <x:f>'两日价格与决策'!AU149</x:f>
        <x:v>60</x:v>
      </x:c>
      <x:c r="AV53" s="18" t="str">
        <x:f>'两日价格与决策'!AV149</x:f>
        <x:v>OK</x:v>
      </x:c>
    </x:row>
    <x:row r="54" ht="21" customHeight="1">
      <x:c r="A54" s="17" t="n">
        <x:f>'两日价格与决策'!A150</x:f>
        <x:v>45659.489583333336</x:v>
      </x:c>
      <x:c r="B54" s="23" t="n">
        <x:f>'两日价格与决策'!B150</x:f>
        <x:v>128.35</x:v>
      </x:c>
      <x:c r="C54" s="23" t="str">
        <x:f>'两日价格与决策'!C150</x:f>
        <x:v>缺失</x:v>
      </x:c>
      <x:c r="D54" s="23" t="n">
        <x:f>'两日价格与决策'!D150</x:f>
        <x:v>13.71102309965622</x:v>
      </x:c>
      <x:c r="E54" s="23" t="n">
        <x:f>'两日价格与决策'!E150</x:f>
        <x:v>14.710198829939085</x:v>
      </x:c>
      <x:c r="F54" s="23" t="n">
        <x:f>'两日价格与决策'!F150</x:f>
        <x:v>60.31241832693352</x:v>
      </x:c>
      <x:c r="G54" s="23" t="n">
        <x:f>'两日价格与决策'!G150</x:f>
        <x:v>7.2489495587141395</x:v>
      </x:c>
      <x:c r="H54" s="23" t="str">
        <x:f>'两日价格与决策'!H150</x:f>
        <x:v>未模拟</x:v>
      </x:c>
      <x:c r="I54" s="24" t="n">
        <x:f>'两日价格与决策'!I150</x:f>
        <x:v>179.71674086956463</x:v>
      </x:c>
      <x:c r="J54" s="24" t="n">
        <x:f>'两日价格与决策'!J150</x:f>
        <x:v>183.32887043478203</x:v>
      </x:c>
      <x:c r="K54" s="24" t="n">
        <x:f>'两日价格与决策'!K150</x:f>
        <x:v>0</x:v>
      </x:c>
      <x:c r="L54" s="24" t="n">
        <x:f>'两日价格与决策'!L150</x:f>
        <x:v>0</x:v>
      </x:c>
      <x:c r="M54" s="24" t="n">
        <x:f>'两日价格与决策'!M150</x:f>
        <x:v>100</x:v>
      </x:c>
      <x:c r="N54" s="24" t="n">
        <x:f>'两日价格与决策'!N150</x:f>
        <x:v>100</x:v>
      </x:c>
      <x:c r="O54" s="24" t="n">
        <x:f>'两日价格与决策'!O150</x:f>
        <x:v>0.0015</x:v>
      </x:c>
      <x:c r="P54" s="24" t="n">
        <x:f>'两日价格与决策'!P150</x:f>
        <x:v>3.9280000000000004</x:v>
      </x:c>
      <x:c r="Q54" s="25" t="n">
        <x:f>'两日价格与决策'!Q150</x:f>
        <x:v>0</x:v>
      </x:c>
      <x:c r="R54" s="25" t="n">
        <x:f>'两日价格与决策'!R150</x:f>
        <x:v>0</x:v>
      </x:c>
      <x:c r="S54" s="25" t="n">
        <x:f>'两日价格与决策'!S150</x:f>
        <x:v>342.7755774914055</x:v>
      </x:c>
      <x:c r="T54" s="25" t="n">
        <x:f>'两日价格与决策'!T150</x:f>
        <x:v>367.7549707484771</x:v>
      </x:c>
      <x:c r="U54" s="25" t="n">
        <x:f>'两日价格与决策'!U150</x:f>
        <x:v>0.09046862749040027</x:v>
      </x:c>
      <x:c r="V54" s="25" t="n">
        <x:f>'两日价格与决策'!V150</x:f>
        <x:v>-28.47387386662914</x:v>
      </x:c>
      <x:c r="W54" s="25" t="n">
        <x:f>'两日价格与决策'!W150</x:f>
        <x:v>682.1471430007439</x:v>
      </x:c>
      <x:c r="X54" s="18" t="n">
        <x:f>'两日价格与决策'!X150</x:f>
        <x:v>682.1471430007439</x:v>
      </x:c>
      <x:c r="Y54" s="18" t="n">
        <x:f>'两日价格与决策'!Y150</x:f>
        <x:v>0</x:v>
      </x:c>
      <x:c r="Z54" s="18" t="str">
        <x:f>"1月2日执行｜前窗冻结订单"</x:f>
        <x:v>1月2日执行｜前窗冻结订单</x:v>
      </x:c>
      <x:c r="AA54" s="19" t="n">
        <x:f>'两日价格与决策'!AA150</x:f>
        <x:v>1</x:v>
      </x:c>
      <x:c r="AB54" s="19" t="n">
        <x:f>'两日价格与决策'!AB150</x:f>
        <x:v>0</x:v>
      </x:c>
      <x:c r="AC54" s="18" t="n">
        <x:f>'两日价格与决策'!AC150</x:f>
        <x:v>0.25</x:v>
      </x:c>
      <x:c r="AD54" s="20" t="n">
        <x:f>'两日价格与决策'!AD150</x:f>
        <x:v>1</x:v>
      </x:c>
      <x:c r="AE54" s="20" t="n">
        <x:f>'两日价格与决策'!AE150</x:f>
        <x:v>0.00006</x:v>
      </x:c>
      <x:c r="AF54" s="20" t="n">
        <x:f>'两日价格与决策'!AF150</x:f>
        <x:v>0.15712</x:v>
      </x:c>
      <x:c r="AG54" s="18" t="n">
        <x:f>'两日价格与决策'!AG150</x:f>
        <x:v>200</x:v>
      </x:c>
      <x:c r="AH54" s="18" t="n">
        <x:f>'两日价格与决策'!AH150</x:f>
        <x:v>200</x:v>
      </x:c>
      <x:c r="AI54" s="18" t="n">
        <x:f>'两日价格与决策'!AI150</x:f>
        <x:v>0.003</x:v>
      </x:c>
      <x:c r="AJ54" s="18" t="n">
        <x:f>'两日价格与决策'!AJ150</x:f>
        <x:v>7.856</x:v>
      </x:c>
      <x:c r="AK54" s="18" t="str">
        <x:f>'两日价格与决策'!AK150</x:f>
        <x:v>缺失</x:v>
      </x:c>
      <x:c r="AL54" s="18" t="n">
        <x:f>'两日价格与决策'!AL150</x:f>
        <x:v>0.01004275120772947</x:v>
      </x:c>
      <x:c r="AM54" s="18" t="n">
        <x:f>'两日价格与决策'!AM150</x:f>
        <x:v>3.9280000000000004</x:v>
      </x:c>
      <x:c r="AN54" s="18" t="n">
        <x:f>'两日价格与决策'!AN150</x:f>
        <x:v>0.0015</x:v>
      </x:c>
      <x:c r="AO54" s="18" t="n">
        <x:f>'两日价格与决策'!AO150</x:f>
        <x:v>183.32887043478203</x:v>
      </x:c>
      <x:c r="AP54" s="18" t="n">
        <x:f>'两日价格与决策'!AP150</x:f>
        <x:v>0</x:v>
      </x:c>
      <x:c r="AQ54" s="18" t="n">
        <x:f>'两日价格与决策'!AQ150</x:f>
        <x:v>4.9741</x:v>
      </x:c>
      <x:c r="AR54" s="21" t="n">
        <x:f>'两日价格与决策'!AR150</x:f>
        <x:v>45657</x:v>
      </x:c>
      <x:c r="AS54" s="17" t="n">
        <x:f>'两日价格与决策'!AS150</x:f>
        <x:v>45659.40625</x:v>
      </x:c>
      <x:c r="AT54" s="18" t="str">
        <x:f>'两日价格与决策'!AT150</x:f>
        <x:v>2025-01-02_11</x:v>
      </x:c>
      <x:c r="AU54" s="19" t="n">
        <x:f>'两日价格与决策'!AU150</x:f>
        <x:v>60</x:v>
      </x:c>
      <x:c r="AV54" s="18" t="str">
        <x:f>'两日价格与决策'!AV150</x:f>
        <x:v>OK</x:v>
      </x:c>
    </x:row>
    <x:row r="55" ht="21" customHeight="1">
      <x:c r="A55" s="17" t="n">
        <x:f>'两日价格与决策'!A151</x:f>
        <x:v>45659.5</x:v>
      </x:c>
      <x:c r="B55" s="23" t="n">
        <x:f>'两日价格与决策'!B151</x:f>
        <x:v>123.15</x:v>
      </x:c>
      <x:c r="C55" s="23" t="str">
        <x:f>'两日价格与决策'!C151</x:f>
        <x:v>缺失</x:v>
      </x:c>
      <x:c r="D55" s="23" t="n">
        <x:f>'两日价格与决策'!D151</x:f>
        <x:v>13.71102309965622</x:v>
      </x:c>
      <x:c r="E55" s="23" t="n">
        <x:f>'两日价格与决策'!E151</x:f>
        <x:v>14.710198829939085</x:v>
      </x:c>
      <x:c r="F55" s="23" t="n">
        <x:f>'两日价格与决策'!F151</x:f>
        <x:v>0</x:v>
      </x:c>
      <x:c r="G55" s="23" t="n">
        <x:f>'两日价格与决策'!G151</x:f>
        <x:v>13.630003417703705</x:v>
      </x:c>
      <x:c r="H55" s="23" t="str">
        <x:f>'两日价格与决策'!H151</x:f>
        <x:v>未模拟</x:v>
      </x:c>
      <x:c r="I55" s="24" t="n">
        <x:f>'两日价格与决策'!I151</x:f>
        <x:v>183.32887043478203</x:v>
      </x:c>
      <x:c r="J55" s="24" t="n">
        <x:f>'两日价格与决策'!J151</x:f>
        <x:v>185.62059043478203</x:v>
      </x:c>
      <x:c r="K55" s="24" t="n">
        <x:f>'两日价格与决策'!K151</x:f>
        <x:v>0</x:v>
      </x:c>
      <x:c r="L55" s="24" t="n">
        <x:f>'两日价格与决策'!L151</x:f>
        <x:v>0</x:v>
      </x:c>
      <x:c r="M55" s="24" t="n">
        <x:f>'两日价格与决策'!M151</x:f>
        <x:v>100</x:v>
      </x:c>
      <x:c r="N55" s="24" t="n">
        <x:f>'两日价格与决策'!N151</x:f>
        <x:v>100</x:v>
      </x:c>
      <x:c r="O55" s="24" t="n">
        <x:f>'两日价格与决策'!O151</x:f>
        <x:v>0</x:v>
      </x:c>
      <x:c r="P55" s="24" t="n">
        <x:f>'两日价格与决策'!P151</x:f>
        <x:v>2.491</x:v>
      </x:c>
      <x:c r="Q55" s="25" t="n">
        <x:f>'两日价格与决策'!Q151</x:f>
        <x:v>0</x:v>
      </x:c>
      <x:c r="R55" s="25" t="n">
        <x:f>'两日价格与决策'!R151</x:f>
        <x:v>0</x:v>
      </x:c>
      <x:c r="S55" s="25" t="n">
        <x:f>'两日价格与决策'!S151</x:f>
        <x:v>342.7755774914055</x:v>
      </x:c>
      <x:c r="T55" s="25" t="n">
        <x:f>'两日价格与决策'!T151</x:f>
        <x:v>367.7549707484771</x:v>
      </x:c>
      <x:c r="U55" s="25" t="n">
        <x:f>'两日价格与决策'!U151</x:f>
        <x:v>0</x:v>
      </x:c>
      <x:c r="V55" s="25" t="n">
        <x:f>'两日价格与决策'!V151</x:f>
        <x:v>-33.95233851349993</x:v>
      </x:c>
      <x:c r="W55" s="25" t="n">
        <x:f>'两日价格与决策'!W151</x:f>
        <x:v>676.5782097263826</x:v>
      </x:c>
      <x:c r="X55" s="18" t="n">
        <x:f>'两日价格与决策'!X151</x:f>
        <x:v>676.5782097263826</x:v>
      </x:c>
      <x:c r="Y55" s="18" t="n">
        <x:f>'两日价格与决策'!Y151</x:f>
        <x:v>0</x:v>
      </x:c>
      <x:c r="Z55" s="18" t="str">
        <x:f>"1月2日执行｜前窗冻结订单"</x:f>
        <x:v>1月2日执行｜前窗冻结订单</x:v>
      </x:c>
      <x:c r="AA55" s="19" t="n">
        <x:f>'两日价格与决策'!AA151</x:f>
        <x:v>1</x:v>
      </x:c>
      <x:c r="AB55" s="19" t="n">
        <x:f>'两日价格与决策'!AB151</x:f>
        <x:v>0</x:v>
      </x:c>
      <x:c r="AC55" s="18" t="n">
        <x:f>'两日价格与决策'!AC151</x:f>
        <x:v>0.25</x:v>
      </x:c>
      <x:c r="AD55" s="20" t="n">
        <x:f>'两日价格与决策'!AD151</x:f>
        <x:v>1</x:v>
      </x:c>
      <x:c r="AE55" s="20" t="n">
        <x:f>'两日价格与决策'!AE151</x:f>
        <x:v>0</x:v>
      </x:c>
      <x:c r="AF55" s="20" t="n">
        <x:f>'两日价格与决策'!AF151</x:f>
        <x:v>0.09964</x:v>
      </x:c>
      <x:c r="AG55" s="18" t="n">
        <x:f>'两日价格与决策'!AG151</x:f>
        <x:v>200</x:v>
      </x:c>
      <x:c r="AH55" s="18" t="n">
        <x:f>'两日价格与决策'!AH151</x:f>
        <x:v>200</x:v>
      </x:c>
      <x:c r="AI55" s="18" t="n">
        <x:f>'两日价格与决策'!AI151</x:f>
        <x:v>0</x:v>
      </x:c>
      <x:c r="AJ55" s="18" t="n">
        <x:f>'两日价格与决策'!AJ151</x:f>
        <x:v>4.982</x:v>
      </x:c>
      <x:c r="AK55" s="18" t="str">
        <x:f>'两日价格与决策'!AK151</x:f>
        <x:v>缺失</x:v>
      </x:c>
      <x:c r="AL55" s="18" t="n">
        <x:f>'两日价格与决策'!AL151</x:f>
        <x:v>0.00636588888888889</x:v>
      </x:c>
      <x:c r="AM55" s="18" t="n">
        <x:f>'两日价格与决策'!AM151</x:f>
        <x:v>2.491</x:v>
      </x:c>
      <x:c r="AN55" s="18" t="n">
        <x:f>'两日价格与决策'!AN151</x:f>
        <x:v>0</x:v>
      </x:c>
      <x:c r="AO55" s="18" t="n">
        <x:f>'两日价格与决策'!AO151</x:f>
        <x:v>185.62059043478203</x:v>
      </x:c>
      <x:c r="AP55" s="18" t="n">
        <x:f>'两日价格与决策'!AP151</x:f>
        <x:v>0</x:v>
      </x:c>
      <x:c r="AQ55" s="18" t="n">
        <x:f>'两日价格与决策'!AQ151</x:f>
        <x:v>4.9741</x:v>
      </x:c>
      <x:c r="AR55" s="21" t="n">
        <x:f>'两日价格与决策'!AR151</x:f>
        <x:v>45657</x:v>
      </x:c>
      <x:c r="AS55" s="17" t="n">
        <x:f>'两日价格与决策'!AS151</x:f>
        <x:v>45659.416666666664</x:v>
      </x:c>
      <x:c r="AT55" s="18" t="str">
        <x:f>'两日价格与决策'!AT151</x:f>
        <x:v>2025-01-02_12</x:v>
      </x:c>
      <x:c r="AU55" s="19" t="n">
        <x:f>'两日价格与决策'!AU151</x:f>
        <x:v>60</x:v>
      </x:c>
      <x:c r="AV55" s="18" t="str">
        <x:f>'两日价格与决策'!AV151</x:f>
        <x:v>OK</x:v>
      </x:c>
    </x:row>
    <x:row r="56" ht="21" customHeight="1">
      <x:c r="A56" s="17" t="n">
        <x:f>'两日价格与决策'!A152</x:f>
        <x:v>45659.510416666664</x:v>
      </x:c>
      <x:c r="B56" s="23" t="n">
        <x:f>'两日价格与决策'!B152</x:f>
        <x:v>123.15</x:v>
      </x:c>
      <x:c r="C56" s="23" t="str">
        <x:f>'两日价格与决策'!C152</x:f>
        <x:v>缺失</x:v>
      </x:c>
      <x:c r="D56" s="23" t="n">
        <x:f>'两日价格与决策'!D152</x:f>
        <x:v>13.71102309965622</x:v>
      </x:c>
      <x:c r="E56" s="23" t="n">
        <x:f>'两日价格与决策'!E152</x:f>
        <x:v>14.710198829939085</x:v>
      </x:c>
      <x:c r="F56" s="23" t="n">
        <x:f>'两日价格与决策'!F152</x:f>
        <x:v>60.31241832693352</x:v>
      </x:c>
      <x:c r="G56" s="23" t="n">
        <x:f>'两日价格与决策'!G152</x:f>
        <x:v>23.90985303874068</x:v>
      </x:c>
      <x:c r="H56" s="23" t="str">
        <x:f>'两日价格与决策'!H152</x:f>
        <x:v>未模拟</x:v>
      </x:c>
      <x:c r="I56" s="24" t="n">
        <x:f>'两日价格与决策'!I152</x:f>
        <x:v>185.62059043478203</x:v>
      </x:c>
      <x:c r="J56" s="24" t="n">
        <x:f>'两日价格与决策'!J152</x:f>
        <x:v>186.4290199999994</x:v>
      </x:c>
      <x:c r="K56" s="24" t="n">
        <x:f>'两日价格与决策'!K152</x:f>
        <x:v>0</x:v>
      </x:c>
      <x:c r="L56" s="24" t="n">
        <x:f>'两日价格与决策'!L152</x:f>
        <x:v>0</x:v>
      </x:c>
      <x:c r="M56" s="24" t="n">
        <x:f>'两日价格与决策'!M152</x:f>
        <x:v>100</x:v>
      </x:c>
      <x:c r="N56" s="24" t="n">
        <x:f>'两日价格与决策'!N152</x:f>
        <x:v>100</x:v>
      </x:c>
      <x:c r="O56" s="24" t="n">
        <x:f>'两日价格与决策'!O152</x:f>
        <x:v>0.0015</x:v>
      </x:c>
      <x:c r="P56" s="24" t="n">
        <x:f>'两日价格与决策'!P152</x:f>
        <x:v>0.8805000000000001</x:v>
      </x:c>
      <x:c r="Q56" s="25" t="n">
        <x:f>'两日价格与决策'!Q152</x:f>
        <x:v>0</x:v>
      </x:c>
      <x:c r="R56" s="25" t="n">
        <x:f>'两日价格与决策'!R152</x:f>
        <x:v>0</x:v>
      </x:c>
      <x:c r="S56" s="25" t="n">
        <x:f>'两日价格与决策'!S152</x:f>
        <x:v>342.7755774914055</x:v>
      </x:c>
      <x:c r="T56" s="25" t="n">
        <x:f>'两日价格与决策'!T152</x:f>
        <x:v>367.7549707484771</x:v>
      </x:c>
      <x:c r="U56" s="25" t="n">
        <x:f>'两日价格与决策'!U152</x:f>
        <x:v>0.09046862749040027</x:v>
      </x:c>
      <x:c r="V56" s="25" t="n">
        <x:f>'两日价格与决策'!V152</x:f>
        <x:v>-21.05262560061117</x:v>
      </x:c>
      <x:c r="W56" s="25" t="n">
        <x:f>'两日价格与决策'!W152</x:f>
        <x:v>689.5683912667619</x:v>
      </x:c>
      <x:c r="X56" s="18" t="n">
        <x:f>'两日价格与决策'!X152</x:f>
        <x:v>689.5683912667619</x:v>
      </x:c>
      <x:c r="Y56" s="18" t="n">
        <x:f>'两日价格与决策'!Y152</x:f>
        <x:v>0</x:v>
      </x:c>
      <x:c r="Z56" s="18" t="str">
        <x:f>"1月2日执行｜前窗冻结订单"</x:f>
        <x:v>1月2日执行｜前窗冻结订单</x:v>
      </x:c>
      <x:c r="AA56" s="19" t="n">
        <x:f>'两日价格与决策'!AA152</x:f>
        <x:v>1</x:v>
      </x:c>
      <x:c r="AB56" s="19" t="n">
        <x:f>'两日价格与决策'!AB152</x:f>
        <x:v>0</x:v>
      </x:c>
      <x:c r="AC56" s="18" t="n">
        <x:f>'两日价格与决策'!AC152</x:f>
        <x:v>0.25</x:v>
      </x:c>
      <x:c r="AD56" s="20" t="n">
        <x:f>'两日价格与决策'!AD152</x:f>
        <x:v>1</x:v>
      </x:c>
      <x:c r="AE56" s="20" t="n">
        <x:f>'两日价格与决策'!AE152</x:f>
        <x:v>0.00006</x:v>
      </x:c>
      <x:c r="AF56" s="20" t="n">
        <x:f>'两日价格与决策'!AF152</x:f>
        <x:v>0.03522</x:v>
      </x:c>
      <x:c r="AG56" s="18" t="n">
        <x:f>'两日价格与决策'!AG152</x:f>
        <x:v>200</x:v>
      </x:c>
      <x:c r="AH56" s="18" t="n">
        <x:f>'两日价格与决策'!AH152</x:f>
        <x:v>200</x:v>
      </x:c>
      <x:c r="AI56" s="18" t="n">
        <x:f>'两日价格与决策'!AI152</x:f>
        <x:v>0.003</x:v>
      </x:c>
      <x:c r="AJ56" s="18" t="n">
        <x:f>'两日价格与决策'!AJ152</x:f>
        <x:v>1.761</x:v>
      </x:c>
      <x:c r="AK56" s="18" t="str">
        <x:f>'两日价格与决策'!AK152</x:f>
        <x:v>缺失</x:v>
      </x:c>
      <x:c r="AL56" s="18" t="n">
        <x:f>'两日价格与决策'!AL152</x:f>
        <x:v>0.002254695652173913</x:v>
      </x:c>
      <x:c r="AM56" s="18" t="n">
        <x:f>'两日价格与决策'!AM152</x:f>
        <x:v>0.8805000000000001</x:v>
      </x:c>
      <x:c r="AN56" s="18" t="n">
        <x:f>'两日价格与决策'!AN152</x:f>
        <x:v>0.0015</x:v>
      </x:c>
      <x:c r="AO56" s="18" t="n">
        <x:f>'两日价格与决策'!AO152</x:f>
        <x:v>186.4290199999994</x:v>
      </x:c>
      <x:c r="AP56" s="18" t="n">
        <x:f>'两日价格与决策'!AP152</x:f>
        <x:v>0</x:v>
      </x:c>
      <x:c r="AQ56" s="18" t="n">
        <x:f>'两日价格与决策'!AQ152</x:f>
        <x:v>4.9741</x:v>
      </x:c>
      <x:c r="AR56" s="21" t="n">
        <x:f>'两日价格与决策'!AR152</x:f>
        <x:v>45657</x:v>
      </x:c>
      <x:c r="AS56" s="17" t="n">
        <x:f>'两日价格与决策'!AS152</x:f>
        <x:v>45659.427083333336</x:v>
      </x:c>
      <x:c r="AT56" s="18" t="str">
        <x:f>'两日价格与决策'!AT152</x:f>
        <x:v>2025-01-02_12</x:v>
      </x:c>
      <x:c r="AU56" s="19" t="n">
        <x:f>'两日价格与决策'!AU152</x:f>
        <x:v>60</x:v>
      </x:c>
      <x:c r="AV56" s="18" t="str">
        <x:f>'两日价格与决策'!AV152</x:f>
        <x:v>OK</x:v>
      </x:c>
    </x:row>
    <x:row r="57" ht="21" customHeight="1">
      <x:c r="A57" s="17" t="n">
        <x:f>'两日价格与决策'!A153</x:f>
        <x:v>45659.520833333336</x:v>
      </x:c>
      <x:c r="B57" s="23" t="n">
        <x:f>'两日价格与决策'!B153</x:f>
        <x:v>123.15</x:v>
      </x:c>
      <x:c r="C57" s="23" t="str">
        <x:f>'两日价格与决策'!C153</x:f>
        <x:v>缺失</x:v>
      </x:c>
      <x:c r="D57" s="23" t="n">
        <x:f>'两日价格与决策'!D153</x:f>
        <x:v>13.71102309965622</x:v>
      </x:c>
      <x:c r="E57" s="23" t="n">
        <x:f>'两日价格与决策'!E153</x:f>
        <x:v>14.710198829939085</x:v>
      </x:c>
      <x:c r="F57" s="23" t="n">
        <x:f>'两日价格与决策'!F153</x:f>
        <x:v>0</x:v>
      </x:c>
      <x:c r="G57" s="23" t="n">
        <x:f>'两日价格与决策'!G153</x:f>
        <x:v>20.302165215817936</x:v>
      </x:c>
      <x:c r="H57" s="23" t="str">
        <x:f>'两日价格与决策'!H153</x:f>
        <x:v>未模拟</x:v>
      </x:c>
      <x:c r="I57" s="24" t="n">
        <x:f>'两日价格与决策'!I153</x:f>
        <x:v>186.4290199999994</x:v>
      </x:c>
      <x:c r="J57" s="24" t="n">
        <x:f>'两日价格与决策'!J153</x:f>
        <x:v>189.63613999999941</x:v>
      </x:c>
      <x:c r="K57" s="24" t="n">
        <x:f>'两日价格与决策'!K153</x:f>
        <x:v>0</x:v>
      </x:c>
      <x:c r="L57" s="24" t="n">
        <x:f>'两日价格与决策'!L153</x:f>
        <x:v>0</x:v>
      </x:c>
      <x:c r="M57" s="24" t="n">
        <x:f>'两日价格与决策'!M153</x:f>
        <x:v>100</x:v>
      </x:c>
      <x:c r="N57" s="24" t="n">
        <x:f>'两日价格与决策'!N153</x:f>
        <x:v>100</x:v>
      </x:c>
      <x:c r="O57" s="24" t="n">
        <x:f>'两日价格与决策'!O153</x:f>
        <x:v>0</x:v>
      </x:c>
      <x:c r="P57" s="24" t="n">
        <x:f>'两日价格与决策'!P153</x:f>
        <x:v>3.486</x:v>
      </x:c>
      <x:c r="Q57" s="25" t="n">
        <x:f>'两日价格与决策'!Q153</x:f>
        <x:v>0</x:v>
      </x:c>
      <x:c r="R57" s="25" t="n">
        <x:f>'两日价格与决策'!R153</x:f>
        <x:v>0</x:v>
      </x:c>
      <x:c r="S57" s="25" t="n">
        <x:f>'两日价格与决策'!S153</x:f>
        <x:v>342.7755774914055</x:v>
      </x:c>
      <x:c r="T57" s="25" t="n">
        <x:f>'两日价格与决策'!T153</x:f>
        <x:v>367.7549707484771</x:v>
      </x:c>
      <x:c r="U57" s="25" t="n">
        <x:f>'两日价格与决策'!U153</x:f>
        <x:v>0</x:v>
      </x:c>
      <x:c r="V57" s="25" t="n">
        <x:f>'两日价格与决策'!V153</x:f>
        <x:v>-70.77334794234133</x:v>
      </x:c>
      <x:c r="W57" s="25" t="n">
        <x:f>'两日价格与决策'!W153</x:f>
        <x:v>639.7572002975412</x:v>
      </x:c>
      <x:c r="X57" s="18" t="n">
        <x:f>'两日价格与决策'!X153</x:f>
        <x:v>639.7572002975412</x:v>
      </x:c>
      <x:c r="Y57" s="18" t="n">
        <x:f>'两日价格与决策'!Y153</x:f>
        <x:v>0</x:v>
      </x:c>
      <x:c r="Z57" s="18" t="str">
        <x:f>"1月2日执行｜前窗冻结订单"</x:f>
        <x:v>1月2日执行｜前窗冻结订单</x:v>
      </x:c>
      <x:c r="AA57" s="19" t="n">
        <x:f>'两日价格与决策'!AA153</x:f>
        <x:v>1</x:v>
      </x:c>
      <x:c r="AB57" s="19" t="n">
        <x:f>'两日价格与决策'!AB153</x:f>
        <x:v>0</x:v>
      </x:c>
      <x:c r="AC57" s="18" t="n">
        <x:f>'两日价格与决策'!AC153</x:f>
        <x:v>0.25</x:v>
      </x:c>
      <x:c r="AD57" s="20" t="n">
        <x:f>'两日价格与决策'!AD153</x:f>
        <x:v>1</x:v>
      </x:c>
      <x:c r="AE57" s="20" t="n">
        <x:f>'两日价格与决策'!AE153</x:f>
        <x:v>0</x:v>
      </x:c>
      <x:c r="AF57" s="20" t="n">
        <x:f>'两日价格与决策'!AF153</x:f>
        <x:v>0.13944</x:v>
      </x:c>
      <x:c r="AG57" s="18" t="n">
        <x:f>'两日价格与决策'!AG153</x:f>
        <x:v>200</x:v>
      </x:c>
      <x:c r="AH57" s="18" t="n">
        <x:f>'两日价格与决策'!AH153</x:f>
        <x:v>200</x:v>
      </x:c>
      <x:c r="AI57" s="18" t="n">
        <x:f>'两日价格与决策'!AI153</x:f>
        <x:v>0</x:v>
      </x:c>
      <x:c r="AJ57" s="18" t="n">
        <x:f>'两日价格与决策'!AJ153</x:f>
        <x:v>6.972</x:v>
      </x:c>
      <x:c r="AK57" s="18" t="str">
        <x:f>'两日价格与决策'!AK153</x:f>
        <x:v>缺失</x:v>
      </x:c>
      <x:c r="AL57" s="18" t="n">
        <x:f>'两日价格与决策'!AL153</x:f>
        <x:v>0.008908666666666667</x:v>
      </x:c>
      <x:c r="AM57" s="18" t="n">
        <x:f>'两日价格与决策'!AM153</x:f>
        <x:v>3.486</x:v>
      </x:c>
      <x:c r="AN57" s="18" t="n">
        <x:f>'两日价格与决策'!AN153</x:f>
        <x:v>0</x:v>
      </x:c>
      <x:c r="AO57" s="18" t="n">
        <x:f>'两日价格与决策'!AO153</x:f>
        <x:v>189.63613999999941</x:v>
      </x:c>
      <x:c r="AP57" s="18" t="n">
        <x:f>'两日价格与决策'!AP153</x:f>
        <x:v>0</x:v>
      </x:c>
      <x:c r="AQ57" s="18" t="n">
        <x:f>'两日价格与决策'!AQ153</x:f>
        <x:v>4.9741</x:v>
      </x:c>
      <x:c r="AR57" s="21" t="n">
        <x:f>'两日价格与决策'!AR153</x:f>
        <x:v>45657</x:v>
      </x:c>
      <x:c r="AS57" s="17" t="n">
        <x:f>'两日价格与决策'!AS153</x:f>
        <x:v>45659.4375</x:v>
      </x:c>
      <x:c r="AT57" s="18" t="str">
        <x:f>'两日价格与决策'!AT153</x:f>
        <x:v>2025-01-02_12</x:v>
      </x:c>
      <x:c r="AU57" s="19" t="n">
        <x:f>'两日价格与决策'!AU153</x:f>
        <x:v>60</x:v>
      </x:c>
      <x:c r="AV57" s="18" t="str">
        <x:f>'两日价格与决策'!AV153</x:f>
        <x:v>OK</x:v>
      </x:c>
    </x:row>
    <x:row r="58" ht="21" customHeight="1">
      <x:c r="A58" s="17" t="n">
        <x:f>'两日价格与决策'!A154</x:f>
        <x:v>45659.53125</x:v>
      </x:c>
      <x:c r="B58" s="23" t="n">
        <x:f>'两日价格与决策'!B154</x:f>
        <x:v>123.15</x:v>
      </x:c>
      <x:c r="C58" s="23" t="str">
        <x:f>'两日价格与决策'!C154</x:f>
        <x:v>缺失</x:v>
      </x:c>
      <x:c r="D58" s="23" t="n">
        <x:f>'两日价格与决策'!D154</x:f>
        <x:v>13.71102309965622</x:v>
      </x:c>
      <x:c r="E58" s="23" t="n">
        <x:f>'两日价格与决策'!E154</x:f>
        <x:v>14.710198829939085</x:v>
      </x:c>
      <x:c r="F58" s="23" t="n">
        <x:f>'两日价格与决策'!F154</x:f>
        <x:v>136.70814820771596</x:v>
      </x:c>
      <x:c r="G58" s="23" t="n">
        <x:f>'两日价格与决策'!G154</x:f>
        <x:v>36.87400735811504</x:v>
      </x:c>
      <x:c r="H58" s="23" t="str">
        <x:f>'两日价格与决策'!H154</x:f>
        <x:v>未模拟</x:v>
      </x:c>
      <x:c r="I58" s="24" t="n">
        <x:f>'两日价格与决策'!I154</x:f>
        <x:v>189.63613999999941</x:v>
      </x:c>
      <x:c r="J58" s="24" t="n">
        <x:f>'两日价格与决策'!J154</x:f>
        <x:v>189.58423913043418</x:v>
      </x:c>
      <x:c r="K58" s="24" t="n">
        <x:f>'两日价格与决策'!K154</x:f>
        <x:v>0</x:v>
      </x:c>
      <x:c r="L58" s="24" t="n">
        <x:f>'两日价格与决策'!L154</x:f>
        <x:v>0</x:v>
      </x:c>
      <x:c r="M58" s="24" t="n">
        <x:f>'两日价格与决策'!M154</x:f>
        <x:v>100</x:v>
      </x:c>
      <x:c r="N58" s="24" t="n">
        <x:f>'两日价格与决策'!N154</x:f>
        <x:v>100</x:v>
      </x:c>
      <x:c r="O58" s="24" t="n">
        <x:f>'两日价格与决策'!O154</x:f>
        <x:v>0.3825</x:v>
      </x:c>
      <x:c r="P58" s="24" t="n">
        <x:f>'两日价格与决策'!P154</x:f>
        <x:v>0.3955</x:v>
      </x:c>
      <x:c r="Q58" s="25" t="n">
        <x:f>'两日价格与决策'!Q154</x:f>
        <x:v>0</x:v>
      </x:c>
      <x:c r="R58" s="25" t="n">
        <x:f>'两日价格与决策'!R154</x:f>
        <x:v>0</x:v>
      </x:c>
      <x:c r="S58" s="25" t="n">
        <x:f>'两日价格与决策'!S154</x:f>
        <x:v>342.7755774914055</x:v>
      </x:c>
      <x:c r="T58" s="25" t="n">
        <x:f>'两日价格与决策'!T154</x:f>
        <x:v>367.7549707484771</x:v>
      </x:c>
      <x:c r="U58" s="25" t="n">
        <x:f>'两日价格与决策'!U154</x:f>
        <x:v>52.290866689451356</x:v>
      </x:c>
      <x:c r="V58" s="25" t="n">
        <x:f>'两日价格与决策'!V154</x:f>
        <x:v>-14.583669910134498</x:v>
      </x:c>
      <x:c r="W58" s="25" t="n">
        <x:f>'两日价格与决策'!W154</x:f>
        <x:v>748.2377450191995</x:v>
      </x:c>
      <x:c r="X58" s="18" t="n">
        <x:f>'两日价格与决策'!X154</x:f>
        <x:v>748.2377450191995</x:v>
      </x:c>
      <x:c r="Y58" s="18" t="n">
        <x:f>'两日价格与决策'!Y154</x:f>
        <x:v>0</x:v>
      </x:c>
      <x:c r="Z58" s="18" t="str">
        <x:f>"1月2日执行｜前窗冻结订单"</x:f>
        <x:v>1月2日执行｜前窗冻结订单</x:v>
      </x:c>
      <x:c r="AA58" s="19" t="n">
        <x:f>'两日价格与决策'!AA154</x:f>
        <x:v>1</x:v>
      </x:c>
      <x:c r="AB58" s="19" t="n">
        <x:f>'两日价格与决策'!AB154</x:f>
        <x:v>0</x:v>
      </x:c>
      <x:c r="AC58" s="18" t="n">
        <x:f>'两日价格与决策'!AC154</x:f>
        <x:v>0.25</x:v>
      </x:c>
      <x:c r="AD58" s="20" t="n">
        <x:f>'两日价格与决策'!AD154</x:f>
        <x:v>1</x:v>
      </x:c>
      <x:c r="AE58" s="20" t="n">
        <x:f>'两日价格与决策'!AE154</x:f>
        <x:v>0.015300000000000001</x:v>
      </x:c>
      <x:c r="AF58" s="20" t="n">
        <x:f>'两日价格与决策'!AF154</x:f>
        <x:v>0.01582</x:v>
      </x:c>
      <x:c r="AG58" s="18" t="n">
        <x:f>'两日价格与决策'!AG154</x:f>
        <x:v>200</x:v>
      </x:c>
      <x:c r="AH58" s="18" t="n">
        <x:f>'两日价格与决策'!AH154</x:f>
        <x:v>200</x:v>
      </x:c>
      <x:c r="AI58" s="18" t="n">
        <x:f>'两日价格与决策'!AI154</x:f>
        <x:v>0.765</x:v>
      </x:c>
      <x:c r="AJ58" s="18" t="n">
        <x:f>'两日价格与决策'!AJ154</x:f>
        <x:v>0.791</x:v>
      </x:c>
      <x:c r="AK58" s="18" t="str">
        <x:f>'两日价格与决策'!AK154</x:f>
        <x:v>缺失</x:v>
      </x:c>
      <x:c r="AL58" s="18" t="n">
        <x:f>'两日价格与决策'!AL154</x:f>
        <x:v>0.0021656135265700482</x:v>
      </x:c>
      <x:c r="AM58" s="18" t="n">
        <x:f>'两日价格与决策'!AM154</x:f>
        <x:v>0.3955</x:v>
      </x:c>
      <x:c r="AN58" s="18" t="n">
        <x:f>'两日价格与决策'!AN154</x:f>
        <x:v>0.3825</x:v>
      </x:c>
      <x:c r="AO58" s="18" t="n">
        <x:f>'两日价格与决策'!AO154</x:f>
        <x:v>189.58423913043418</x:v>
      </x:c>
      <x:c r="AP58" s="18" t="n">
        <x:f>'两日价格与决策'!AP154</x:f>
        <x:v>0</x:v>
      </x:c>
      <x:c r="AQ58" s="18" t="n">
        <x:f>'两日价格与决策'!AQ154</x:f>
        <x:v>4.9741</x:v>
      </x:c>
      <x:c r="AR58" s="21" t="n">
        <x:f>'两日价格与决策'!AR154</x:f>
        <x:v>45657</x:v>
      </x:c>
      <x:c r="AS58" s="17" t="n">
        <x:f>'两日价格与决策'!AS154</x:f>
        <x:v>45659.447916666664</x:v>
      </x:c>
      <x:c r="AT58" s="18" t="str">
        <x:f>'两日价格与决策'!AT154</x:f>
        <x:v>2025-01-02_12</x:v>
      </x:c>
      <x:c r="AU58" s="19" t="n">
        <x:f>'两日价格与决策'!AU154</x:f>
        <x:v>60</x:v>
      </x:c>
      <x:c r="AV58" s="18" t="str">
        <x:f>'两日价格与决策'!AV154</x:f>
        <x:v>OK</x:v>
      </x:c>
    </x:row>
    <x:row r="59" ht="21" customHeight="1">
      <x:c r="A59" s="17" t="n">
        <x:f>'两日价格与决策'!A155</x:f>
        <x:v>45659.541666666664</x:v>
      </x:c>
      <x:c r="B59" s="23" t="n">
        <x:f>'两日价格与决策'!B155</x:f>
        <x:v>121.94</x:v>
      </x:c>
      <x:c r="C59" s="23" t="str">
        <x:f>'两日价格与决策'!C155</x:f>
        <x:v>缺失</x:v>
      </x:c>
      <x:c r="D59" s="23" t="n">
        <x:f>'两日价格与决策'!D155</x:f>
        <x:v>13.71102309965622</x:v>
      </x:c>
      <x:c r="E59" s="23" t="n">
        <x:f>'两日价格与决策'!E155</x:f>
        <x:v>14.710198829939085</x:v>
      </x:c>
      <x:c r="F59" s="23" t="n">
        <x:f>'两日价格与决策'!F155</x:f>
        <x:v>210.52230554271128</x:v>
      </x:c>
      <x:c r="G59" s="23" t="n">
        <x:f>'两日价格与决策'!G155</x:f>
        <x:v>0</x:v>
      </x:c>
      <x:c r="H59" s="23" t="str">
        <x:f>'两日价格与决策'!H155</x:f>
        <x:v>未模拟</x:v>
      </x:c>
      <x:c r="I59" s="24" t="n">
        <x:f>'两日价格与决策'!I155</x:f>
        <x:v>189.58423913043418</x:v>
      </x:c>
      <x:c r="J59" s="24" t="n">
        <x:f>'两日价格与决策'!J155</x:f>
        <x:v>181.00434782608636</x:v>
      </x:c>
      <x:c r="K59" s="24" t="n">
        <x:f>'两日价格与决策'!K155</x:f>
        <x:v>0</x:v>
      </x:c>
      <x:c r="L59" s="24" t="n">
        <x:f>'两日价格与决策'!L155</x:f>
        <x:v>0</x:v>
      </x:c>
      <x:c r="M59" s="24" t="n">
        <x:f>'两日价格与决策'!M155</x:f>
        <x:v>100</x:v>
      </x:c>
      <x:c r="N59" s="24" t="n">
        <x:f>'两日价格与决策'!N155</x:f>
        <x:v>100</x:v>
      </x:c>
      <x:c r="O59" s="24" t="n">
        <x:f>'两日价格与决策'!O155</x:f>
        <x:v>7.8935</x:v>
      </x:c>
      <x:c r="P59" s="24" t="n">
        <x:f>'两日价格与决策'!P155</x:f>
        <x:v>0</x:v>
      </x:c>
      <x:c r="Q59" s="25" t="n">
        <x:f>'两日价格与决策'!Q155</x:f>
        <x:v>0</x:v>
      </x:c>
      <x:c r="R59" s="25" t="n">
        <x:f>'两日价格与决策'!R155</x:f>
        <x:v>0</x:v>
      </x:c>
      <x:c r="S59" s="25" t="n">
        <x:f>'两日价格与决策'!S155</x:f>
        <x:v>342.7755774914055</x:v>
      </x:c>
      <x:c r="T59" s="25" t="n">
        <x:f>'两日价格与决策'!T155</x:f>
        <x:v>367.7549707484771</x:v>
      </x:c>
      <x:c r="U59" s="25" t="n">
        <x:f>'两日价格与决策'!U155</x:f>
        <x:v>1661.7578188013915</x:v>
      </x:c>
      <x:c r="V59" s="25" t="n">
        <x:f>'两日价格与决策'!V155</x:f>
        <x:v>0</x:v>
      </x:c>
      <x:c r="W59" s="25" t="n">
        <x:f>'两日价格与决策'!W155</x:f>
        <x:v>2372.288367041274</x:v>
      </x:c>
      <x:c r="X59" s="18" t="n">
        <x:f>'两日价格与决策'!X155</x:f>
        <x:v>2372.288367041274</x:v>
      </x:c>
      <x:c r="Y59" s="18" t="n">
        <x:f>'两日价格与决策'!Y155</x:f>
        <x:v>0</x:v>
      </x:c>
      <x:c r="Z59" s="18" t="str">
        <x:f>"1月2日执行｜前窗冻结订单"</x:f>
        <x:v>1月2日执行｜前窗冻结订单</x:v>
      </x:c>
      <x:c r="AA59" s="19" t="n">
        <x:f>'两日价格与决策'!AA155</x:f>
        <x:v>1</x:v>
      </x:c>
      <x:c r="AB59" s="19" t="n">
        <x:f>'两日价格与决策'!AB155</x:f>
        <x:v>0</x:v>
      </x:c>
      <x:c r="AC59" s="18" t="n">
        <x:f>'两日价格与决策'!AC155</x:f>
        <x:v>0.25</x:v>
      </x:c>
      <x:c r="AD59" s="20" t="n">
        <x:f>'两日价格与决策'!AD155</x:f>
        <x:v>1</x:v>
      </x:c>
      <x:c r="AE59" s="20" t="n">
        <x:f>'两日价格与决策'!AE155</x:f>
        <x:v>0.31574</x:v>
      </x:c>
      <x:c r="AF59" s="20" t="n">
        <x:f>'两日价格与决策'!AF155</x:f>
        <x:v>0</x:v>
      </x:c>
      <x:c r="AG59" s="18" t="n">
        <x:f>'两日价格与决策'!AG155</x:f>
        <x:v>200</x:v>
      </x:c>
      <x:c r="AH59" s="18" t="n">
        <x:f>'两日价格与决策'!AH155</x:f>
        <x:v>200</x:v>
      </x:c>
      <x:c r="AI59" s="18" t="n">
        <x:f>'两日价格与决策'!AI155</x:f>
        <x:v>15.787</x:v>
      </x:c>
      <x:c r="AJ59" s="18" t="n">
        <x:f>'两日价格与决策'!AJ155</x:f>
        <x:v>0</x:v>
      </x:c>
      <x:c r="AK59" s="18" t="str">
        <x:f>'两日价格与决策'!AK155</x:f>
        <x:v>缺失</x:v>
      </x:c>
      <x:c r="AL59" s="18" t="n">
        <x:f>'两日价格与决策'!AL155</x:f>
        <x:v>0.02383303140096618</x:v>
      </x:c>
      <x:c r="AM59" s="18" t="n">
        <x:f>'两日价格与决策'!AM155</x:f>
        <x:v>0</x:v>
      </x:c>
      <x:c r="AN59" s="18" t="n">
        <x:f>'两日价格与决策'!AN155</x:f>
        <x:v>7.8935</x:v>
      </x:c>
      <x:c r="AO59" s="18" t="n">
        <x:f>'两日价格与决策'!AO155</x:f>
        <x:v>181.00434782608636</x:v>
      </x:c>
      <x:c r="AP59" s="18" t="n">
        <x:f>'两日价格与决策'!AP155</x:f>
        <x:v>0</x:v>
      </x:c>
      <x:c r="AQ59" s="18" t="n">
        <x:f>'两日价格与决策'!AQ155</x:f>
        <x:v>4.9741</x:v>
      </x:c>
      <x:c r="AR59" s="21" t="n">
        <x:f>'两日价格与决策'!AR155</x:f>
        <x:v>45657</x:v>
      </x:c>
      <x:c r="AS59" s="17" t="n">
        <x:f>'两日价格与决策'!AS155</x:f>
        <x:v>45659.458333333336</x:v>
      </x:c>
      <x:c r="AT59" s="18" t="str">
        <x:f>'两日价格与决策'!AT155</x:f>
        <x:v>2025-01-02_13</x:v>
      </x:c>
      <x:c r="AU59" s="19" t="n">
        <x:f>'两日价格与决策'!AU155</x:f>
        <x:v>60</x:v>
      </x:c>
      <x:c r="AV59" s="18" t="str">
        <x:f>'两日价格与决策'!AV155</x:f>
        <x:v>OK</x:v>
      </x:c>
    </x:row>
    <x:row r="60" ht="21" customHeight="1">
      <x:c r="A60" s="17" t="n">
        <x:f>'两日价格与决策'!A156</x:f>
        <x:v>45659.552083333336</x:v>
      </x:c>
      <x:c r="B60" s="23" t="n">
        <x:f>'两日价格与决策'!B156</x:f>
        <x:v>121.94</x:v>
      </x:c>
      <x:c r="C60" s="23" t="str">
        <x:f>'两日价格与决策'!C156</x:f>
        <x:v>缺失</x:v>
      </x:c>
      <x:c r="D60" s="23" t="n">
        <x:f>'两日价格与决策'!D156</x:f>
        <x:v>13.71102309965622</x:v>
      </x:c>
      <x:c r="E60" s="23" t="n">
        <x:f>'两日价格与决策'!E156</x:f>
        <x:v>14.710198829939085</x:v>
      </x:c>
      <x:c r="F60" s="23" t="n">
        <x:f>'两日价格与决策'!F156</x:f>
        <x:v>169.49277256187048</x:v>
      </x:c>
      <x:c r="G60" s="23" t="n">
        <x:f>'两日价格与决策'!G156</x:f>
        <x:v>0</x:v>
      </x:c>
      <x:c r="H60" s="23" t="str">
        <x:f>'两日价格与决策'!H156</x:f>
        <x:v>未模拟</x:v>
      </x:c>
      <x:c r="I60" s="24" t="n">
        <x:f>'两日价格与决策'!I156</x:f>
        <x:v>181.00434782608636</x:v>
      </x:c>
      <x:c r="J60" s="24" t="n">
        <x:f>'两日价格与决策'!J156</x:f>
        <x:v>178.91793478260809</x:v>
      </x:c>
      <x:c r="K60" s="24" t="n">
        <x:f>'两日价格与决策'!K156</x:f>
        <x:v>0</x:v>
      </x:c>
      <x:c r="L60" s="24" t="n">
        <x:f>'两日价格与决策'!L156</x:f>
        <x:v>0</x:v>
      </x:c>
      <x:c r="M60" s="24" t="n">
        <x:f>'两日价格与决策'!M156</x:f>
        <x:v>100</x:v>
      </x:c>
      <x:c r="N60" s="24" t="n">
        <x:f>'两日价格与决策'!N156</x:f>
        <x:v>100</x:v>
      </x:c>
      <x:c r="O60" s="24" t="n">
        <x:f>'两日价格与决策'!O156</x:f>
        <x:v>1.9195</x:v>
      </x:c>
      <x:c r="P60" s="24" t="n">
        <x:f>'两日价格与决策'!P156</x:f>
        <x:v>0</x:v>
      </x:c>
      <x:c r="Q60" s="25" t="n">
        <x:f>'两日价格与决策'!Q156</x:f>
        <x:v>0</x:v>
      </x:c>
      <x:c r="R60" s="25" t="n">
        <x:f>'两日价格与决策'!R156</x:f>
        <x:v>0</x:v>
      </x:c>
      <x:c r="S60" s="25" t="n">
        <x:f>'两日价格与决策'!S156</x:f>
        <x:v>342.7755774914055</x:v>
      </x:c>
      <x:c r="T60" s="25" t="n">
        <x:f>'两日价格与决策'!T156</x:f>
        <x:v>367.7549707484771</x:v>
      </x:c>
      <x:c r="U60" s="25" t="n">
        <x:f>'两日价格与决策'!U156</x:f>
        <x:v>325.3413769325104</x:v>
      </x:c>
      <x:c r="V60" s="25" t="n">
        <x:f>'两日价格与决策'!V156</x:f>
        <x:v>0</x:v>
      </x:c>
      <x:c r="W60" s="25" t="n">
        <x:f>'两日价格与决策'!W156</x:f>
        <x:v>1035.871925172393</x:v>
      </x:c>
      <x:c r="X60" s="18" t="n">
        <x:f>'两日价格与决策'!X156</x:f>
        <x:v>1035.871925172393</x:v>
      </x:c>
      <x:c r="Y60" s="18" t="n">
        <x:f>'两日价格与决策'!Y156</x:f>
        <x:v>0</x:v>
      </x:c>
      <x:c r="Z60" s="18" t="str">
        <x:f>"1月2日执行｜前窗冻结订单"</x:f>
        <x:v>1月2日执行｜前窗冻结订单</x:v>
      </x:c>
      <x:c r="AA60" s="19" t="n">
        <x:f>'两日价格与决策'!AA156</x:f>
        <x:v>1</x:v>
      </x:c>
      <x:c r="AB60" s="19" t="n">
        <x:f>'两日价格与决策'!AB156</x:f>
        <x:v>0</x:v>
      </x:c>
      <x:c r="AC60" s="18" t="n">
        <x:f>'两日价格与决策'!AC156</x:f>
        <x:v>0.25</x:v>
      </x:c>
      <x:c r="AD60" s="20" t="n">
        <x:f>'两日价格与决策'!AD156</x:f>
        <x:v>1</x:v>
      </x:c>
      <x:c r="AE60" s="20" t="n">
        <x:f>'两日价格与决策'!AE156</x:f>
        <x:v>0.07678</x:v>
      </x:c>
      <x:c r="AF60" s="20" t="n">
        <x:f>'两日价格与决策'!AF156</x:f>
        <x:v>0</x:v>
      </x:c>
      <x:c r="AG60" s="18" t="n">
        <x:f>'两日价格与决策'!AG156</x:f>
        <x:v>200</x:v>
      </x:c>
      <x:c r="AH60" s="18" t="n">
        <x:f>'两日价格与决策'!AH156</x:f>
        <x:v>200</x:v>
      </x:c>
      <x:c r="AI60" s="18" t="n">
        <x:f>'两日价格与决策'!AI156</x:f>
        <x:v>3.839</x:v>
      </x:c>
      <x:c r="AJ60" s="18" t="n">
        <x:f>'两日价格与决策'!AJ156</x:f>
        <x:v>0</x:v>
      </x:c>
      <x:c r="AK60" s="18" t="str">
        <x:f>'两日价格与决策'!AK156</x:f>
        <x:v>缺失</x:v>
      </x:c>
      <x:c r="AL60" s="18" t="n">
        <x:f>'两日价格与决策'!AL156</x:f>
        <x:v>0.005795591787439614</x:v>
      </x:c>
      <x:c r="AM60" s="18" t="n">
        <x:f>'两日价格与决策'!AM156</x:f>
        <x:v>0</x:v>
      </x:c>
      <x:c r="AN60" s="18" t="n">
        <x:f>'两日价格与决策'!AN156</x:f>
        <x:v>1.9195</x:v>
      </x:c>
      <x:c r="AO60" s="18" t="n">
        <x:f>'两日价格与决策'!AO156</x:f>
        <x:v>178.91793478260809</x:v>
      </x:c>
      <x:c r="AP60" s="18" t="n">
        <x:f>'两日价格与决策'!AP156</x:f>
        <x:v>0</x:v>
      </x:c>
      <x:c r="AQ60" s="18" t="n">
        <x:f>'两日价格与决策'!AQ156</x:f>
        <x:v>4.9741</x:v>
      </x:c>
      <x:c r="AR60" s="21" t="n">
        <x:f>'两日价格与决策'!AR156</x:f>
        <x:v>45657</x:v>
      </x:c>
      <x:c r="AS60" s="17" t="n">
        <x:f>'两日价格与决策'!AS156</x:f>
        <x:v>45659.46875</x:v>
      </x:c>
      <x:c r="AT60" s="18" t="str">
        <x:f>'两日价格与决策'!AT156</x:f>
        <x:v>2025-01-02_13</x:v>
      </x:c>
      <x:c r="AU60" s="19" t="n">
        <x:f>'两日价格与决策'!AU156</x:f>
        <x:v>60</x:v>
      </x:c>
      <x:c r="AV60" s="18" t="str">
        <x:f>'两日价格与决策'!AV156</x:f>
        <x:v>OK</x:v>
      </x:c>
    </x:row>
    <x:row r="61" ht="21" customHeight="1">
      <x:c r="A61" s="17" t="n">
        <x:f>'两日价格与决策'!A157</x:f>
        <x:v>45659.5625</x:v>
      </x:c>
      <x:c r="B61" s="23" t="n">
        <x:f>'两日价格与决策'!B157</x:f>
        <x:v>121.94</x:v>
      </x:c>
      <x:c r="C61" s="23" t="str">
        <x:f>'两日价格与决策'!C157</x:f>
        <x:v>缺失</x:v>
      </x:c>
      <x:c r="D61" s="23" t="n">
        <x:f>'两日价格与决策'!D157</x:f>
        <x:v>13.71102309965622</x:v>
      </x:c>
      <x:c r="E61" s="23" t="n">
        <x:f>'两日价格与决策'!E157</x:f>
        <x:v>14.710198829939085</x:v>
      </x:c>
      <x:c r="F61" s="23" t="n">
        <x:f>'两日价格与决策'!F157</x:f>
        <x:v>132.54980800546832</x:v>
      </x:c>
      <x:c r="G61" s="23" t="n">
        <x:f>'两日价格与决策'!G157</x:f>
        <x:v>0</x:v>
      </x:c>
      <x:c r="H61" s="23" t="str">
        <x:f>'两日价格与决策'!H157</x:f>
        <x:v>未模拟</x:v>
      </x:c>
      <x:c r="I61" s="24" t="n">
        <x:f>'两日价格与决策'!I157</x:f>
        <x:v>178.91793478260809</x:v>
      </x:c>
      <x:c r="J61" s="24" t="n">
        <x:f>'两日价格与决策'!J157</x:f>
        <x:v>178.56847826086894</x:v>
      </x:c>
      <x:c r="K61" s="24" t="n">
        <x:f>'两日价格与决策'!K157</x:f>
        <x:v>0</x:v>
      </x:c>
      <x:c r="L61" s="24" t="n">
        <x:f>'两日价格与决策'!L157</x:f>
        <x:v>0</x:v>
      </x:c>
      <x:c r="M61" s="24" t="n">
        <x:f>'两日价格与决策'!M157</x:f>
        <x:v>100</x:v>
      </x:c>
      <x:c r="N61" s="24" t="n">
        <x:f>'两日价格与决策'!N157</x:f>
        <x:v>100</x:v>
      </x:c>
      <x:c r="O61" s="24" t="n">
        <x:f>'两日价格与决策'!O157</x:f>
        <x:v>0.3215</x:v>
      </x:c>
      <x:c r="P61" s="24" t="n">
        <x:f>'两日价格与决策'!P157</x:f>
        <x:v>0</x:v>
      </x:c>
      <x:c r="Q61" s="25" t="n">
        <x:f>'两日价格与决策'!Q157</x:f>
        <x:v>0</x:v>
      </x:c>
      <x:c r="R61" s="25" t="n">
        <x:f>'两日价格与决策'!R157</x:f>
        <x:v>0</x:v>
      </x:c>
      <x:c r="S61" s="25" t="n">
        <x:f>'两日价格与决策'!S157</x:f>
        <x:v>342.7755774914055</x:v>
      </x:c>
      <x:c r="T61" s="25" t="n">
        <x:f>'两日价格与决策'!T157</x:f>
        <x:v>367.7549707484771</x:v>
      </x:c>
      <x:c r="U61" s="25" t="n">
        <x:f>'两日价格与决策'!U157</x:f>
        <x:v>42.614763273758065</x:v>
      </x:c>
      <x:c r="V61" s="25" t="n">
        <x:f>'两日价格与决策'!V157</x:f>
        <x:v>0</x:v>
      </x:c>
      <x:c r="W61" s="25" t="n">
        <x:f>'两日价格与决策'!W157</x:f>
        <x:v>753.1453115136406</x:v>
      </x:c>
      <x:c r="X61" s="18" t="n">
        <x:f>'两日价格与决策'!X157</x:f>
        <x:v>753.1453115136406</x:v>
      </x:c>
      <x:c r="Y61" s="18" t="n">
        <x:f>'两日价格与决策'!Y157</x:f>
        <x:v>0</x:v>
      </x:c>
      <x:c r="Z61" s="18" t="str">
        <x:f>"1月2日执行｜前窗冻结订单"</x:f>
        <x:v>1月2日执行｜前窗冻结订单</x:v>
      </x:c>
      <x:c r="AA61" s="19" t="n">
        <x:f>'两日价格与决策'!AA157</x:f>
        <x:v>1</x:v>
      </x:c>
      <x:c r="AB61" s="19" t="n">
        <x:f>'两日价格与决策'!AB157</x:f>
        <x:v>0</x:v>
      </x:c>
      <x:c r="AC61" s="18" t="n">
        <x:f>'两日价格与决策'!AC157</x:f>
        <x:v>0.25</x:v>
      </x:c>
      <x:c r="AD61" s="20" t="n">
        <x:f>'两日价格与决策'!AD157</x:f>
        <x:v>1</x:v>
      </x:c>
      <x:c r="AE61" s="20" t="n">
        <x:f>'两日价格与决策'!AE157</x:f>
        <x:v>0.01286</x:v>
      </x:c>
      <x:c r="AF61" s="20" t="n">
        <x:f>'两日价格与决策'!AF157</x:f>
        <x:v>0</x:v>
      </x:c>
      <x:c r="AG61" s="18" t="n">
        <x:f>'两日价格与决策'!AG157</x:f>
        <x:v>200</x:v>
      </x:c>
      <x:c r="AH61" s="18" t="n">
        <x:f>'两日价格与决策'!AH157</x:f>
        <x:v>200</x:v>
      </x:c>
      <x:c r="AI61" s="18" t="n">
        <x:f>'两日价格与决策'!AI157</x:f>
        <x:v>0.643</x:v>
      </x:c>
      <x:c r="AJ61" s="18" t="n">
        <x:f>'两日价格与决策'!AJ157</x:f>
        <x:v>0</x:v>
      </x:c>
      <x:c r="AK61" s="18" t="str">
        <x:f>'两日价格与决策'!AK157</x:f>
        <x:v>缺失</x:v>
      </x:c>
      <x:c r="AL61" s="18" t="n">
        <x:f>'两日价格与决策'!AL157</x:f>
        <x:v>0.0009707125603864733</x:v>
      </x:c>
      <x:c r="AM61" s="18" t="n">
        <x:f>'两日价格与决策'!AM157</x:f>
        <x:v>0</x:v>
      </x:c>
      <x:c r="AN61" s="18" t="n">
        <x:f>'两日价格与决策'!AN157</x:f>
        <x:v>0.3215</x:v>
      </x:c>
      <x:c r="AO61" s="18" t="n">
        <x:f>'两日价格与决策'!AO157</x:f>
        <x:v>178.56847826086894</x:v>
      </x:c>
      <x:c r="AP61" s="18" t="n">
        <x:f>'两日价格与决策'!AP157</x:f>
        <x:v>0</x:v>
      </x:c>
      <x:c r="AQ61" s="18" t="n">
        <x:f>'两日价格与决策'!AQ157</x:f>
        <x:v>4.9741</x:v>
      </x:c>
      <x:c r="AR61" s="21" t="n">
        <x:f>'两日价格与决策'!AR157</x:f>
        <x:v>45657</x:v>
      </x:c>
      <x:c r="AS61" s="17" t="n">
        <x:f>'两日价格与决策'!AS157</x:f>
        <x:v>45659.479166666664</x:v>
      </x:c>
      <x:c r="AT61" s="18" t="str">
        <x:f>'两日价格与决策'!AT157</x:f>
        <x:v>2025-01-02_13</x:v>
      </x:c>
      <x:c r="AU61" s="19" t="n">
        <x:f>'两日价格与决策'!AU157</x:f>
        <x:v>60</x:v>
      </x:c>
      <x:c r="AV61" s="18" t="str">
        <x:f>'两日价格与决策'!AV157</x:f>
        <x:v>OK</x:v>
      </x:c>
    </x:row>
    <x:row r="62" ht="21" customHeight="1">
      <x:c r="A62" s="17" t="n">
        <x:f>'两日价格与决策'!A158</x:f>
        <x:v>45659.572916666664</x:v>
      </x:c>
      <x:c r="B62" s="23" t="n">
        <x:f>'两日价格与决策'!B158</x:f>
        <x:v>121.94</x:v>
      </x:c>
      <x:c r="C62" s="23" t="str">
        <x:f>'两日价格与决策'!C158</x:f>
        <x:v>缺失</x:v>
      </x:c>
      <x:c r="D62" s="23" t="n">
        <x:f>'两日价格与决策'!D158</x:f>
        <x:v>13.71102309965622</x:v>
      </x:c>
      <x:c r="E62" s="23" t="n">
        <x:f>'两日价格与决策'!E158</x:f>
        <x:v>14.710198829939085</x:v>
      </x:c>
      <x:c r="F62" s="23" t="n">
        <x:f>'两日价格与决策'!F158</x:f>
        <x:v>136.70814820771596</x:v>
      </x:c>
      <x:c r="G62" s="23" t="n">
        <x:f>'两日价格与决策'!G158</x:f>
        <x:v>26.079893850143744</x:v>
      </x:c>
      <x:c r="H62" s="23" t="str">
        <x:f>'两日价格与决策'!H158</x:f>
        <x:v>未模拟</x:v>
      </x:c>
      <x:c r="I62" s="24" t="n">
        <x:f>'两日价格与决策'!I158</x:f>
        <x:v>178.56847826086894</x:v>
      </x:c>
      <x:c r="J62" s="24" t="n">
        <x:f>'两日价格与决策'!J158</x:f>
        <x:v>178.5976869565211</x:v>
      </x:c>
      <x:c r="K62" s="24" t="n">
        <x:f>'两日价格与决策'!K158</x:f>
        <x:v>0</x:v>
      </x:c>
      <x:c r="L62" s="24" t="n">
        <x:f>'两日价格与决策'!L158</x:f>
        <x:v>0</x:v>
      </x:c>
      <x:c r="M62" s="24" t="n">
        <x:f>'两日价格与决策'!M158</x:f>
        <x:v>100</x:v>
      </x:c>
      <x:c r="N62" s="24" t="n">
        <x:f>'两日价格与决策'!N158</x:f>
        <x:v>100</x:v>
      </x:c>
      <x:c r="O62" s="24" t="n">
        <x:f>'两日价格与决策'!O158</x:f>
        <x:v>0.062</x:v>
      </x:c>
      <x:c r="P62" s="24" t="n">
        <x:f>'两日价格与决策'!P158</x:f>
        <x:v>0.105</x:v>
      </x:c>
      <x:c r="Q62" s="25" t="n">
        <x:f>'两日价格与决策'!Q158</x:f>
        <x:v>0</x:v>
      </x:c>
      <x:c r="R62" s="25" t="n">
        <x:f>'两日价格与决策'!R158</x:f>
        <x:v>0</x:v>
      </x:c>
      <x:c r="S62" s="25" t="n">
        <x:f>'两日价格与决策'!S158</x:f>
        <x:v>342.7755774914055</x:v>
      </x:c>
      <x:c r="T62" s="25" t="n">
        <x:f>'两日价格与决策'!T158</x:f>
        <x:v>367.7549707484771</x:v>
      </x:c>
      <x:c r="U62" s="25" t="n">
        <x:f>'两日价格与决策'!U158</x:f>
        <x:v>8.47590518887839</x:v>
      </x:c>
      <x:c r="V62" s="25" t="n">
        <x:f>'两日价格与决策'!V158</x:f>
        <x:v>-2.738388854265093</x:v>
      </x:c>
      <x:c r="W62" s="25" t="n">
        <x:f>'两日价格与决策'!W158</x:f>
        <x:v>716.268064574496</x:v>
      </x:c>
      <x:c r="X62" s="18" t="n">
        <x:f>'两日价格与决策'!X158</x:f>
        <x:v>716.2680645744958</x:v>
      </x:c>
      <x:c r="Y62" s="18" t="n">
        <x:f>'两日价格与决策'!Y158</x:f>
        <x:v>1.1368683772161603e-13</x:v>
      </x:c>
      <x:c r="Z62" s="18" t="str">
        <x:f>"1月2日执行｜前窗冻结订单"</x:f>
        <x:v>1月2日执行｜前窗冻结订单</x:v>
      </x:c>
      <x:c r="AA62" s="19" t="n">
        <x:f>'两日价格与决策'!AA158</x:f>
        <x:v>1</x:v>
      </x:c>
      <x:c r="AB62" s="19" t="n">
        <x:f>'两日价格与决策'!AB158</x:f>
        <x:v>0</x:v>
      </x:c>
      <x:c r="AC62" s="18" t="n">
        <x:f>'两日价格与决策'!AC158</x:f>
        <x:v>0.25</x:v>
      </x:c>
      <x:c r="AD62" s="20" t="n">
        <x:f>'两日价格与决策'!AD158</x:f>
        <x:v>1</x:v>
      </x:c>
      <x:c r="AE62" s="20" t="n">
        <x:f>'两日价格与决策'!AE158</x:f>
        <x:v>0.00248</x:v>
      </x:c>
      <x:c r="AF62" s="20" t="n">
        <x:f>'两日价格与决策'!AF158</x:f>
        <x:v>0.0042</x:v>
      </x:c>
      <x:c r="AG62" s="18" t="n">
        <x:f>'两日价格与决策'!AG158</x:f>
        <x:v>200</x:v>
      </x:c>
      <x:c r="AH62" s="18" t="n">
        <x:f>'两日价格与决策'!AH158</x:f>
        <x:v>200</x:v>
      </x:c>
      <x:c r="AI62" s="18" t="n">
        <x:f>'两日价格与决策'!AI158</x:f>
        <x:v>0.124</x:v>
      </x:c>
      <x:c r="AJ62" s="18" t="n">
        <x:f>'两日价格与决策'!AJ158</x:f>
        <x:v>0.21</x:v>
      </x:c>
      <x:c r="AK62" s="18" t="str">
        <x:f>'两日价格与决策'!AK158</x:f>
        <x:v>缺失</x:v>
      </x:c>
      <x:c r="AL62" s="18" t="n">
        <x:f>'两日价格与决策'!AL158</x:f>
        <x:v>0.00045553140096618355</x:v>
      </x:c>
      <x:c r="AM62" s="18" t="n">
        <x:f>'两日价格与决策'!AM158</x:f>
        <x:v>0.105</x:v>
      </x:c>
      <x:c r="AN62" s="18" t="n">
        <x:f>'两日价格与决策'!AN158</x:f>
        <x:v>0.062</x:v>
      </x:c>
      <x:c r="AO62" s="18" t="n">
        <x:f>'两日价格与决策'!AO158</x:f>
        <x:v>178.5976869565211</x:v>
      </x:c>
      <x:c r="AP62" s="18" t="n">
        <x:f>'两日价格与决策'!AP158</x:f>
        <x:v>0</x:v>
      </x:c>
      <x:c r="AQ62" s="18" t="n">
        <x:f>'两日价格与决策'!AQ158</x:f>
        <x:v>4.9741</x:v>
      </x:c>
      <x:c r="AR62" s="21" t="n">
        <x:f>'两日价格与决策'!AR158</x:f>
        <x:v>45657</x:v>
      </x:c>
      <x:c r="AS62" s="17" t="n">
        <x:f>'两日价格与决策'!AS158</x:f>
        <x:v>45659.489583333336</x:v>
      </x:c>
      <x:c r="AT62" s="18" t="str">
        <x:f>'两日价格与决策'!AT158</x:f>
        <x:v>2025-01-02_13</x:v>
      </x:c>
      <x:c r="AU62" s="19" t="n">
        <x:f>'两日价格与决策'!AU158</x:f>
        <x:v>60</x:v>
      </x:c>
      <x:c r="AV62" s="18" t="str">
        <x:f>'两日价格与决策'!AV158</x:f>
        <x:v>OK</x:v>
      </x:c>
    </x:row>
    <x:row r="63" ht="21" customHeight="1">
      <x:c r="A63" s="17" t="n">
        <x:f>'两日价格与决策'!A159</x:f>
        <x:v>45659.583333333336</x:v>
      </x:c>
      <x:c r="B63" s="23" t="n">
        <x:f>'两日价格与决策'!B159</x:f>
        <x:v>116.3</x:v>
      </x:c>
      <x:c r="C63" s="23" t="str">
        <x:f>'两日价格与决策'!C159</x:f>
        <x:v>缺失</x:v>
      </x:c>
      <x:c r="D63" s="23" t="n">
        <x:f>'两日价格与决策'!D159</x:f>
        <x:v>13.71102309965622</x:v>
      </x:c>
      <x:c r="E63" s="23" t="n">
        <x:f>'两日价格与决策'!E159</x:f>
        <x:v>14.710198829939085</x:v>
      </x:c>
      <x:c r="F63" s="23" t="n">
        <x:f>'两日价格与决策'!F159</x:f>
        <x:v>0</x:v>
      </x:c>
      <x:c r="G63" s="23" t="n">
        <x:f>'两日价格与决策'!G159</x:f>
        <x:v>31.699000824269717</x:v>
      </x:c>
      <x:c r="H63" s="23" t="str">
        <x:f>'两日价格与决策'!H159</x:f>
        <x:v>未模拟</x:v>
      </x:c>
      <x:c r="I63" s="24" t="n">
        <x:f>'两日价格与决策'!I159</x:f>
        <x:v>178.5976869565211</x:v>
      </x:c>
      <x:c r="J63" s="24" t="n">
        <x:f>'两日价格与决策'!J159</x:f>
        <x:v>184.7851469565209</x:v>
      </x:c>
      <x:c r="K63" s="24" t="n">
        <x:f>'两日价格与决策'!K159</x:f>
        <x:v>-24.999999999999062</x:v>
      </x:c>
      <x:c r="L63" s="24" t="n">
        <x:f>'两日价格与决策'!L159</x:f>
        <x:v>0</x:v>
      </x:c>
      <x:c r="M63" s="24" t="n">
        <x:f>'两日价格与决策'!M159</x:f>
        <x:v>100</x:v>
      </x:c>
      <x:c r="N63" s="24" t="n">
        <x:f>'两日价格与决策'!N159</x:f>
        <x:v>75</x:v>
      </x:c>
      <x:c r="O63" s="24" t="n">
        <x:f>'两日价格与决策'!O159</x:f>
        <x:v>0</x:v>
      </x:c>
      <x:c r="P63" s="24" t="n">
        <x:f>'两日价格与决策'!P159</x:f>
        <x:v>0.47550000000000003</x:v>
      </x:c>
      <x:c r="Q63" s="25" t="n">
        <x:f>'两日价格与决策'!Q159</x:f>
        <x:v>-726.8749999999727</x:v>
      </x:c>
      <x:c r="R63" s="25" t="n">
        <x:f>'两日价格与决策'!R159</x:f>
        <x:v>0</x:v>
      </x:c>
      <x:c r="S63" s="25" t="n">
        <x:f>'两日价格与决策'!S159</x:f>
        <x:v>342.7755774914055</x:v>
      </x:c>
      <x:c r="T63" s="25" t="n">
        <x:f>'两日价格与决策'!T159</x:f>
        <x:v>275.81622806135783</x:v>
      </x:c>
      <x:c r="U63" s="25" t="n">
        <x:f>'两日价格与决策'!U159</x:f>
        <x:v>0</x:v>
      </x:c>
      <x:c r="V63" s="25" t="n">
        <x:f>'两日价格与决策'!V159</x:f>
        <x:v>-15.072874891940252</x:v>
      </x:c>
      <x:c r="W63" s="25" t="n">
        <x:f>'两日价格与决策'!W159</x:f>
        <x:v>-123.35606933914963</x:v>
      </x:c>
      <x:c r="X63" s="18" t="n">
        <x:f>'两日价格与决策'!X159</x:f>
        <x:v>-123.35606933914963</x:v>
      </x:c>
      <x:c r="Y63" s="18" t="n">
        <x:f>'两日价格与决策'!Y159</x:f>
        <x:v>0</x:v>
      </x:c>
      <x:c r="Z63" s="18" t="str">
        <x:f>"1月2日执行｜前窗冻结订单"</x:f>
        <x:v>1月2日执行｜前窗冻结订单</x:v>
      </x:c>
      <x:c r="AA63" s="19" t="n">
        <x:f>'两日价格与决策'!AA159</x:f>
        <x:v>1</x:v>
      </x:c>
      <x:c r="AB63" s="19" t="n">
        <x:f>'两日价格与决策'!AB159</x:f>
        <x:v>0</x:v>
      </x:c>
      <x:c r="AC63" s="18" t="n">
        <x:f>'两日价格与决策'!AC159</x:f>
        <x:v>0.25</x:v>
      </x:c>
      <x:c r="AD63" s="20" t="n">
        <x:f>'两日价格与决策'!AD159</x:f>
        <x:v>1</x:v>
      </x:c>
      <x:c r="AE63" s="20" t="n">
        <x:f>'两日价格与决策'!AE159</x:f>
        <x:v>0</x:v>
      </x:c>
      <x:c r="AF63" s="20" t="n">
        <x:f>'两日价格与决策'!AF159</x:f>
        <x:v>0.02536</x:v>
      </x:c>
      <x:c r="AG63" s="18" t="n">
        <x:f>'两日价格与决策'!AG159</x:f>
        <x:v>200</x:v>
      </x:c>
      <x:c r="AH63" s="18" t="n">
        <x:f>'两日价格与决策'!AH159</x:f>
        <x:v>200</x:v>
      </x:c>
      <x:c r="AI63" s="18" t="n">
        <x:f>'两日价格与决策'!AI159</x:f>
        <x:v>0</x:v>
      </x:c>
      <x:c r="AJ63" s="18" t="n">
        <x:f>'两日价格与决策'!AJ159</x:f>
        <x:v>1.268</x:v>
      </x:c>
      <x:c r="AK63" s="18" t="str">
        <x:f>'两日价格与决策'!AK159</x:f>
        <x:v>缺失</x:v>
      </x:c>
      <x:c r="AL63" s="18" t="n">
        <x:f>'两日价格与决策'!AL159</x:f>
        <x:v>0.017187388888888287</x:v>
      </x:c>
      <x:c r="AM63" s="18" t="n">
        <x:f>'两日价格与决策'!AM159</x:f>
        <x:v>6.725499999999765</x:v>
      </x:c>
      <x:c r="AN63" s="18" t="n">
        <x:f>'两日价格与决策'!AN159</x:f>
        <x:v>0</x:v>
      </x:c>
      <x:c r="AO63" s="18" t="n">
        <x:f>'两日价格与决策'!AO159</x:f>
        <x:v>184.7851469565209</x:v>
      </x:c>
      <x:c r="AP63" s="18" t="n">
        <x:f>'两日价格与决策'!AP159</x:f>
        <x:v>0</x:v>
      </x:c>
      <x:c r="AQ63" s="18" t="n">
        <x:f>'两日价格与决策'!AQ159</x:f>
        <x:v>4.9741</x:v>
      </x:c>
      <x:c r="AR63" s="21" t="n">
        <x:f>'两日价格与决策'!AR159</x:f>
        <x:v>45657</x:v>
      </x:c>
      <x:c r="AS63" s="17" t="n">
        <x:f>'两日价格与决策'!AS159</x:f>
        <x:v>45659.5</x:v>
      </x:c>
      <x:c r="AT63" s="18" t="str">
        <x:f>'两日价格与决策'!AT159</x:f>
        <x:v>2025-01-02_14</x:v>
      </x:c>
      <x:c r="AU63" s="19" t="n">
        <x:f>'两日价格与决策'!AU159</x:f>
        <x:v>60</x:v>
      </x:c>
      <x:c r="AV63" s="18" t="str">
        <x:f>'两日价格与决策'!AV159</x:f>
        <x:v>OK</x:v>
      </x:c>
    </x:row>
    <x:row r="64" ht="21" customHeight="1">
      <x:c r="A64" s="17" t="n">
        <x:f>'两日价格与决策'!A160</x:f>
        <x:v>45659.59375</x:v>
      </x:c>
      <x:c r="B64" s="23" t="n">
        <x:f>'两日价格与决策'!B160</x:f>
        <x:v>116.3</x:v>
      </x:c>
      <x:c r="C64" s="23" t="str">
        <x:f>'两日价格与决策'!C160</x:f>
        <x:v>缺失</x:v>
      </x:c>
      <x:c r="D64" s="23" t="n">
        <x:f>'两日价格与决策'!D160</x:f>
        <x:v>13.71102309965622</x:v>
      </x:c>
      <x:c r="E64" s="23" t="n">
        <x:f>'两日价格与决策'!E160</x:f>
        <x:v>14.710198829939085</x:v>
      </x:c>
      <x:c r="F64" s="23" t="n">
        <x:f>'两日价格与决策'!F160</x:f>
        <x:v>136.70814820771596</x:v>
      </x:c>
      <x:c r="G64" s="23" t="n">
        <x:f>'两日价格与决策'!G160</x:f>
        <x:v>58.3020043827024</x:v>
      </x:c>
      <x:c r="H64" s="23" t="str">
        <x:f>'两日价格与决策'!H160</x:f>
        <x:v>未模拟</x:v>
      </x:c>
      <x:c r="I64" s="24" t="n">
        <x:f>'两日价格与决策'!I160</x:f>
        <x:v>184.7851469565209</x:v>
      </x:c>
      <x:c r="J64" s="24" t="n">
        <x:f>'两日价格与决策'!J160</x:f>
        <x:v>189.91249130434676</x:v>
      </x:c>
      <x:c r="K64" s="24" t="n">
        <x:f>'两日价格与决策'!K160</x:f>
        <x:v>-24.999999999999062</x:v>
      </x:c>
      <x:c r="L64" s="24" t="n">
        <x:f>'两日价格与决策'!L160</x:f>
        <x:v>0</x:v>
      </x:c>
      <x:c r="M64" s="24" t="n">
        <x:f>'两日价格与决策'!M160</x:f>
        <x:v>100</x:v>
      </x:c>
      <x:c r="N64" s="24" t="n">
        <x:f>'两日价格与决策'!N160</x:f>
        <x:v>75</x:v>
      </x:c>
      <x:c r="O64" s="24" t="n">
        <x:f>'两日价格与决策'!O160</x:f>
        <x:v>0.601</x:v>
      </x:c>
      <x:c r="P64" s="24" t="n">
        <x:f>'两日价格与决策'!P160</x:f>
        <x:v>0.006</x:v>
      </x:c>
      <x:c r="Q64" s="25" t="n">
        <x:f>'两日价格与决策'!Q160</x:f>
        <x:v>-726.8749999999727</x:v>
      </x:c>
      <x:c r="R64" s="25" t="n">
        <x:f>'两日价格与决策'!R160</x:f>
        <x:v>0</x:v>
      </x:c>
      <x:c r="S64" s="25" t="n">
        <x:f>'两日价格与决策'!S160</x:f>
        <x:v>342.7755774914055</x:v>
      </x:c>
      <x:c r="T64" s="25" t="n">
        <x:f>'两日价格与决策'!T160</x:f>
        <x:v>275.81622806135783</x:v>
      </x:c>
      <x:c r="U64" s="25" t="n">
        <x:f>'两日价格与决策'!U160</x:f>
        <x:v>82.1615970728373</x:v>
      </x:c>
      <x:c r="V64" s="25" t="n">
        <x:f>'两日价格与决策'!V160</x:f>
        <x:v>-0.3498120262962144</x:v>
      </x:c>
      <x:c r="W64" s="25" t="n">
        <x:f>'两日价格与决策'!W160</x:f>
        <x:v>-26.4714094006683</x:v>
      </x:c>
      <x:c r="X64" s="18" t="n">
        <x:f>'两日价格与决策'!X160</x:f>
        <x:v>-26.4714094006683</x:v>
      </x:c>
      <x:c r="Y64" s="18" t="n">
        <x:f>'两日价格与决策'!Y160</x:f>
        <x:v>0</x:v>
      </x:c>
      <x:c r="Z64" s="18" t="str">
        <x:f>"1月2日执行｜前窗冻结订单"</x:f>
        <x:v>1月2日执行｜前窗冻结订单</x:v>
      </x:c>
      <x:c r="AA64" s="19" t="n">
        <x:f>'两日价格与决策'!AA160</x:f>
        <x:v>1</x:v>
      </x:c>
      <x:c r="AB64" s="19" t="n">
        <x:f>'两日价格与决策'!AB160</x:f>
        <x:v>0</x:v>
      </x:c>
      <x:c r="AC64" s="18" t="n">
        <x:f>'两日价格与决策'!AC160</x:f>
        <x:v>0.25</x:v>
      </x:c>
      <x:c r="AD64" s="20" t="n">
        <x:f>'两日价格与决策'!AD160</x:f>
        <x:v>1</x:v>
      </x:c>
      <x:c r="AE64" s="20" t="n">
        <x:f>'两日价格与决策'!AE160</x:f>
        <x:v>0.02404</x:v>
      </x:c>
      <x:c r="AF64" s="20" t="n">
        <x:f>'两日价格与决策'!AF160</x:f>
        <x:v>0.00032</x:v>
      </x:c>
      <x:c r="AG64" s="18" t="n">
        <x:f>'两日价格与决策'!AG160</x:f>
        <x:v>200</x:v>
      </x:c>
      <x:c r="AH64" s="18" t="n">
        <x:f>'两日价格与决策'!AH160</x:f>
        <x:v>200</x:v>
      </x:c>
      <x:c r="AI64" s="18" t="n">
        <x:f>'两日价格与决策'!AI160</x:f>
        <x:v>1.202</x:v>
      </x:c>
      <x:c r="AJ64" s="18" t="n">
        <x:f>'两日价格与决策'!AJ160</x:f>
        <x:v>0.016</x:v>
      </x:c>
      <x:c r="AK64" s="18" t="str">
        <x:f>'两日价格与决策'!AK160</x:f>
        <x:v>缺失</x:v>
      </x:c>
      <x:c r="AL64" s="18" t="n">
        <x:f>'两日价格与决策'!AL160</x:f>
        <x:v>0.0169645434782603</x:v>
      </x:c>
      <x:c r="AM64" s="18" t="n">
        <x:f>'两日价格与决策'!AM160</x:f>
        <x:v>6.105749999999771</x:v>
      </x:c>
      <x:c r="AN64" s="18" t="n">
        <x:f>'两日价格与决策'!AN160</x:f>
        <x:v>0.4507500000000056</x:v>
      </x:c>
      <x:c r="AO64" s="18" t="n">
        <x:f>'两日价格与决策'!AO160</x:f>
        <x:v>189.91249130434676</x:v>
      </x:c>
      <x:c r="AP64" s="18" t="n">
        <x:f>'两日价格与决策'!AP160</x:f>
        <x:v>0</x:v>
      </x:c>
      <x:c r="AQ64" s="18" t="n">
        <x:f>'两日价格与决策'!AQ160</x:f>
        <x:v>4.9741</x:v>
      </x:c>
      <x:c r="AR64" s="21" t="n">
        <x:f>'两日价格与决策'!AR160</x:f>
        <x:v>45657</x:v>
      </x:c>
      <x:c r="AS64" s="17" t="n">
        <x:f>'两日价格与决策'!AS160</x:f>
        <x:v>45659.510416666664</x:v>
      </x:c>
      <x:c r="AT64" s="18" t="str">
        <x:f>'两日价格与决策'!AT160</x:f>
        <x:v>2025-01-02_14</x:v>
      </x:c>
      <x:c r="AU64" s="19" t="n">
        <x:f>'两日价格与决策'!AU160</x:f>
        <x:v>60</x:v>
      </x:c>
      <x:c r="AV64" s="18" t="str">
        <x:f>'两日价格与决策'!AV160</x:f>
        <x:v>OK</x:v>
      </x:c>
    </x:row>
    <x:row r="65" ht="21" customHeight="1">
      <x:c r="A65" s="17" t="n">
        <x:f>'两日价格与决策'!A161</x:f>
        <x:v>45659.604166666664</x:v>
      </x:c>
      <x:c r="B65" s="23" t="n">
        <x:f>'两日价格与决策'!B161</x:f>
        <x:v>116.3</x:v>
      </x:c>
      <x:c r="C65" s="23" t="str">
        <x:f>'两日价格与决策'!C161</x:f>
        <x:v>缺失</x:v>
      </x:c>
      <x:c r="D65" s="23" t="n">
        <x:f>'两日价格与决策'!D161</x:f>
        <x:v>13.71102309965622</x:v>
      </x:c>
      <x:c r="E65" s="23" t="n">
        <x:f>'两日价格与决策'!E161</x:f>
        <x:v>14.710198829939085</x:v>
      </x:c>
      <x:c r="F65" s="23" t="n">
        <x:f>'两日价格与决策'!F161</x:f>
        <x:v>200.47465873223297</x:v>
      </x:c>
      <x:c r="G65" s="23" t="n">
        <x:f>'两日价格与决策'!G161</x:f>
        <x:v>0</x:v>
      </x:c>
      <x:c r="H65" s="23" t="str">
        <x:f>'两日价格与决策'!H161</x:f>
        <x:v>未模拟</x:v>
      </x:c>
      <x:c r="I65" s="24" t="n">
        <x:f>'两日价格与决策'!I161</x:f>
        <x:v>189.91249130434676</x:v>
      </x:c>
      <x:c r="J65" s="24" t="n">
        <x:f>'两日价格与决策'!J161</x:f>
        <x:v>187.32583739130305</x:v>
      </x:c>
      <x:c r="K65" s="24" t="n">
        <x:f>'两日价格与决策'!K161</x:f>
        <x:v>-24.999999999999062</x:v>
      </x:c>
      <x:c r="L65" s="24" t="n">
        <x:f>'两日价格与决策'!L161</x:f>
        <x:v>0</x:v>
      </x:c>
      <x:c r="M65" s="24" t="n">
        <x:f>'两日价格与决策'!M161</x:f>
        <x:v>100</x:v>
      </x:c>
      <x:c r="N65" s="24" t="n">
        <x:f>'两日价格与决策'!N161</x:f>
        <x:v>75</x:v>
      </x:c>
      <x:c r="O65" s="24" t="n">
        <x:f>'两日价格与决策'!O161</x:f>
        <x:v>7.976</x:v>
      </x:c>
      <x:c r="P65" s="24" t="n">
        <x:f>'两日价格与决策'!P161</x:f>
        <x:v>0</x:v>
      </x:c>
      <x:c r="Q65" s="25" t="n">
        <x:f>'两日价格与决策'!Q161</x:f>
        <x:v>-726.8749999999727</x:v>
      </x:c>
      <x:c r="R65" s="25" t="n">
        <x:f>'两日价格与决策'!R161</x:f>
        <x:v>0</x:v>
      </x:c>
      <x:c r="S65" s="25" t="n">
        <x:f>'两日价格与决策'!S161</x:f>
        <x:v>342.7755774914055</x:v>
      </x:c>
      <x:c r="T65" s="25" t="n">
        <x:f>'两日价格与决策'!T161</x:f>
        <x:v>275.81622806135783</x:v>
      </x:c>
      <x:c r="U65" s="25" t="n">
        <x:f>'两日价格与决策'!U161</x:f>
        <x:v>1598.98587804829</x:v>
      </x:c>
      <x:c r="V65" s="25" t="n">
        <x:f>'两日价格与决策'!V161</x:f>
        <x:v>0</x:v>
      </x:c>
      <x:c r="W65" s="25" t="n">
        <x:f>'两日价格与决策'!W161</x:f>
        <x:v>1490.7026836010807</x:v>
      </x:c>
      <x:c r="X65" s="18" t="n">
        <x:f>'两日价格与决策'!X161</x:f>
        <x:v>1490.7026836010807</x:v>
      </x:c>
      <x:c r="Y65" s="18" t="n">
        <x:f>'两日价格与决策'!Y161</x:f>
        <x:v>0</x:v>
      </x:c>
      <x:c r="Z65" s="18" t="str">
        <x:f>"1月2日执行｜前窗冻结订单"</x:f>
        <x:v>1月2日执行｜前窗冻结订单</x:v>
      </x:c>
      <x:c r="AA65" s="19" t="n">
        <x:f>'两日价格与决策'!AA161</x:f>
        <x:v>1</x:v>
      </x:c>
      <x:c r="AB65" s="19" t="n">
        <x:f>'两日价格与决策'!AB161</x:f>
        <x:v>0</x:v>
      </x:c>
      <x:c r="AC65" s="18" t="n">
        <x:f>'两日价格与决策'!AC161</x:f>
        <x:v>0.25</x:v>
      </x:c>
      <x:c r="AD65" s="20" t="n">
        <x:f>'两日价格与决策'!AD161</x:f>
        <x:v>1</x:v>
      </x:c>
      <x:c r="AE65" s="20" t="n">
        <x:f>'两日价格与决策'!AE161</x:f>
        <x:v>0.31904</x:v>
      </x:c>
      <x:c r="AF65" s="20" t="n">
        <x:f>'两日价格与决策'!AF161</x:f>
        <x:v>0</x:v>
      </x:c>
      <x:c r="AG65" s="18" t="n">
        <x:f>'两日价格与决策'!AG161</x:f>
        <x:v>200</x:v>
      </x:c>
      <x:c r="AH65" s="18" t="n">
        <x:f>'两日价格与决策'!AH161</x:f>
        <x:v>200</x:v>
      </x:c>
      <x:c r="AI65" s="18" t="n">
        <x:f>'两日价格与决策'!AI161</x:f>
        <x:v>15.952</x:v>
      </x:c>
      <x:c r="AJ65" s="18" t="n">
        <x:f>'两日价格与决策'!AJ161</x:f>
        <x:v>0</x:v>
      </x:c>
      <x:c r="AK65" s="18" t="str">
        <x:f>'两日价格与决策'!AK161</x:f>
        <x:v>缺失</x:v>
      </x:c>
      <x:c r="AL65" s="18" t="n">
        <x:f>'两日价格与决策'!AL161</x:f>
        <x:v>0.028938038647342814</x:v>
      </x:c>
      <x:c r="AM65" s="18" t="n">
        <x:f>'两日价格与决策'!AM161</x:f>
        <x:v>4.25599999999984</x:v>
      </x:c>
      <x:c r="AN65" s="18" t="n">
        <x:f>'两日价格与决策'!AN161</x:f>
        <x:v>5.982000000000075</x:v>
      </x:c>
      <x:c r="AO65" s="18" t="n">
        <x:f>'两日价格与决策'!AO161</x:f>
        <x:v>187.32583739130305</x:v>
      </x:c>
      <x:c r="AP65" s="18" t="n">
        <x:f>'两日价格与决策'!AP161</x:f>
        <x:v>0</x:v>
      </x:c>
      <x:c r="AQ65" s="18" t="n">
        <x:f>'两日价格与决策'!AQ161</x:f>
        <x:v>4.9741</x:v>
      </x:c>
      <x:c r="AR65" s="21" t="n">
        <x:f>'两日价格与决策'!AR161</x:f>
        <x:v>45657</x:v>
      </x:c>
      <x:c r="AS65" s="17" t="n">
        <x:f>'两日价格与决策'!AS161</x:f>
        <x:v>45659.520833333336</x:v>
      </x:c>
      <x:c r="AT65" s="18" t="str">
        <x:f>'两日价格与决策'!AT161</x:f>
        <x:v>2025-01-02_14</x:v>
      </x:c>
      <x:c r="AU65" s="19" t="n">
        <x:f>'两日价格与决策'!AU161</x:f>
        <x:v>60</x:v>
      </x:c>
      <x:c r="AV65" s="18" t="str">
        <x:f>'两日价格与决策'!AV161</x:f>
        <x:v>OK</x:v>
      </x:c>
    </x:row>
    <x:row r="66" ht="21" customHeight="1">
      <x:c r="A66" s="17" t="n">
        <x:f>'两日价格与决策'!A162</x:f>
        <x:v>45659.614583333336</x:v>
      </x:c>
      <x:c r="B66" s="23" t="n">
        <x:f>'两日价格与决策'!B162</x:f>
        <x:v>116.3</x:v>
      </x:c>
      <x:c r="C66" s="23" t="str">
        <x:f>'两日价格与决策'!C162</x:f>
        <x:v>缺失</x:v>
      </x:c>
      <x:c r="D66" s="23" t="n">
        <x:f>'两日价格与决策'!D162</x:f>
        <x:v>13.71102309965622</x:v>
      </x:c>
      <x:c r="E66" s="23" t="n">
        <x:f>'两日价格与决策'!E162</x:f>
        <x:v>14.710198829939085</x:v>
      </x:c>
      <x:c r="F66" s="23" t="n">
        <x:f>'两日价格与决策'!F162</x:f>
        <x:v>727.1645121730564</x:v>
      </x:c>
      <x:c r="G66" s="23" t="n">
        <x:f>'两日价格与决策'!G162</x:f>
        <x:v>0</x:v>
      </x:c>
      <x:c r="H66" s="23" t="str">
        <x:f>'两日价格与决策'!H162</x:f>
        <x:v>未模拟</x:v>
      </x:c>
      <x:c r="I66" s="24" t="n">
        <x:f>'两日价格与决策'!I162</x:f>
        <x:v>187.32583739130305</x:v>
      </x:c>
      <x:c r="J66" s="24" t="n">
        <x:f>'两日价格与决策'!J162</x:f>
        <x:v>169.1440173913028</x:v>
      </x:c>
      <x:c r="K66" s="24" t="n">
        <x:f>'两日价格与决策'!K162</x:f>
        <x:v>-24.999999999999062</x:v>
      </x:c>
      <x:c r="L66" s="24" t="n">
        <x:f>'两日价格与决策'!L162</x:f>
        <x:v>0</x:v>
      </x:c>
      <x:c r="M66" s="24" t="n">
        <x:f>'两日价格与决策'!M162</x:f>
        <x:v>100</x:v>
      </x:c>
      <x:c r="N66" s="24" t="n">
        <x:f>'两日价格与决策'!N162</x:f>
        <x:v>75</x:v>
      </x:c>
      <x:c r="O66" s="24" t="n">
        <x:f>'两日价格与决策'!O162</x:f>
        <x:v>22.8965</x:v>
      </x:c>
      <x:c r="P66" s="24" t="n">
        <x:f>'两日价格与决策'!P162</x:f>
        <x:v>0</x:v>
      </x:c>
      <x:c r="Q66" s="25" t="n">
        <x:f>'两日价格与决策'!Q162</x:f>
        <x:v>-726.8749999999727</x:v>
      </x:c>
      <x:c r="R66" s="25" t="n">
        <x:f>'两日价格与决策'!R162</x:f>
        <x:v>0</x:v>
      </x:c>
      <x:c r="S66" s="25" t="n">
        <x:f>'两日价格与决策'!S162</x:f>
        <x:v>342.7755774914055</x:v>
      </x:c>
      <x:c r="T66" s="25" t="n">
        <x:f>'两日价格与决策'!T162</x:f>
        <x:v>275.81622806135783</x:v>
      </x:c>
      <x:c r="U66" s="25" t="n">
        <x:f>'两日价格与决策'!U162</x:f>
        <x:v>16649.522252970386</x:v>
      </x:c>
      <x:c r="V66" s="25" t="n">
        <x:f>'两日价格与决策'!V162</x:f>
        <x:v>0</x:v>
      </x:c>
      <x:c r="W66" s="25" t="n">
        <x:f>'两日价格与决策'!W162</x:f>
        <x:v>16541.239058523177</x:v>
      </x:c>
      <x:c r="X66" s="18" t="n">
        <x:f>'两日价格与决策'!X162</x:f>
        <x:v>16541.239058523177</x:v>
      </x:c>
      <x:c r="Y66" s="18" t="n">
        <x:f>'两日价格与决策'!Y162</x:f>
        <x:v>0</x:v>
      </x:c>
      <x:c r="Z66" s="18" t="str">
        <x:f>"1月2日执行｜前窗冻结订单"</x:f>
        <x:v>1月2日执行｜前窗冻结订单</x:v>
      </x:c>
      <x:c r="AA66" s="19" t="n">
        <x:f>'两日价格与决策'!AA162</x:f>
        <x:v>1</x:v>
      </x:c>
      <x:c r="AB66" s="19" t="n">
        <x:f>'两日价格与决策'!AB162</x:f>
        <x:v>0</x:v>
      </x:c>
      <x:c r="AC66" s="18" t="n">
        <x:f>'两日价格与决策'!AC162</x:f>
        <x:v>0.25</x:v>
      </x:c>
      <x:c r="AD66" s="20" t="n">
        <x:f>'两日价格与决策'!AD162</x:f>
        <x:v>1</x:v>
      </x:c>
      <x:c r="AE66" s="20" t="n">
        <x:f>'两日价格与决策'!AE162</x:f>
        <x:v>0.91586</x:v>
      </x:c>
      <x:c r="AF66" s="20" t="n">
        <x:f>'两日价格与决策'!AF162</x:f>
        <x:v>0</x:v>
      </x:c>
      <x:c r="AG66" s="18" t="n">
        <x:f>'两日价格与决策'!AG162</x:f>
        <x:v>200</x:v>
      </x:c>
      <x:c r="AH66" s="18" t="n">
        <x:f>'两日价格与决策'!AH162</x:f>
        <x:v>200</x:v>
      </x:c>
      <x:c r="AI66" s="18" t="n">
        <x:f>'两日价格与决策'!AI162</x:f>
        <x:v>45.793</x:v>
      </x:c>
      <x:c r="AJ66" s="18" t="n">
        <x:f>'两日价格与决策'!AJ162</x:f>
        <x:v>0</x:v>
      </x:c>
      <x:c r="AK66" s="18" t="str">
        <x:f>'两日价格与决策'!AK162</x:f>
        <x:v>缺失</x:v>
      </x:c>
      <x:c r="AL66" s="18" t="n">
        <x:f>'两日价格与决策'!AL162</x:f>
        <x:v>0.053192861111111704</x:v>
      </x:c>
      <x:c r="AM66" s="18" t="n">
        <x:f>'两日价格与决策'!AM162</x:f>
        <x:v>0.5258749999999802</x:v>
      </x:c>
      <x:c r="AN66" s="18" t="n">
        <x:f>'两日价格与决策'!AN162</x:f>
        <x:v>17.172375000000216</x:v>
      </x:c>
      <x:c r="AO66" s="18" t="n">
        <x:f>'两日价格与决策'!AO162</x:f>
        <x:v>169.1440173913028</x:v>
      </x:c>
      <x:c r="AP66" s="18" t="n">
        <x:f>'两日价格与决策'!AP162</x:f>
        <x:v>0</x:v>
      </x:c>
      <x:c r="AQ66" s="18" t="n">
        <x:f>'两日价格与决策'!AQ162</x:f>
        <x:v>4.9741</x:v>
      </x:c>
      <x:c r="AR66" s="21" t="n">
        <x:f>'两日价格与决策'!AR162</x:f>
        <x:v>45657</x:v>
      </x:c>
      <x:c r="AS66" s="17" t="n">
        <x:f>'两日价格与决策'!AS162</x:f>
        <x:v>45659.53125</x:v>
      </x:c>
      <x:c r="AT66" s="18" t="str">
        <x:f>'两日价格与决策'!AT162</x:f>
        <x:v>2025-01-02_14</x:v>
      </x:c>
      <x:c r="AU66" s="19" t="n">
        <x:f>'两日价格与决策'!AU162</x:f>
        <x:v>60</x:v>
      </x:c>
      <x:c r="AV66" s="18" t="str">
        <x:f>'两日价格与决策'!AV162</x:f>
        <x:v>OK</x:v>
      </x:c>
    </x:row>
    <x:row r="67" ht="21" customHeight="1">
      <x:c r="A67" s="17" t="n">
        <x:f>'两日价格与决策'!A163</x:f>
        <x:v>45659.625</x:v>
      </x:c>
      <x:c r="B67" s="23" t="n">
        <x:f>'两日价格与决策'!B163</x:f>
        <x:v>124.51</x:v>
      </x:c>
      <x:c r="C67" s="23" t="str">
        <x:f>'两日价格与决策'!C163</x:f>
        <x:v>缺失</x:v>
      </x:c>
      <x:c r="D67" s="23" t="n">
        <x:f>'两日价格与决策'!D163</x:f>
        <x:v>13.831647936310086</x:v>
      </x:c>
      <x:c r="E67" s="23" t="n">
        <x:f>'两日价格与决策'!E163</x:f>
        <x:v>14.710198829939085</x:v>
      </x:c>
      <x:c r="F67" s="23" t="n">
        <x:f>'两日价格与决策'!F163</x:f>
        <x:v>198.8038037031825</x:v>
      </x:c>
      <x:c r="G67" s="23" t="n">
        <x:f>'两日价格与决策'!G163</x:f>
        <x:v>0</x:v>
      </x:c>
      <x:c r="H67" s="23" t="str">
        <x:f>'两日价格与决策'!H163</x:f>
        <x:v>未模拟</x:v>
      </x:c>
      <x:c r="I67" s="24" t="n">
        <x:f>'两日价格与决策'!I163</x:f>
        <x:v>169.1440173913028</x:v>
      </x:c>
      <x:c r="J67" s="24" t="n">
        <x:f>'两日价格与决策'!J163</x:f>
        <x:v>174.34954837391177</x:v>
      </x:c>
      <x:c r="K67" s="24" t="n">
        <x:f>'两日价格与决策'!K163</x:f>
        <x:v>-22.632743402647662</x:v>
      </x:c>
      <x:c r="L67" s="24" t="n">
        <x:f>'两日价格与决策'!L163</x:f>
        <x:v>0</x:v>
      </x:c>
      <x:c r="M67" s="24" t="n">
        <x:f>'两日价格与决策'!M163</x:f>
        <x:v>0</x:v>
      </x:c>
      <x:c r="N67" s="24" t="n">
        <x:f>'两日价格与决策'!N163</x:f>
        <x:v>0</x:v>
      </x:c>
      <x:c r="O67" s="24" t="n">
        <x:f>'两日价格与决策'!O163</x:f>
        <x:v>0</x:v>
      </x:c>
      <x:c r="P67" s="24" t="n">
        <x:f>'两日价格与决策'!P163</x:f>
        <x:v>0</x:v>
      </x:c>
      <x:c r="Q67" s="25" t="n">
        <x:f>'两日价格与决策'!Q163</x:f>
        <x:v>-704.5007202659151</x:v>
      </x:c>
      <x:c r="R67" s="25" t="n">
        <x:f>'两日价格与决策'!R163</x:f>
        <x:v>0</x:v>
      </x:c>
      <x:c r="S67" s="25" t="n">
        <x:f>'两日价格与决策'!S163</x:f>
        <x:v>0</x:v>
      </x:c>
      <x:c r="T67" s="25" t="n">
        <x:f>'两日价格与决策'!T163</x:f>
        <x:v>0</x:v>
      </x:c>
      <x:c r="U67" s="25" t="n">
        <x:f>'两日价格与决策'!U163</x:f>
        <x:v>0</x:v>
      </x:c>
      <x:c r="V67" s="25" t="n">
        <x:f>'两日价格与决策'!V163</x:f>
        <x:v>0</x:v>
      </x:c>
      <x:c r="W67" s="25" t="n">
        <x:f>'两日价格与决策'!W163</x:f>
        <x:v>-704.5007202659151</x:v>
      </x:c>
      <x:c r="X67" s="18" t="n">
        <x:f>'两日价格与决策'!X163</x:f>
        <x:v>-704.5007202659151</x:v>
      </x:c>
      <x:c r="Y67" s="18" t="n">
        <x:f>'两日价格与决策'!Y163</x:f>
        <x:v>0</x:v>
      </x:c>
      <x:c r="Z67" s="18" t="str">
        <x:f>"1月2日执行｜前窗冻结订单"</x:f>
        <x:v>1月2日执行｜前窗冻结订单</x:v>
      </x:c>
      <x:c r="AA67" s="19" t="n">
        <x:f>'两日价格与决策'!AA163</x:f>
        <x:v>0</x:v>
      </x:c>
      <x:c r="AB67" s="19" t="n">
        <x:f>'两日价格与决策'!AB163</x:f>
        <x:v>0</x:v>
      </x:c>
      <x:c r="AC67" s="18" t="n">
        <x:f>'两日价格与决策'!AC163</x:f>
        <x:v>0.25</x:v>
      </x:c>
      <x:c r="AD67" s="20" t="n">
        <x:f>'两日价格与决策'!AD163</x:f>
        <x:v>1</x:v>
      </x:c>
      <x:c r="AE67" s="20" t="n">
        <x:f>'两日价格与决策'!AE163</x:f>
        <x:v>0</x:v>
      </x:c>
      <x:c r="AF67" s="20" t="n">
        <x:f>'两日价格与决策'!AF163</x:f>
        <x:v>0</x:v>
      </x:c>
      <x:c r="AG67" s="18" t="n">
        <x:f>'两日价格与决策'!AG163</x:f>
        <x:v>200</x:v>
      </x:c>
      <x:c r="AH67" s="18" t="n">
        <x:f>'两日价格与决策'!AH163</x:f>
        <x:v>200</x:v>
      </x:c>
      <x:c r="AI67" s="18" t="n">
        <x:f>'两日价格与决策'!AI163</x:f>
        <x:v>9.887</x:v>
      </x:c>
      <x:c r="AJ67" s="18" t="n">
        <x:f>'两日价格与决策'!AJ163</x:f>
        <x:v>0</x:v>
      </x:c>
      <x:c r="AK67" s="18" t="str">
        <x:f>'两日价格与决策'!AK163</x:f>
        <x:v>缺失</x:v>
      </x:c>
      <x:c r="AL67" s="18" t="n">
        <x:f>'两日价格与决策'!AL163</x:f>
        <x:v>0.014459808285024895</x:v>
      </x:c>
      <x:c r="AM67" s="18" t="n">
        <x:f>'两日价格与决策'!AM163</x:f>
        <x:v>5.658185850661916</x:v>
      </x:c>
      <x:c r="AN67" s="18" t="n">
        <x:f>'两日价格与决策'!AN163</x:f>
        <x:v>0</x:v>
      </x:c>
      <x:c r="AO67" s="18" t="n">
        <x:f>'两日价格与决策'!AO163</x:f>
        <x:v>174.34954837391177</x:v>
      </x:c>
      <x:c r="AP67" s="18" t="n">
        <x:f>'两日价格与决策'!AP163</x:f>
        <x:v>0</x:v>
      </x:c>
      <x:c r="AQ67" s="18" t="n">
        <x:f>'两日价格与决策'!AQ163</x:f>
        <x:v>4.9741</x:v>
      </x:c>
      <x:c r="AR67" s="21" t="n">
        <x:f>'两日价格与决策'!AR163</x:f>
        <x:v>45657</x:v>
      </x:c>
      <x:c r="AS67" s="17" t="n">
        <x:f>'两日价格与决策'!AS163</x:f>
        <x:v>45659.541666666664</x:v>
      </x:c>
      <x:c r="AT67" s="18" t="str">
        <x:f>'两日价格与决策'!AT163</x:f>
        <x:v>2025-01-02_15</x:v>
      </x:c>
      <x:c r="AU67" s="19" t="n">
        <x:f>'两日价格与决策'!AU163</x:f>
        <x:v>60</x:v>
      </x:c>
      <x:c r="AV67" s="18" t="str">
        <x:f>'两日价格与决策'!AV163</x:f>
        <x:v>OTHER_QH_IN_SAME_HOUR_INVALID</x:v>
      </x:c>
    </x:row>
    <x:row r="68" ht="21" customHeight="1">
      <x:c r="A68" s="17" t="n">
        <x:f>'两日价格与决策'!A164</x:f>
        <x:v>45659.635416666664</x:v>
      </x:c>
      <x:c r="B68" s="23" t="n">
        <x:f>'两日价格与决策'!B164</x:f>
        <x:v>124.51</x:v>
      </x:c>
      <x:c r="C68" s="23" t="str">
        <x:f>'两日价格与决策'!C164</x:f>
        <x:v>缺失</x:v>
      </x:c>
      <x:c r="D68" s="23" t="n">
        <x:f>'两日价格与决策'!D164</x:f>
        <x:v>13.831647936310086</x:v>
      </x:c>
      <x:c r="E68" s="23" t="n">
        <x:f>'两日价格与决策'!E164</x:f>
        <x:v>14.710198829939085</x:v>
      </x:c>
      <x:c r="F68" s="23" t="n">
        <x:f>'两日价格与决策'!F164</x:f>
        <x:v>189.24569268812448</x:v>
      </x:c>
      <x:c r="G68" s="23" t="n">
        <x:f>'两日价格与决策'!G164</x:f>
        <x:v>0</x:v>
      </x:c>
      <x:c r="H68" s="23" t="str">
        <x:f>'两日价格与决策'!H164</x:f>
        <x:v>未模拟</x:v>
      </x:c>
      <x:c r="I68" s="24" t="n">
        <x:f>'两日价格与决策'!I164</x:f>
        <x:v>174.34954837391177</x:v>
      </x:c>
      <x:c r="J68" s="24" t="n">
        <x:f>'两日价格与决策'!J164</x:f>
        <x:v>179.55507935652074</x:v>
      </x:c>
      <x:c r="K68" s="24" t="n">
        <x:f>'两日价格与决策'!K164</x:f>
        <x:v>-22.632743402647662</x:v>
      </x:c>
      <x:c r="L68" s="24" t="n">
        <x:f>'两日价格与决策'!L164</x:f>
        <x:v>0</x:v>
      </x:c>
      <x:c r="M68" s="24" t="n">
        <x:f>'两日价格与决策'!M164</x:f>
        <x:v>0</x:v>
      </x:c>
      <x:c r="N68" s="24" t="n">
        <x:f>'两日价格与决策'!N164</x:f>
        <x:v>0</x:v>
      </x:c>
      <x:c r="O68" s="24" t="n">
        <x:f>'两日价格与决策'!O164</x:f>
        <x:v>0</x:v>
      </x:c>
      <x:c r="P68" s="24" t="n">
        <x:f>'两日价格与决策'!P164</x:f>
        <x:v>0</x:v>
      </x:c>
      <x:c r="Q68" s="25" t="n">
        <x:f>'两日价格与决策'!Q164</x:f>
        <x:v>-704.5007202659151</x:v>
      </x:c>
      <x:c r="R68" s="25" t="n">
        <x:f>'两日价格与决策'!R164</x:f>
        <x:v>0</x:v>
      </x:c>
      <x:c r="S68" s="25" t="n">
        <x:f>'两日价格与决策'!S164</x:f>
        <x:v>0</x:v>
      </x:c>
      <x:c r="T68" s="25" t="n">
        <x:f>'两日价格与决策'!T164</x:f>
        <x:v>0</x:v>
      </x:c>
      <x:c r="U68" s="25" t="n">
        <x:f>'两日价格与决策'!U164</x:f>
        <x:v>0</x:v>
      </x:c>
      <x:c r="V68" s="25" t="n">
        <x:f>'两日价格与决策'!V164</x:f>
        <x:v>0</x:v>
      </x:c>
      <x:c r="W68" s="25" t="n">
        <x:f>'两日价格与决策'!W164</x:f>
        <x:v>-704.5007202659151</x:v>
      </x:c>
      <x:c r="X68" s="18" t="n">
        <x:f>'两日价格与决策'!X164</x:f>
        <x:v>-704.5007202659151</x:v>
      </x:c>
      <x:c r="Y68" s="18" t="n">
        <x:f>'两日价格与决策'!Y164</x:f>
        <x:v>0</x:v>
      </x:c>
      <x:c r="Z68" s="18" t="str">
        <x:f>"1月2日执行｜前窗冻结订单"</x:f>
        <x:v>1月2日执行｜前窗冻结订单</x:v>
      </x:c>
      <x:c r="AA68" s="19" t="n">
        <x:f>'两日价格与决策'!AA164</x:f>
        <x:v>0</x:v>
      </x:c>
      <x:c r="AB68" s="19" t="n">
        <x:f>'两日价格与决策'!AB164</x:f>
        <x:v>0</x:v>
      </x:c>
      <x:c r="AC68" s="18" t="n">
        <x:f>'两日价格与决策'!AC164</x:f>
        <x:v>0.25</x:v>
      </x:c>
      <x:c r="AD68" s="20" t="n">
        <x:f>'两日价格与决策'!AD164</x:f>
        <x:v>1</x:v>
      </x:c>
      <x:c r="AE68" s="20" t="n">
        <x:f>'两日价格与决策'!AE164</x:f>
        <x:v>0</x:v>
      </x:c>
      <x:c r="AF68" s="20" t="n">
        <x:f>'两日价格与决策'!AF164</x:f>
        <x:v>0</x:v>
      </x:c>
      <x:c r="AG68" s="18" t="n">
        <x:f>'两日价格与决策'!AG164</x:f>
        <x:v>200</x:v>
      </x:c>
      <x:c r="AH68" s="18" t="n">
        <x:f>'两日价格与决策'!AH164</x:f>
        <x:v>200</x:v>
      </x:c>
      <x:c r="AI68" s="18" t="n">
        <x:f>'两日价格与决策'!AI164</x:f>
        <x:v>8.062</x:v>
      </x:c>
      <x:c r="AJ68" s="18" t="n">
        <x:f>'两日价格与决策'!AJ164</x:f>
        <x:v>0</x:v>
      </x:c>
      <x:c r="AK68" s="18" t="str">
        <x:f>'两日价格与决策'!AK164</x:f>
        <x:v>缺失</x:v>
      </x:c>
      <x:c r="AL68" s="18" t="n">
        <x:f>'两日价格与决策'!AL164</x:f>
        <x:v>0.014459808285024895</x:v>
      </x:c>
      <x:c r="AM68" s="18" t="n">
        <x:f>'两日价格与决策'!AM164</x:f>
        <x:v>5.658185850661916</x:v>
      </x:c>
      <x:c r="AN68" s="18" t="n">
        <x:f>'两日价格与决策'!AN164</x:f>
        <x:v>0</x:v>
      </x:c>
      <x:c r="AO68" s="18" t="n">
        <x:f>'两日价格与决策'!AO164</x:f>
        <x:v>179.55507935652074</x:v>
      </x:c>
      <x:c r="AP68" s="18" t="n">
        <x:f>'两日价格与决策'!AP164</x:f>
        <x:v>0</x:v>
      </x:c>
      <x:c r="AQ68" s="18" t="n">
        <x:f>'两日价格与决策'!AQ164</x:f>
        <x:v>4.9741</x:v>
      </x:c>
      <x:c r="AR68" s="21" t="n">
        <x:f>'两日价格与决策'!AR164</x:f>
        <x:v>45657</x:v>
      </x:c>
      <x:c r="AS68" s="17" t="n">
        <x:f>'两日价格与决策'!AS164</x:f>
        <x:v>45659.552083333336</x:v>
      </x:c>
      <x:c r="AT68" s="18" t="str">
        <x:f>'两日价格与决策'!AT164</x:f>
        <x:v>2025-01-02_15</x:v>
      </x:c>
      <x:c r="AU68" s="19" t="n">
        <x:f>'两日价格与决策'!AU164</x:f>
        <x:v>60</x:v>
      </x:c>
      <x:c r="AV68" s="18" t="str">
        <x:f>'两日价格与决策'!AV164</x:f>
        <x:v>OTHER_QH_IN_SAME_HOUR_INVALID</x:v>
      </x:c>
    </x:row>
    <x:row r="69" ht="21" customHeight="1">
      <x:c r="A69" s="17" t="n">
        <x:f>'两日价格与决策'!A165</x:f>
        <x:v>45659.645833333336</x:v>
      </x:c>
      <x:c r="B69" s="23" t="n">
        <x:f>'两日价格与决策'!B165</x:f>
        <x:v>124.51</x:v>
      </x:c>
      <x:c r="C69" s="23" t="str">
        <x:f>'两日价格与决策'!C165</x:f>
        <x:v>缺失</x:v>
      </x:c>
      <x:c r="D69" s="23" t="n">
        <x:f>'两日价格与决策'!D165</x:f>
        <x:v>13.831647936310086</x:v>
      </x:c>
      <x:c r="E69" s="23" t="n">
        <x:f>'两日价格与决策'!E165</x:f>
        <x:v>14.710198829939085</x:v>
      </x:c>
      <x:c r="F69" s="23" t="n">
        <x:f>'两日价格与决策'!F165</x:f>
        <x:v>218.6976538469271</x:v>
      </x:c>
      <x:c r="G69" s="23" t="n">
        <x:f>'两日价格与决策'!G165</x:f>
        <x:v>0</x:v>
      </x:c>
      <x:c r="H69" s="23" t="str">
        <x:f>'两日价格与决策'!H165</x:f>
        <x:v>未模拟</x:v>
      </x:c>
      <x:c r="I69" s="24" t="n">
        <x:f>'两日价格与决策'!I165</x:f>
        <x:v>179.55507935652074</x:v>
      </x:c>
      <x:c r="J69" s="24" t="n">
        <x:f>'两日价格与决策'!J165</x:f>
        <x:v>184.7606103391297</x:v>
      </x:c>
      <x:c r="K69" s="24" t="n">
        <x:f>'两日价格与决策'!K165</x:f>
        <x:v>-22.632743402647662</x:v>
      </x:c>
      <x:c r="L69" s="24" t="n">
        <x:f>'两日价格与决策'!L165</x:f>
        <x:v>0</x:v>
      </x:c>
      <x:c r="M69" s="24" t="n">
        <x:f>'两日价格与决策'!M165</x:f>
        <x:v>0</x:v>
      </x:c>
      <x:c r="N69" s="24" t="n">
        <x:f>'两日价格与决策'!N165</x:f>
        <x:v>0</x:v>
      </x:c>
      <x:c r="O69" s="24" t="n">
        <x:f>'两日价格与决策'!O165</x:f>
        <x:v>0</x:v>
      </x:c>
      <x:c r="P69" s="24" t="n">
        <x:f>'两日价格与决策'!P165</x:f>
        <x:v>0</x:v>
      </x:c>
      <x:c r="Q69" s="25" t="n">
        <x:f>'两日价格与决策'!Q165</x:f>
        <x:v>-704.5007202659151</x:v>
      </x:c>
      <x:c r="R69" s="25" t="n">
        <x:f>'两日价格与决策'!R165</x:f>
        <x:v>0</x:v>
      </x:c>
      <x:c r="S69" s="25" t="n">
        <x:f>'两日价格与决策'!S165</x:f>
        <x:v>0</x:v>
      </x:c>
      <x:c r="T69" s="25" t="n">
        <x:f>'两日价格与决策'!T165</x:f>
        <x:v>0</x:v>
      </x:c>
      <x:c r="U69" s="25" t="n">
        <x:f>'两日价格与决策'!U165</x:f>
        <x:v>0</x:v>
      </x:c>
      <x:c r="V69" s="25" t="n">
        <x:f>'两日价格与决策'!V165</x:f>
        <x:v>0</x:v>
      </x:c>
      <x:c r="W69" s="25" t="n">
        <x:f>'两日价格与决策'!W165</x:f>
        <x:v>-704.5007202659151</x:v>
      </x:c>
      <x:c r="X69" s="18" t="n">
        <x:f>'两日价格与决策'!X165</x:f>
        <x:v>-704.5007202659151</x:v>
      </x:c>
      <x:c r="Y69" s="18" t="n">
        <x:f>'两日价格与决策'!Y165</x:f>
        <x:v>0</x:v>
      </x:c>
      <x:c r="Z69" s="18" t="str">
        <x:f>"1月2日执行｜前窗冻结订单"</x:f>
        <x:v>1月2日执行｜前窗冻结订单</x:v>
      </x:c>
      <x:c r="AA69" s="19" t="n">
        <x:f>'两日价格与决策'!AA165</x:f>
        <x:v>0</x:v>
      </x:c>
      <x:c r="AB69" s="19" t="n">
        <x:f>'两日价格与决策'!AB165</x:f>
        <x:v>0</x:v>
      </x:c>
      <x:c r="AC69" s="18" t="n">
        <x:f>'两日价格与决策'!AC165</x:f>
        <x:v>0.25</x:v>
      </x:c>
      <x:c r="AD69" s="20" t="n">
        <x:f>'两日价格与决策'!AD165</x:f>
        <x:v>1</x:v>
      </x:c>
      <x:c r="AE69" s="20" t="n">
        <x:f>'两日价格与决策'!AE165</x:f>
        <x:v>0</x:v>
      </x:c>
      <x:c r="AF69" s="20" t="n">
        <x:f>'两日价格与决策'!AF165</x:f>
        <x:v>0</x:v>
      </x:c>
      <x:c r="AG69" s="18" t="n">
        <x:f>'两日价格与决策'!AG165</x:f>
        <x:v>200</x:v>
      </x:c>
      <x:c r="AH69" s="18" t="n">
        <x:f>'两日价格与决策'!AH165</x:f>
        <x:v>200</x:v>
      </x:c>
      <x:c r="AI69" s="18" t="n">
        <x:f>'两日价格与决策'!AI165</x:f>
        <x:v>32.696</x:v>
      </x:c>
      <x:c r="AJ69" s="18" t="n">
        <x:f>'两日价格与决策'!AJ165</x:f>
        <x:v>0</x:v>
      </x:c>
      <x:c r="AK69" s="18" t="str">
        <x:f>'两日价格与决策'!AK165</x:f>
        <x:v>缺失</x:v>
      </x:c>
      <x:c r="AL69" s="18" t="n">
        <x:f>'两日价格与决策'!AL165</x:f>
        <x:v>0.014459808285024895</x:v>
      </x:c>
      <x:c r="AM69" s="18" t="n">
        <x:f>'两日价格与决策'!AM165</x:f>
        <x:v>5.658185850661916</x:v>
      </x:c>
      <x:c r="AN69" s="18" t="n">
        <x:f>'两日价格与决策'!AN165</x:f>
        <x:v>0</x:v>
      </x:c>
      <x:c r="AO69" s="18" t="n">
        <x:f>'两日价格与决策'!AO165</x:f>
        <x:v>184.7606103391297</x:v>
      </x:c>
      <x:c r="AP69" s="18" t="n">
        <x:f>'两日价格与决策'!AP165</x:f>
        <x:v>0</x:v>
      </x:c>
      <x:c r="AQ69" s="18" t="n">
        <x:f>'两日价格与决策'!AQ165</x:f>
        <x:v>4.9741</x:v>
      </x:c>
      <x:c r="AR69" s="21" t="n">
        <x:f>'两日价格与决策'!AR165</x:f>
        <x:v>45657</x:v>
      </x:c>
      <x:c r="AS69" s="17" t="n">
        <x:f>'两日价格与决策'!AS165</x:f>
        <x:v>45659.5625</x:v>
      </x:c>
      <x:c r="AT69" s="18" t="str">
        <x:f>'两日价格与决策'!AT165</x:f>
        <x:v>2025-01-02_15</x:v>
      </x:c>
      <x:c r="AU69" s="19" t="n">
        <x:f>'两日价格与决策'!AU165</x:f>
        <x:v>60</x:v>
      </x:c>
      <x:c r="AV69" s="18" t="str">
        <x:f>'两日价格与决策'!AV165</x:f>
        <x:v>OTHER_QH_IN_SAME_HOUR_INVALID</x:v>
      </x:c>
    </x:row>
    <x:row r="70" ht="21" customHeight="1">
      <x:c r="A70" s="17" t="n">
        <x:f>'两日价格与决策'!A166</x:f>
        <x:v>45659.65625</x:v>
      </x:c>
      <x:c r="B70" s="23" t="n">
        <x:f>'两日价格与决策'!B166</x:f>
        <x:v>124.51</x:v>
      </x:c>
      <x:c r="C70" s="23" t="str">
        <x:f>'两日价格与决策'!C166</x:f>
        <x:v>缺失</x:v>
      </x:c>
      <x:c r="D70" s="23" t="n">
        <x:f>'两日价格与决策'!D166</x:f>
        <x:v>13.831647936310086</x:v>
      </x:c>
      <x:c r="E70" s="23" t="n">
        <x:f>'两日价格与决策'!E166</x:f>
        <x:v>14.710198829939085</x:v>
      </x:c>
      <x:c r="F70" s="23" t="n">
        <x:f>'两日价格与决策'!F166</x:f>
        <x:v>991.6953820791701</x:v>
      </x:c>
      <x:c r="G70" s="23" t="n">
        <x:f>'两日价格与决策'!G166</x:f>
        <x:v>0</x:v>
      </x:c>
      <x:c r="H70" s="23" t="str">
        <x:f>'两日价格与决策'!H166</x:f>
        <x:v>未模拟</x:v>
      </x:c>
      <x:c r="I70" s="24" t="n">
        <x:f>'两日价格与决策'!I166</x:f>
        <x:v>184.7606103391297</x:v>
      </x:c>
      <x:c r="J70" s="24" t="n">
        <x:f>'两日价格与决策'!J166</x:f>
        <x:v>189.96614132173866</x:v>
      </x:c>
      <x:c r="K70" s="24" t="n">
        <x:f>'两日价格与决策'!K166</x:f>
        <x:v>-22.632743402647662</x:v>
      </x:c>
      <x:c r="L70" s="24" t="n">
        <x:f>'两日价格与决策'!L166</x:f>
        <x:v>0</x:v>
      </x:c>
      <x:c r="M70" s="24" t="n">
        <x:f>'两日价格与决策'!M166</x:f>
        <x:v>0</x:v>
      </x:c>
      <x:c r="N70" s="24" t="n">
        <x:f>'两日价格与决策'!N166</x:f>
        <x:v>0</x:v>
      </x:c>
      <x:c r="O70" s="24" t="n">
        <x:f>'两日价格与决策'!O166</x:f>
        <x:v>0</x:v>
      </x:c>
      <x:c r="P70" s="24" t="n">
        <x:f>'两日价格与决策'!P166</x:f>
        <x:v>0</x:v>
      </x:c>
      <x:c r="Q70" s="25" t="n">
        <x:f>'两日价格与决策'!Q166</x:f>
        <x:v>-704.5007202659151</x:v>
      </x:c>
      <x:c r="R70" s="25" t="n">
        <x:f>'两日价格与决策'!R166</x:f>
        <x:v>0</x:v>
      </x:c>
      <x:c r="S70" s="25" t="n">
        <x:f>'两日价格与决策'!S166</x:f>
        <x:v>0</x:v>
      </x:c>
      <x:c r="T70" s="25" t="n">
        <x:f>'两日价格与决策'!T166</x:f>
        <x:v>0</x:v>
      </x:c>
      <x:c r="U70" s="25" t="n">
        <x:f>'两日价格与决策'!U166</x:f>
        <x:v>0</x:v>
      </x:c>
      <x:c r="V70" s="25" t="n">
        <x:f>'两日价格与决策'!V166</x:f>
        <x:v>0</x:v>
      </x:c>
      <x:c r="W70" s="25" t="n">
        <x:f>'两日价格与决策'!W166</x:f>
        <x:v>-704.5007202659151</x:v>
      </x:c>
      <x:c r="X70" s="18" t="n">
        <x:f>'两日价格与决策'!X166</x:f>
        <x:v>-704.5007202659151</x:v>
      </x:c>
      <x:c r="Y70" s="18" t="n">
        <x:f>'两日价格与决策'!Y166</x:f>
        <x:v>0</x:v>
      </x:c>
      <x:c r="Z70" s="18" t="str">
        <x:f>"1月2日执行｜前窗冻结订单"</x:f>
        <x:v>1月2日执行｜前窗冻结订单</x:v>
      </x:c>
      <x:c r="AA70" s="19" t="n">
        <x:f>'两日价格与决策'!AA166</x:f>
        <x:v>0</x:v>
      </x:c>
      <x:c r="AB70" s="19" t="n">
        <x:f>'两日价格与决策'!AB166</x:f>
        <x:v>0</x:v>
      </x:c>
      <x:c r="AC70" s="18" t="n">
        <x:f>'两日价格与决策'!AC166</x:f>
        <x:v>0.25</x:v>
      </x:c>
      <x:c r="AD70" s="20" t="n">
        <x:f>'两日价格与决策'!AD166</x:f>
        <x:v>1</x:v>
      </x:c>
      <x:c r="AE70" s="20" t="n">
        <x:f>'两日价格与决策'!AE166</x:f>
        <x:v>0</x:v>
      </x:c>
      <x:c r="AF70" s="20" t="n">
        <x:f>'两日价格与决策'!AF166</x:f>
        <x:v>0</x:v>
      </x:c>
      <x:c r="AG70" s="18" t="n">
        <x:f>'两日价格与决策'!AG166</x:f>
        <x:v>200</x:v>
      </x:c>
      <x:c r="AH70" s="18" t="n">
        <x:f>'两日价格与决策'!AH166</x:f>
        <x:v>200</x:v>
      </x:c>
      <x:c r="AI70" s="18" t="n">
        <x:f>'两日价格与决策'!AI166</x:f>
        <x:v>54.479</x:v>
      </x:c>
      <x:c r="AJ70" s="18" t="n">
        <x:f>'两日价格与决策'!AJ166</x:f>
        <x:v>0</x:v>
      </x:c>
      <x:c r="AK70" s="18" t="str">
        <x:f>'两日价格与决策'!AK166</x:f>
        <x:v>缺失</x:v>
      </x:c>
      <x:c r="AL70" s="18" t="n">
        <x:f>'两日价格与决策'!AL166</x:f>
        <x:v>0.014459808285024895</x:v>
      </x:c>
      <x:c r="AM70" s="18" t="n">
        <x:f>'两日价格与决策'!AM166</x:f>
        <x:v>5.658185850661916</x:v>
      </x:c>
      <x:c r="AN70" s="18" t="n">
        <x:f>'两日价格与决策'!AN166</x:f>
        <x:v>0</x:v>
      </x:c>
      <x:c r="AO70" s="18" t="n">
        <x:f>'两日价格与决策'!AO166</x:f>
        <x:v>189.96614132173866</x:v>
      </x:c>
      <x:c r="AP70" s="18" t="n">
        <x:f>'两日价格与决策'!AP166</x:f>
        <x:v>0</x:v>
      </x:c>
      <x:c r="AQ70" s="18" t="n">
        <x:f>'两日价格与决策'!AQ166</x:f>
        <x:v>4.9741</x:v>
      </x:c>
      <x:c r="AR70" s="21" t="n">
        <x:f>'两日价格与决策'!AR166</x:f>
        <x:v>45657</x:v>
      </x:c>
      <x:c r="AS70" s="17" t="n">
        <x:f>'两日价格与决策'!AS166</x:f>
        <x:v>45659.572916666664</x:v>
      </x:c>
      <x:c r="AT70" s="18" t="str">
        <x:f>'两日价格与决策'!AT166</x:f>
        <x:v>2025-01-02_15</x:v>
      </x:c>
      <x:c r="AU70" s="19" t="n">
        <x:f>'两日价格与决策'!AU166</x:f>
        <x:v>60</x:v>
      </x:c>
      <x:c r="AV70" s="18" t="str">
        <x:f>'两日价格与决策'!AV166</x:f>
        <x:v>ALPHA_OUTSIDE_SIMPLEX</x:v>
      </x:c>
    </x:row>
    <x:row r="71" ht="21" customHeight="1">
      <x:c r="A71" s="17" t="n">
        <x:f>'两日价格与决策'!A167</x:f>
        <x:v>45659.666666666664</x:v>
      </x:c>
      <x:c r="B71" s="23" t="n">
        <x:f>'两日价格与决策'!B167</x:f>
        <x:v>130.11</x:v>
      </x:c>
      <x:c r="C71" s="23" t="str">
        <x:f>'两日价格与决策'!C167</x:f>
        <x:v>缺失</x:v>
      </x:c>
      <x:c r="D71" s="23" t="n">
        <x:f>'两日价格与决策'!D167</x:f>
        <x:v>13.831647936310086</x:v>
      </x:c>
      <x:c r="E71" s="23" t="n">
        <x:f>'两日价格与决策'!E167</x:f>
        <x:v>14.710198829939085</x:v>
      </x:c>
      <x:c r="F71" s="23" t="n">
        <x:f>'两日价格与决策'!F167</x:f>
        <x:v>223.40001206248365</x:v>
      </x:c>
      <x:c r="G71" s="23" t="n">
        <x:f>'两日价格与决策'!G167</x:f>
        <x:v>0</x:v>
      </x:c>
      <x:c r="H71" s="23" t="str">
        <x:f>'两日价格与决策'!H167</x:f>
        <x:v>未模拟</x:v>
      </x:c>
      <x:c r="I71" s="24" t="n">
        <x:f>'两日价格与决策'!I167</x:f>
        <x:v>189.96614132173866</x:v>
      </x:c>
      <x:c r="J71" s="24" t="n">
        <x:f>'两日价格与决策'!J167</x:f>
        <x:v>183.12110605217345</x:v>
      </x:c>
      <x:c r="K71" s="24" t="n">
        <x:f>'两日价格与决策'!K167</x:f>
        <x:v>-19</x:v>
      </x:c>
      <x:c r="L71" s="24" t="n">
        <x:f>'两日价格与决策'!L167</x:f>
        <x:v>0</x:v>
      </x:c>
      <x:c r="M71" s="24" t="n">
        <x:f>'两日价格与决策'!M167</x:f>
        <x:v>100</x:v>
      </x:c>
      <x:c r="N71" s="24" t="n">
        <x:f>'两日价格与决策'!N167</x:f>
        <x:v>81</x:v>
      </x:c>
      <x:c r="O71" s="24" t="n">
        <x:f>'两日价格与决策'!O167</x:f>
        <x:v>10.628</x:v>
      </x:c>
      <x:c r="P71" s="24" t="n">
        <x:f>'两日价格与决策'!P167</x:f>
        <x:v>0</x:v>
      </x:c>
      <x:c r="Q71" s="25" t="n">
        <x:f>'两日价格与决策'!Q167</x:f>
        <x:v>-618.0225</x:v>
      </x:c>
      <x:c r="R71" s="25" t="n">
        <x:f>'两日价格与决策'!R167</x:f>
        <x:v>0</x:v>
      </x:c>
      <x:c r="S71" s="25" t="n">
        <x:f>'两日价格与决策'!S167</x:f>
        <x:v>345.7911984077521</x:v>
      </x:c>
      <x:c r="T71" s="25" t="n">
        <x:f>'两日价格与决策'!T167</x:f>
        <x:v>297.88152630626644</x:v>
      </x:c>
      <x:c r="U71" s="25" t="n">
        <x:f>'两日价格与决策'!U167</x:f>
        <x:v>2374.2953282000763</x:v>
      </x:c>
      <x:c r="V71" s="25" t="n">
        <x:f>'两日价格与决策'!V167</x:f>
        <x:v>0</x:v>
      </x:c>
      <x:c r="W71" s="25" t="n">
        <x:f>'两日价格与决策'!W167</x:f>
        <x:v>2399.9455529140946</x:v>
      </x:c>
      <x:c r="X71" s="18" t="n">
        <x:f>'两日价格与决策'!X167</x:f>
        <x:v>2399.9455529140946</x:v>
      </x:c>
      <x:c r="Y71" s="18" t="n">
        <x:f>'两日价格与决策'!Y167</x:f>
        <x:v>0</x:v>
      </x:c>
      <x:c r="Z71" s="18" t="str">
        <x:f>"1月2日执行｜前窗冻结订单"</x:f>
        <x:v>1月2日执行｜前窗冻结订单</x:v>
      </x:c>
      <x:c r="AA71" s="19" t="n">
        <x:f>'两日价格与决策'!AA167</x:f>
        <x:v>1</x:v>
      </x:c>
      <x:c r="AB71" s="19" t="n">
        <x:f>'两日价格与决策'!AB167</x:f>
        <x:v>0</x:v>
      </x:c>
      <x:c r="AC71" s="18" t="n">
        <x:f>'两日价格与决策'!AC167</x:f>
        <x:v>0.25</x:v>
      </x:c>
      <x:c r="AD71" s="20" t="n">
        <x:f>'两日价格与决策'!AD167</x:f>
        <x:v>1</x:v>
      </x:c>
      <x:c r="AE71" s="20" t="n">
        <x:f>'两日价格与决策'!AE167</x:f>
        <x:v>0.42512</x:v>
      </x:c>
      <x:c r="AF71" s="20" t="n">
        <x:f>'两日价格与决策'!AF167</x:f>
        <x:v>0</x:v>
      </x:c>
      <x:c r="AG71" s="18" t="n">
        <x:f>'两日价格与决策'!AG167</x:f>
        <x:v>200</x:v>
      </x:c>
      <x:c r="AH71" s="18" t="n">
        <x:f>'两日价格与决策'!AH167</x:f>
        <x:v>200</x:v>
      </x:c>
      <x:c r="AI71" s="18" t="n">
        <x:f>'两日价格与决策'!AI167</x:f>
        <x:v>21.256</x:v>
      </x:c>
      <x:c r="AJ71" s="18" t="n">
        <x:f>'两日价格与决策'!AJ167</x:f>
        <x:v>0</x:v>
      </x:c>
      <x:c r="AK71" s="18" t="str">
        <x:f>'两日价格与决策'!AK167</x:f>
        <x:v>缺失</x:v>
      </x:c>
      <x:c r="AL71" s="18" t="n">
        <x:f>'两日价格与决策'!AL167</x:f>
        <x:v>0.03297079574879227</x:v>
      </x:c>
      <x:c r="AM71" s="18" t="n">
        <x:f>'两日价格与决策'!AM167</x:f>
        <x:v>2.7306800000000004</x:v>
      </x:c>
      <x:c r="AN71" s="18" t="n">
        <x:f>'两日价格与决策'!AN167</x:f>
        <x:v>8.60868</x:v>
      </x:c>
      <x:c r="AO71" s="18" t="n">
        <x:f>'两日价格与决策'!AO167</x:f>
        <x:v>183.12110605217345</x:v>
      </x:c>
      <x:c r="AP71" s="18" t="n">
        <x:f>'两日价格与决策'!AP167</x:f>
        <x:v>0</x:v>
      </x:c>
      <x:c r="AQ71" s="18" t="n">
        <x:f>'两日价格与决策'!AQ167</x:f>
        <x:v>4.9741</x:v>
      </x:c>
      <x:c r="AR71" s="21" t="n">
        <x:f>'两日价格与决策'!AR167</x:f>
        <x:v>45657</x:v>
      </x:c>
      <x:c r="AS71" s="17" t="n">
        <x:f>'两日价格与决策'!AS167</x:f>
        <x:v>45659.583333333336</x:v>
      </x:c>
      <x:c r="AT71" s="18" t="str">
        <x:f>'两日价格与决策'!AT167</x:f>
        <x:v>2025-01-02_16</x:v>
      </x:c>
      <x:c r="AU71" s="19" t="n">
        <x:f>'两日价格与决策'!AU167</x:f>
        <x:v>60</x:v>
      </x:c>
      <x:c r="AV71" s="18" t="str">
        <x:f>'两日价格与决策'!AV167</x:f>
        <x:v>OK</x:v>
      </x:c>
    </x:row>
    <x:row r="72" ht="21" customHeight="1">
      <x:c r="A72" s="17" t="n">
        <x:f>'两日价格与决策'!A168</x:f>
        <x:v>45659.677083333336</x:v>
      </x:c>
      <x:c r="B72" s="23" t="n">
        <x:f>'两日价格与决策'!B168</x:f>
        <x:v>130.11</x:v>
      </x:c>
      <x:c r="C72" s="23" t="str">
        <x:f>'两日价格与决策'!C168</x:f>
        <x:v>缺失</x:v>
      </x:c>
      <x:c r="D72" s="23" t="n">
        <x:f>'两日价格与决策'!D168</x:f>
        <x:v>13.831647936310086</x:v>
      </x:c>
      <x:c r="E72" s="23" t="n">
        <x:f>'两日价格与决策'!E168</x:f>
        <x:v>14.710198829939085</x:v>
      </x:c>
      <x:c r="F72" s="23" t="n">
        <x:f>'两日价格与决策'!F168</x:f>
        <x:v>219.45899760760742</x:v>
      </x:c>
      <x:c r="G72" s="23" t="n">
        <x:f>'两日价格与决策'!G168</x:f>
        <x:v>0</x:v>
      </x:c>
      <x:c r="H72" s="23" t="str">
        <x:f>'两日价格与决策'!H168</x:f>
        <x:v>未模拟</x:v>
      </x:c>
      <x:c r="I72" s="24" t="n">
        <x:f>'两日价格与决策'!I168</x:f>
        <x:v>183.12110605217345</x:v>
      </x:c>
      <x:c r="J72" s="24" t="n">
        <x:f>'两日价格与决策'!J168</x:f>
        <x:v>173.34199046956473</x:v>
      </x:c>
      <x:c r="K72" s="24" t="n">
        <x:f>'两日价格与决策'!K168</x:f>
        <x:v>-19</x:v>
      </x:c>
      <x:c r="L72" s="24" t="n">
        <x:f>'两日价格与决策'!L168</x:f>
        <x:v>0</x:v>
      </x:c>
      <x:c r="M72" s="24" t="n">
        <x:f>'两日价格与决策'!M168</x:f>
        <x:v>100</x:v>
      </x:c>
      <x:c r="N72" s="24" t="n">
        <x:f>'两日价格与决策'!N168</x:f>
        <x:v>81</x:v>
      </x:c>
      <x:c r="O72" s="24" t="n">
        <x:f>'两日价格与决策'!O168</x:f>
        <x:v>13.4085</x:v>
      </x:c>
      <x:c r="P72" s="24" t="n">
        <x:f>'两日价格与决策'!P168</x:f>
        <x:v>0</x:v>
      </x:c>
      <x:c r="Q72" s="25" t="n">
        <x:f>'两日价格与决策'!Q168</x:f>
        <x:v>-618.0225</x:v>
      </x:c>
      <x:c r="R72" s="25" t="n">
        <x:f>'两日价格与决策'!R168</x:f>
        <x:v>0</x:v>
      </x:c>
      <x:c r="S72" s="25" t="n">
        <x:f>'两日价格与决策'!S168</x:f>
        <x:v>345.7911984077521</x:v>
      </x:c>
      <x:c r="T72" s="25" t="n">
        <x:f>'两日价格与决策'!T168</x:f>
        <x:v>297.88152630626644</x:v>
      </x:c>
      <x:c r="U72" s="25" t="n">
        <x:f>'两日价格与决策'!U168</x:f>
        <x:v>2942.615969421604</x:v>
      </x:c>
      <x:c r="V72" s="25" t="n">
        <x:f>'两日价格与决策'!V168</x:f>
        <x:v>0</x:v>
      </x:c>
      <x:c r="W72" s="25" t="n">
        <x:f>'两日价格与决策'!W168</x:f>
        <x:v>2968.2661941356223</x:v>
      </x:c>
      <x:c r="X72" s="18" t="n">
        <x:f>'两日价格与决策'!X168</x:f>
        <x:v>2968.2661941356223</x:v>
      </x:c>
      <x:c r="Y72" s="18" t="n">
        <x:f>'两日价格与决策'!Y168</x:f>
        <x:v>0</x:v>
      </x:c>
      <x:c r="Z72" s="18" t="str">
        <x:f>"1月2日执行｜前窗冻结订单"</x:f>
        <x:v>1月2日执行｜前窗冻结订单</x:v>
      </x:c>
      <x:c r="AA72" s="19" t="n">
        <x:f>'两日价格与决策'!AA168</x:f>
        <x:v>1</x:v>
      </x:c>
      <x:c r="AB72" s="19" t="n">
        <x:f>'两日价格与决策'!AB168</x:f>
        <x:v>0</x:v>
      </x:c>
      <x:c r="AC72" s="18" t="n">
        <x:f>'两日价格与决策'!AC168</x:f>
        <x:v>0.25</x:v>
      </x:c>
      <x:c r="AD72" s="20" t="n">
        <x:f>'两日价格与决策'!AD168</x:f>
        <x:v>1</x:v>
      </x:c>
      <x:c r="AE72" s="20" t="n">
        <x:f>'两日价格与决策'!AE168</x:f>
        <x:v>0.53634</x:v>
      </x:c>
      <x:c r="AF72" s="20" t="n">
        <x:f>'两日价格与决策'!AF168</x:f>
        <x:v>0</x:v>
      </x:c>
      <x:c r="AG72" s="18" t="n">
        <x:f>'两日价格与决策'!AG168</x:f>
        <x:v>200</x:v>
      </x:c>
      <x:c r="AH72" s="18" t="n">
        <x:f>'两日价格与决策'!AH168</x:f>
        <x:v>200</x:v>
      </x:c>
      <x:c r="AI72" s="18" t="n">
        <x:f>'两日价格与决策'!AI168</x:f>
        <x:v>26.817</x:v>
      </x:c>
      <x:c r="AJ72" s="18" t="n">
        <x:f>'两日价格与决策'!AJ168</x:f>
        <x:v>0</x:v>
      </x:c>
      <x:c r="AK72" s="18" t="str">
        <x:f>'两日价格与决策'!AK168</x:f>
        <x:v>缺失</x:v>
      </x:c>
      <x:c r="AL72" s="18" t="n">
        <x:f>'两日价格与决策'!AL168</x:f>
        <x:v>0.038420844396135266</x:v>
      </x:c>
      <x:c r="AM72" s="18" t="n">
        <x:f>'两日价格与决策'!AM168</x:f>
        <x:v>2.2023849999999996</x:v>
      </x:c>
      <x:c r="AN72" s="18" t="n">
        <x:f>'两日价格与决策'!AN168</x:f>
        <x:v>10.860885000000001</x:v>
      </x:c>
      <x:c r="AO72" s="18" t="n">
        <x:f>'两日价格与决策'!AO168</x:f>
        <x:v>173.34199046956473</x:v>
      </x:c>
      <x:c r="AP72" s="18" t="n">
        <x:f>'两日价格与决策'!AP168</x:f>
        <x:v>0</x:v>
      </x:c>
      <x:c r="AQ72" s="18" t="n">
        <x:f>'两日价格与决策'!AQ168</x:f>
        <x:v>4.9741</x:v>
      </x:c>
      <x:c r="AR72" s="21" t="n">
        <x:f>'两日价格与决策'!AR168</x:f>
        <x:v>45657</x:v>
      </x:c>
      <x:c r="AS72" s="17" t="n">
        <x:f>'两日价格与决策'!AS168</x:f>
        <x:v>45659.59375</x:v>
      </x:c>
      <x:c r="AT72" s="18" t="str">
        <x:f>'两日价格与决策'!AT168</x:f>
        <x:v>2025-01-02_16</x:v>
      </x:c>
      <x:c r="AU72" s="19" t="n">
        <x:f>'两日价格与决策'!AU168</x:f>
        <x:v>60</x:v>
      </x:c>
      <x:c r="AV72" s="18" t="str">
        <x:f>'两日价格与决策'!AV168</x:f>
        <x:v>OK</x:v>
      </x:c>
    </x:row>
    <x:row r="73" ht="21" customHeight="1">
      <x:c r="A73" s="17" t="n">
        <x:f>'两日价格与决策'!A169</x:f>
        <x:v>45659.6875</x:v>
      </x:c>
      <x:c r="B73" s="23" t="n">
        <x:f>'两日价格与决策'!B169</x:f>
        <x:v>130.11</x:v>
      </x:c>
      <x:c r="C73" s="23" t="str">
        <x:f>'两日价格与决策'!C169</x:f>
        <x:v>缺失</x:v>
      </x:c>
      <x:c r="D73" s="23" t="n">
        <x:f>'两日价格与决策'!D169</x:f>
        <x:v>13.831647936310086</x:v>
      </x:c>
      <x:c r="E73" s="23" t="n">
        <x:f>'两日价格与决策'!E169</x:f>
        <x:v>14.710198829939085</x:v>
      </x:c>
      <x:c r="F73" s="23" t="n">
        <x:f>'两日价格与决策'!F169</x:f>
        <x:v>213.87487183611105</x:v>
      </x:c>
      <x:c r="G73" s="23" t="n">
        <x:f>'两日价格与决策'!G169</x:f>
        <x:v>0</x:v>
      </x:c>
      <x:c r="H73" s="23" t="str">
        <x:f>'两日价格与决策'!H169</x:f>
        <x:v>未模拟</x:v>
      </x:c>
      <x:c r="I73" s="24" t="n">
        <x:f>'两日价格与决策'!I169</x:f>
        <x:v>173.34199046956473</x:v>
      </x:c>
      <x:c r="J73" s="24" t="n">
        <x:f>'两日价格与决策'!J169</x:f>
        <x:v>168.62167043478212</x:v>
      </x:c>
      <x:c r="K73" s="24" t="n">
        <x:f>'两日价格与决策'!K169</x:f>
        <x:v>-19</x:v>
      </x:c>
      <x:c r="L73" s="24" t="n">
        <x:f>'两日价格与决策'!L169</x:f>
        <x:v>0</x:v>
      </x:c>
      <x:c r="M73" s="24" t="n">
        <x:f>'两日价格与决策'!M169</x:f>
        <x:v>100</x:v>
      </x:c>
      <x:c r="N73" s="24" t="n">
        <x:f>'两日价格与决策'!N169</x:f>
        <x:v>81</x:v>
      </x:c>
      <x:c r="O73" s="24" t="n">
        <x:f>'两日价格与决策'!O169</x:f>
        <x:v>8.6145</x:v>
      </x:c>
      <x:c r="P73" s="24" t="n">
        <x:f>'两日价格与决策'!P169</x:f>
        <x:v>0</x:v>
      </x:c>
      <x:c r="Q73" s="25" t="n">
        <x:f>'两日价格与决策'!Q169</x:f>
        <x:v>-618.0225</x:v>
      </x:c>
      <x:c r="R73" s="25" t="n">
        <x:f>'两日价格与决策'!R169</x:f>
        <x:v>0</x:v>
      </x:c>
      <x:c r="S73" s="25" t="n">
        <x:f>'两日价格与决策'!S169</x:f>
        <x:v>345.7911984077521</x:v>
      </x:c>
      <x:c r="T73" s="25" t="n">
        <x:f>'两日价格与决策'!T169</x:f>
        <x:v>297.88152630626644</x:v>
      </x:c>
      <x:c r="U73" s="25" t="n">
        <x:f>'两日价格与决策'!U169</x:f>
        <x:v>1842.4250834321786</x:v>
      </x:c>
      <x:c r="V73" s="25" t="n">
        <x:f>'两日价格与决策'!V169</x:f>
        <x:v>0</x:v>
      </x:c>
      <x:c r="W73" s="25" t="n">
        <x:f>'两日价格与决策'!W169</x:f>
        <x:v>1868.0753081461971</x:v>
      </x:c>
      <x:c r="X73" s="18" t="n">
        <x:f>'两日价格与决策'!X169</x:f>
        <x:v>1868.0753081461971</x:v>
      </x:c>
      <x:c r="Y73" s="18" t="n">
        <x:f>'两日价格与决策'!Y169</x:f>
        <x:v>0</x:v>
      </x:c>
      <x:c r="Z73" s="18" t="str">
        <x:f>"1月2日执行｜前窗冻结订单"</x:f>
        <x:v>1月2日执行｜前窗冻结订单</x:v>
      </x:c>
      <x:c r="AA73" s="19" t="n">
        <x:f>'两日价格与决策'!AA169</x:f>
        <x:v>1</x:v>
      </x:c>
      <x:c r="AB73" s="19" t="n">
        <x:f>'两日价格与决策'!AB169</x:f>
        <x:v>0</x:v>
      </x:c>
      <x:c r="AC73" s="18" t="n">
        <x:f>'两日价格与决策'!AC169</x:f>
        <x:v>0.25</x:v>
      </x:c>
      <x:c r="AD73" s="20" t="n">
        <x:f>'两日价格与决策'!AD169</x:f>
        <x:v>1</x:v>
      </x:c>
      <x:c r="AE73" s="20" t="n">
        <x:f>'两日价格与决策'!AE169</x:f>
        <x:v>0.34458</x:v>
      </x:c>
      <x:c r="AF73" s="20" t="n">
        <x:f>'两日价格与决策'!AF169</x:f>
        <x:v>0</x:v>
      </x:c>
      <x:c r="AG73" s="18" t="n">
        <x:f>'两日价格与决策'!AG169</x:f>
        <x:v>200</x:v>
      </x:c>
      <x:c r="AH73" s="18" t="n">
        <x:f>'两日价格与决策'!AH169</x:f>
        <x:v>200</x:v>
      </x:c>
      <x:c r="AI73" s="18" t="n">
        <x:f>'两日价格与决策'!AI169</x:f>
        <x:v>17.229</x:v>
      </x:c>
      <x:c r="AJ73" s="18" t="n">
        <x:f>'两日价格与决策'!AJ169</x:f>
        <x:v>0</x:v>
      </x:c>
      <x:c r="AK73" s="18" t="str">
        <x:f>'两日价格与决策'!AK169</x:f>
        <x:v>缺失</x:v>
      </x:c>
      <x:c r="AL73" s="18" t="n">
        <x:f>'两日价格与决策'!AL169</x:f>
        <x:v>0.02902414120772947</x:v>
      </x:c>
      <x:c r="AM73" s="18" t="n">
        <x:f>'两日价格与决策'!AM169</x:f>
        <x:v>3.113245</x:v>
      </x:c>
      <x:c r="AN73" s="18" t="n">
        <x:f>'两日价格与决策'!AN169</x:f>
        <x:v>6.977745</x:v>
      </x:c>
      <x:c r="AO73" s="18" t="n">
        <x:f>'两日价格与决策'!AO169</x:f>
        <x:v>168.62167043478212</x:v>
      </x:c>
      <x:c r="AP73" s="18" t="n">
        <x:f>'两日价格与决策'!AP169</x:f>
        <x:v>0</x:v>
      </x:c>
      <x:c r="AQ73" s="18" t="n">
        <x:f>'两日价格与决策'!AQ169</x:f>
        <x:v>4.9741</x:v>
      </x:c>
      <x:c r="AR73" s="21" t="n">
        <x:f>'两日价格与决策'!AR169</x:f>
        <x:v>45657</x:v>
      </x:c>
      <x:c r="AS73" s="17" t="n">
        <x:f>'两日价格与决策'!AS169</x:f>
        <x:v>45659.604166666664</x:v>
      </x:c>
      <x:c r="AT73" s="18" t="str">
        <x:f>'两日价格与决策'!AT169</x:f>
        <x:v>2025-01-02_16</x:v>
      </x:c>
      <x:c r="AU73" s="19" t="n">
        <x:f>'两日价格与决策'!AU169</x:f>
        <x:v>60</x:v>
      </x:c>
      <x:c r="AV73" s="18" t="str">
        <x:f>'两日价格与决策'!AV169</x:f>
        <x:v>OK</x:v>
      </x:c>
    </x:row>
    <x:row r="74" ht="21" customHeight="1">
      <x:c r="A74" s="17" t="n">
        <x:f>'两日价格与决策'!A170</x:f>
        <x:v>45659.697916666664</x:v>
      </x:c>
      <x:c r="B74" s="23" t="n">
        <x:f>'两日价格与决策'!B170</x:f>
        <x:v>130.11</x:v>
      </x:c>
      <x:c r="C74" s="23" t="str">
        <x:f>'两日价格与决策'!C170</x:f>
        <x:v>缺失</x:v>
      </x:c>
      <x:c r="D74" s="23" t="n">
        <x:f>'两日价格与决策'!D170</x:f>
        <x:v>13.831647936310086</x:v>
      </x:c>
      <x:c r="E74" s="23" t="n">
        <x:f>'两日价格与决策'!E170</x:f>
        <x:v>14.710198829939085</x:v>
      </x:c>
      <x:c r="F74" s="23" t="n">
        <x:f>'两日价格与决策'!F170</x:f>
        <x:v>242.79306809272026</x:v>
      </x:c>
      <x:c r="G74" s="23" t="n">
        <x:f>'两日价格与决策'!G170</x:f>
        <x:v>0</x:v>
      </x:c>
      <x:c r="H74" s="23" t="str">
        <x:f>'两日价格与决策'!H170</x:f>
        <x:v>未模拟</x:v>
      </x:c>
      <x:c r="I74" s="24" t="n">
        <x:f>'两日价格与决策'!I170</x:f>
        <x:v>168.62167043478212</x:v>
      </x:c>
      <x:c r="J74" s="24" t="n">
        <x:f>'两日价格与决策'!J170</x:f>
        <x:v>154.4670238260865</x:v>
      </x:c>
      <x:c r="K74" s="24" t="n">
        <x:f>'两日价格与决策'!K170</x:f>
        <x:v>-19</x:v>
      </x:c>
      <x:c r="L74" s="24" t="n">
        <x:f>'两日价格与决策'!L170</x:f>
        <x:v>0</x:v>
      </x:c>
      <x:c r="M74" s="24" t="n">
        <x:f>'两日价格与决策'!M170</x:f>
        <x:v>100</x:v>
      </x:c>
      <x:c r="N74" s="24" t="n">
        <x:f>'两日价格与决策'!N170</x:f>
        <x:v>81</x:v>
      </x:c>
      <x:c r="O74" s="24" t="n">
        <x:f>'两日价格与决策'!O170</x:f>
        <x:v>17.555</x:v>
      </x:c>
      <x:c r="P74" s="24" t="n">
        <x:f>'两日价格与决策'!P170</x:f>
        <x:v>0</x:v>
      </x:c>
      <x:c r="Q74" s="25" t="n">
        <x:f>'两日价格与决策'!Q170</x:f>
        <x:v>-618.0225</x:v>
      </x:c>
      <x:c r="R74" s="25" t="n">
        <x:f>'两日价格与决策'!R170</x:f>
        <x:v>0</x:v>
      </x:c>
      <x:c r="S74" s="25" t="n">
        <x:f>'两日价格与决策'!S170</x:f>
        <x:v>345.7911984077521</x:v>
      </x:c>
      <x:c r="T74" s="25" t="n">
        <x:f>'两日价格与决策'!T170</x:f>
        <x:v>297.88152630626644</x:v>
      </x:c>
      <x:c r="U74" s="25" t="n">
        <x:f>'两日价格与决策'!U170</x:f>
        <x:v>4262.2323103677045</x:v>
      </x:c>
      <x:c r="V74" s="25" t="n">
        <x:f>'两日价格与决策'!V170</x:f>
        <x:v>0</x:v>
      </x:c>
      <x:c r="W74" s="25" t="n">
        <x:f>'两日价格与决策'!W170</x:f>
        <x:v>4287.882535081723</x:v>
      </x:c>
      <x:c r="X74" s="18" t="n">
        <x:f>'两日价格与决策'!X170</x:f>
        <x:v>4287.882535081723</x:v>
      </x:c>
      <x:c r="Y74" s="18" t="n">
        <x:f>'两日价格与决策'!Y170</x:f>
        <x:v>0</x:v>
      </x:c>
      <x:c r="Z74" s="18" t="str">
        <x:f>"1月2日执行｜前窗冻结订单"</x:f>
        <x:v>1月2日执行｜前窗冻结订单</x:v>
      </x:c>
      <x:c r="AA74" s="19" t="n">
        <x:f>'两日价格与决策'!AA170</x:f>
        <x:v>1</x:v>
      </x:c>
      <x:c r="AB74" s="19" t="n">
        <x:f>'两日价格与决策'!AB170</x:f>
        <x:v>0</x:v>
      </x:c>
      <x:c r="AC74" s="18" t="n">
        <x:f>'两日价格与决策'!AC170</x:f>
        <x:v>0.25</x:v>
      </x:c>
      <x:c r="AD74" s="20" t="n">
        <x:f>'两日价格与决策'!AD170</x:f>
        <x:v>1</x:v>
      </x:c>
      <x:c r="AE74" s="20" t="n">
        <x:f>'两日价格与决策'!AE170</x:f>
        <x:v>0.7021999999999999</x:v>
      </x:c>
      <x:c r="AF74" s="20" t="n">
        <x:f>'两日价格与决策'!AF170</x:f>
        <x:v>0</x:v>
      </x:c>
      <x:c r="AG74" s="18" t="n">
        <x:f>'两日价格与决策'!AG170</x:f>
        <x:v>200</x:v>
      </x:c>
      <x:c r="AH74" s="18" t="n">
        <x:f>'两日价格与决策'!AH170</x:f>
        <x:v>200</x:v>
      </x:c>
      <x:c r="AI74" s="18" t="n">
        <x:f>'两日价格与决策'!AI170</x:f>
        <x:v>35.11</x:v>
      </x:c>
      <x:c r="AJ74" s="18" t="n">
        <x:f>'两日价格与决策'!AJ170</x:f>
        <x:v>0</x:v>
      </x:c>
      <x:c r="AK74" s="18" t="str">
        <x:f>'两日价格与决策'!AK170</x:f>
        <x:v>缺失</x:v>
      </x:c>
      <x:c r="AL74" s="18" t="n">
        <x:f>'两日价格与决策'!AL170</x:f>
        <x:v>0.046548385024154586</x:v>
      </x:c>
      <x:c r="AM74" s="18" t="n">
        <x:f>'两日价格与决策'!AM170</x:f>
        <x:v>1.4145500000000002</x:v>
      </x:c>
      <x:c r="AN74" s="18" t="n">
        <x:f>'两日价格与决策'!AN170</x:f>
        <x:v>14.219549999999998</x:v>
      </x:c>
      <x:c r="AO74" s="18" t="n">
        <x:f>'两日价格与决策'!AO170</x:f>
        <x:v>154.4670238260865</x:v>
      </x:c>
      <x:c r="AP74" s="18" t="n">
        <x:f>'两日价格与决策'!AP170</x:f>
        <x:v>0</x:v>
      </x:c>
      <x:c r="AQ74" s="18" t="n">
        <x:f>'两日价格与决策'!AQ170</x:f>
        <x:v>4.9741</x:v>
      </x:c>
      <x:c r="AR74" s="21" t="n">
        <x:f>'两日价格与决策'!AR170</x:f>
        <x:v>45657</x:v>
      </x:c>
      <x:c r="AS74" s="17" t="n">
        <x:f>'两日价格与决策'!AS170</x:f>
        <x:v>45659.614583333336</x:v>
      </x:c>
      <x:c r="AT74" s="18" t="str">
        <x:f>'两日价格与决策'!AT170</x:f>
        <x:v>2025-01-02_16</x:v>
      </x:c>
      <x:c r="AU74" s="19" t="n">
        <x:f>'两日价格与决策'!AU170</x:f>
        <x:v>60</x:v>
      </x:c>
      <x:c r="AV74" s="18" t="str">
        <x:f>'两日价格与决策'!AV170</x:f>
        <x:v>OK</x:v>
      </x:c>
    </x:row>
    <x:row r="75" ht="21" customHeight="1">
      <x:c r="A75" s="17" t="n">
        <x:f>'两日价格与决策'!A171</x:f>
        <x:v>45659.708333333336</x:v>
      </x:c>
      <x:c r="B75" s="23" t="n">
        <x:f>'两日价格与决策'!B171</x:f>
        <x:v>159.64</x:v>
      </x:c>
      <x:c r="C75" s="23" t="str">
        <x:f>'两日价格与决策'!C171</x:f>
        <x:v>缺失</x:v>
      </x:c>
      <x:c r="D75" s="23" t="n">
        <x:f>'两日价格与决策'!D171</x:f>
        <x:v>13.831647936310086</x:v>
      </x:c>
      <x:c r="E75" s="23" t="n">
        <x:f>'两日价格与决策'!E171</x:f>
        <x:v>14.676021792887155</x:v>
      </x:c>
      <x:c r="F75" s="23" t="n">
        <x:f>'两日价格与决策'!F171</x:f>
        <x:v>200.99193824008364</x:v>
      </x:c>
      <x:c r="G75" s="23" t="n">
        <x:f>'两日价格与决策'!G171</x:f>
        <x:v>0</x:v>
      </x:c>
      <x:c r="H75" s="23" t="str">
        <x:f>'两日价格与决策'!H171</x:f>
        <x:v>未模拟</x:v>
      </x:c>
      <x:c r="I75" s="24" t="n">
        <x:f>'两日价格与决策'!I171</x:f>
        <x:v>154.4670238260865</x:v>
      </x:c>
      <x:c r="J75" s="24" t="n">
        <x:f>'两日价格与决策'!J171</x:f>
        <x:v>148.24800208695606</x:v>
      </x:c>
      <x:c r="K75" s="24" t="n">
        <x:f>'两日价格与决策'!K171</x:f>
        <x:v>0</x:v>
      </x:c>
      <x:c r="L75" s="24" t="n">
        <x:f>'两日价格与决策'!L171</x:f>
        <x:v>0</x:v>
      </x:c>
      <x:c r="M75" s="24" t="n">
        <x:f>'两日价格与决策'!M171</x:f>
        <x:v>100</x:v>
      </x:c>
      <x:c r="N75" s="24" t="n">
        <x:f>'两日价格与决策'!N171</x:f>
        <x:v>100</x:v>
      </x:c>
      <x:c r="O75" s="24" t="n">
        <x:f>'两日价格与决策'!O171</x:f>
        <x:v>5.7215</x:v>
      </x:c>
      <x:c r="P75" s="24" t="n">
        <x:f>'两日价格与决策'!P171</x:f>
        <x:v>0</x:v>
      </x:c>
      <x:c r="Q75" s="25" t="n">
        <x:f>'两日价格与决策'!Q171</x:f>
        <x:v>0</x:v>
      </x:c>
      <x:c r="R75" s="25" t="n">
        <x:f>'两日价格与决策'!R171</x:f>
        <x:v>0</x:v>
      </x:c>
      <x:c r="S75" s="25" t="n">
        <x:f>'两日价格与决策'!S171</x:f>
        <x:v>345.7911984077521</x:v>
      </x:c>
      <x:c r="T75" s="25" t="n">
        <x:f>'两日价格与决策'!T171</x:f>
        <x:v>366.90054482217886</x:v>
      </x:c>
      <x:c r="U75" s="25" t="n">
        <x:f>'两日价格与决策'!U171</x:f>
        <x:v>1149.9753746406386</x:v>
      </x:c>
      <x:c r="V75" s="25" t="n">
        <x:f>'两日价格与决策'!V171</x:f>
        <x:v>0</x:v>
      </x:c>
      <x:c r="W75" s="25" t="n">
        <x:f>'两日价格与决策'!W171</x:f>
        <x:v>1862.6671178705697</x:v>
      </x:c>
      <x:c r="X75" s="18" t="n">
        <x:f>'两日价格与决策'!X171</x:f>
        <x:v>1862.6671178705697</x:v>
      </x:c>
      <x:c r="Y75" s="18" t="n">
        <x:f>'两日价格与决策'!Y171</x:f>
        <x:v>0</x:v>
      </x:c>
      <x:c r="Z75" s="18" t="str">
        <x:f>"1月2日执行｜前窗冻结订单"</x:f>
        <x:v>1月2日执行｜前窗冻结订单</x:v>
      </x:c>
      <x:c r="AA75" s="19" t="n">
        <x:f>'两日价格与决策'!AA171</x:f>
        <x:v>1</x:v>
      </x:c>
      <x:c r="AB75" s="19" t="n">
        <x:f>'两日价格与决策'!AB171</x:f>
        <x:v>0</x:v>
      </x:c>
      <x:c r="AC75" s="18" t="n">
        <x:f>'两日价格与决策'!AC171</x:f>
        <x:v>0.25</x:v>
      </x:c>
      <x:c r="AD75" s="20" t="n">
        <x:f>'两日价格与决策'!AD171</x:f>
        <x:v>1</x:v>
      </x:c>
      <x:c r="AE75" s="20" t="n">
        <x:f>'两日价格与决策'!AE171</x:f>
        <x:v>0.22885999999999998</x:v>
      </x:c>
      <x:c r="AF75" s="20" t="n">
        <x:f>'两日价格与决策'!AF171</x:f>
        <x:v>0</x:v>
      </x:c>
      <x:c r="AG75" s="18" t="n">
        <x:f>'两日价格与决策'!AG171</x:f>
        <x:v>200</x:v>
      </x:c>
      <x:c r="AH75" s="18" t="n">
        <x:f>'两日价格与决策'!AH171</x:f>
        <x:v>200</x:v>
      </x:c>
      <x:c r="AI75" s="18" t="n">
        <x:f>'两日价格与决策'!AI171</x:f>
        <x:v>11.443</x:v>
      </x:c>
      <x:c r="AJ75" s="18" t="n">
        <x:f>'两日价格与决策'!AJ171</x:f>
        <x:v>0</x:v>
      </x:c>
      <x:c r="AK75" s="18" t="str">
        <x:f>'两日价格与决策'!AK171</x:f>
        <x:v>缺失</x:v>
      </x:c>
      <x:c r="AL75" s="18" t="n">
        <x:f>'两日价格与决策'!AL171</x:f>
        <x:v>0.017275060386473428</x:v>
      </x:c>
      <x:c r="AM75" s="18" t="n">
        <x:f>'两日价格与决策'!AM171</x:f>
        <x:v>0</x:v>
      </x:c>
      <x:c r="AN75" s="18" t="n">
        <x:f>'两日价格与决策'!AN171</x:f>
        <x:v>5.7215</x:v>
      </x:c>
      <x:c r="AO75" s="18" t="n">
        <x:f>'两日价格与决策'!AO171</x:f>
        <x:v>148.24800208695606</x:v>
      </x:c>
      <x:c r="AP75" s="18" t="n">
        <x:f>'两日价格与决策'!AP171</x:f>
        <x:v>0</x:v>
      </x:c>
      <x:c r="AQ75" s="18" t="n">
        <x:f>'两日价格与决策'!AQ171</x:f>
        <x:v>4.9741</x:v>
      </x:c>
      <x:c r="AR75" s="21" t="n">
        <x:f>'两日价格与决策'!AR171</x:f>
        <x:v>45657</x:v>
      </x:c>
      <x:c r="AS75" s="17" t="n">
        <x:f>'两日价格与决策'!AS171</x:f>
        <x:v>45659.625</x:v>
      </x:c>
      <x:c r="AT75" s="18" t="str">
        <x:f>'两日价格与决策'!AT171</x:f>
        <x:v>2025-01-02_17</x:v>
      </x:c>
      <x:c r="AU75" s="19" t="n">
        <x:f>'两日价格与决策'!AU171</x:f>
        <x:v>60</x:v>
      </x:c>
      <x:c r="AV75" s="18" t="str">
        <x:f>'两日价格与决策'!AV171</x:f>
        <x:v>OK</x:v>
      </x:c>
    </x:row>
    <x:row r="76" ht="21" customHeight="1">
      <x:c r="A76" s="17" t="n">
        <x:f>'两日价格与决策'!A172</x:f>
        <x:v>45659.71875</x:v>
      </x:c>
      <x:c r="B76" s="23" t="n">
        <x:f>'两日价格与决策'!B172</x:f>
        <x:v>159.64</x:v>
      </x:c>
      <x:c r="C76" s="23" t="str">
        <x:f>'两日价格与决策'!C172</x:f>
        <x:v>缺失</x:v>
      </x:c>
      <x:c r="D76" s="23" t="n">
        <x:f>'两日价格与决策'!D172</x:f>
        <x:v>13.831647936310086</x:v>
      </x:c>
      <x:c r="E76" s="23" t="n">
        <x:f>'两日价格与决策'!E172</x:f>
        <x:v>14.676021792887155</x:v>
      </x:c>
      <x:c r="F76" s="23" t="n">
        <x:f>'两日价格与决策'!F172</x:f>
        <x:v>245.78838382823025</x:v>
      </x:c>
      <x:c r="G76" s="23" t="n">
        <x:f>'两日价格与决策'!G172</x:f>
        <x:v>0</x:v>
      </x:c>
      <x:c r="H76" s="23" t="str">
        <x:f>'两日价格与决策'!H172</x:f>
        <x:v>未模拟</x:v>
      </x:c>
      <x:c r="I76" s="24" t="n">
        <x:f>'两日价格与决策'!I172</x:f>
        <x:v>148.24800208695606</x:v>
      </x:c>
      <x:c r="J76" s="24" t="n">
        <x:f>'两日价格与决策'!J172</x:f>
        <x:v>134.42680643478215</x:v>
      </x:c>
      <x:c r="K76" s="24" t="n">
        <x:f>'两日价格与决策'!K172</x:f>
        <x:v>0</x:v>
      </x:c>
      <x:c r="L76" s="24" t="n">
        <x:f>'两日价格与决策'!L172</x:f>
        <x:v>0</x:v>
      </x:c>
      <x:c r="M76" s="24" t="n">
        <x:f>'两日价格与决策'!M172</x:f>
        <x:v>100</x:v>
      </x:c>
      <x:c r="N76" s="24" t="n">
        <x:f>'两日价格与决策'!N172</x:f>
        <x:v>100</x:v>
      </x:c>
      <x:c r="O76" s="24" t="n">
        <x:f>'两日价格与决策'!O172</x:f>
        <x:v>12.715500000000002</x:v>
      </x:c>
      <x:c r="P76" s="24" t="n">
        <x:f>'两日价格与决策'!P172</x:f>
        <x:v>0</x:v>
      </x:c>
      <x:c r="Q76" s="25" t="n">
        <x:f>'两日价格与决策'!Q172</x:f>
        <x:v>0</x:v>
      </x:c>
      <x:c r="R76" s="25" t="n">
        <x:f>'两日价格与决策'!R172</x:f>
        <x:v>0</x:v>
      </x:c>
      <x:c r="S76" s="25" t="n">
        <x:f>'两日价格与决策'!S172</x:f>
        <x:v>345.7911984077521</x:v>
      </x:c>
      <x:c r="T76" s="25" t="n">
        <x:f>'两日价格与决策'!T172</x:f>
        <x:v>366.90054482217886</x:v>
      </x:c>
      <x:c r="U76" s="25" t="n">
        <x:f>'两日价格与决策'!U172</x:f>
        <x:v>3125.3221945678624</x:v>
      </x:c>
      <x:c r="V76" s="25" t="n">
        <x:f>'两日价格与决策'!V172</x:f>
        <x:v>0</x:v>
      </x:c>
      <x:c r="W76" s="25" t="n">
        <x:f>'两日价格与决策'!W172</x:f>
        <x:v>3838.0139377977935</x:v>
      </x:c>
      <x:c r="X76" s="18" t="n">
        <x:f>'两日价格与决策'!X172</x:f>
        <x:v>3838.0139377977935</x:v>
      </x:c>
      <x:c r="Y76" s="18" t="n">
        <x:f>'两日价格与决策'!Y172</x:f>
        <x:v>0</x:v>
      </x:c>
      <x:c r="Z76" s="18" t="str">
        <x:f>"1月2日执行｜前窗冻结订单"</x:f>
        <x:v>1月2日执行｜前窗冻结订单</x:v>
      </x:c>
      <x:c r="AA76" s="19" t="n">
        <x:f>'两日价格与决策'!AA172</x:f>
        <x:v>1</x:v>
      </x:c>
      <x:c r="AB76" s="19" t="n">
        <x:f>'两日价格与决策'!AB172</x:f>
        <x:v>0</x:v>
      </x:c>
      <x:c r="AC76" s="18" t="n">
        <x:f>'两日价格与决策'!AC172</x:f>
        <x:v>0.25</x:v>
      </x:c>
      <x:c r="AD76" s="20" t="n">
        <x:f>'两日价格与决策'!AD172</x:f>
        <x:v>1</x:v>
      </x:c>
      <x:c r="AE76" s="20" t="n">
        <x:f>'两日价格与决策'!AE172</x:f>
        <x:v>0.5086200000000001</x:v>
      </x:c>
      <x:c r="AF76" s="20" t="n">
        <x:f>'两日价格与决策'!AF172</x:f>
        <x:v>0</x:v>
      </x:c>
      <x:c r="AG76" s="18" t="n">
        <x:f>'两日价格与决策'!AG172</x:f>
        <x:v>200</x:v>
      </x:c>
      <x:c r="AH76" s="18" t="n">
        <x:f>'两日价格与决策'!AH172</x:f>
        <x:v>200</x:v>
      </x:c>
      <x:c r="AI76" s="18" t="n">
        <x:f>'两日价格与决策'!AI172</x:f>
        <x:v>25.431</x:v>
      </x:c>
      <x:c r="AJ76" s="18" t="n">
        <x:f>'两日价格与决策'!AJ172</x:f>
        <x:v>0</x:v>
      </x:c>
      <x:c r="AK76" s="18" t="str">
        <x:f>'两日价格与决策'!AK172</x:f>
        <x:v>缺失</x:v>
      </x:c>
      <x:c r="AL76" s="18" t="n">
        <x:f>'两日价格与决策'!AL172</x:f>
        <x:v>0.03839221014492754</x:v>
      </x:c>
      <x:c r="AM76" s="18" t="n">
        <x:f>'两日价格与决策'!AM172</x:f>
        <x:v>0</x:v>
      </x:c>
      <x:c r="AN76" s="18" t="n">
        <x:f>'两日价格与决策'!AN172</x:f>
        <x:v>12.715500000000002</x:v>
      </x:c>
      <x:c r="AO76" s="18" t="n">
        <x:f>'两日价格与决策'!AO172</x:f>
        <x:v>134.42680643478215</x:v>
      </x:c>
      <x:c r="AP76" s="18" t="n">
        <x:f>'两日价格与决策'!AP172</x:f>
        <x:v>0</x:v>
      </x:c>
      <x:c r="AQ76" s="18" t="n">
        <x:f>'两日价格与决策'!AQ172</x:f>
        <x:v>4.9741</x:v>
      </x:c>
      <x:c r="AR76" s="21" t="n">
        <x:f>'两日价格与决策'!AR172</x:f>
        <x:v>45657</x:v>
      </x:c>
      <x:c r="AS76" s="17" t="n">
        <x:f>'两日价格与决策'!AS172</x:f>
        <x:v>45659.635416666664</x:v>
      </x:c>
      <x:c r="AT76" s="18" t="str">
        <x:f>'两日价格与决策'!AT172</x:f>
        <x:v>2025-01-02_17</x:v>
      </x:c>
      <x:c r="AU76" s="19" t="n">
        <x:f>'两日价格与决策'!AU172</x:f>
        <x:v>60</x:v>
      </x:c>
      <x:c r="AV76" s="18" t="str">
        <x:f>'两日价格与决策'!AV172</x:f>
        <x:v>OK</x:v>
      </x:c>
    </x:row>
    <x:row r="77" ht="21" customHeight="1">
      <x:c r="A77" s="17" t="n">
        <x:f>'两日价格与决策'!A173</x:f>
        <x:v>45659.729166666664</x:v>
      </x:c>
      <x:c r="B77" s="23" t="n">
        <x:f>'两日价格与决策'!B173</x:f>
        <x:v>159.64</x:v>
      </x:c>
      <x:c r="C77" s="23" t="str">
        <x:f>'两日价格与决策'!C173</x:f>
        <x:v>缺失</x:v>
      </x:c>
      <x:c r="D77" s="23" t="n">
        <x:f>'两日价格与决策'!D173</x:f>
        <x:v>13.831647936310086</x:v>
      </x:c>
      <x:c r="E77" s="23" t="n">
        <x:f>'两日价格与决策'!E173</x:f>
        <x:v>14.676021792887155</x:v>
      </x:c>
      <x:c r="F77" s="23" t="n">
        <x:f>'两日价格与决策'!F173</x:f>
        <x:v>242.48768621459158</x:v>
      </x:c>
      <x:c r="G77" s="23" t="n">
        <x:f>'两日价格与决策'!G173</x:f>
        <x:v>0</x:v>
      </x:c>
      <x:c r="H77" s="23" t="str">
        <x:f>'两日价格与决策'!H173</x:f>
        <x:v>未模拟</x:v>
      </x:c>
      <x:c r="I77" s="24" t="n">
        <x:f>'两日价格与决策'!I173</x:f>
        <x:v>134.42680643478215</x:v>
      </x:c>
      <x:c r="J77" s="24" t="n">
        <x:f>'两日价格与决策'!J173</x:f>
        <x:v>122.45724121739084</x:v>
      </x:c>
      <x:c r="K77" s="24" t="n">
        <x:f>'两日价格与决策'!K173</x:f>
        <x:v>0</x:v>
      </x:c>
      <x:c r="L77" s="24" t="n">
        <x:f>'两日价格与决策'!L173</x:f>
        <x:v>0</x:v>
      </x:c>
      <x:c r="M77" s="24" t="n">
        <x:f>'两日价格与决策'!M173</x:f>
        <x:v>100</x:v>
      </x:c>
      <x:c r="N77" s="24" t="n">
        <x:f>'两日价格与决策'!N173</x:f>
        <x:v>100</x:v>
      </x:c>
      <x:c r="O77" s="24" t="n">
        <x:f>'两日价格与决策'!O173</x:f>
        <x:v>11.012</x:v>
      </x:c>
      <x:c r="P77" s="24" t="n">
        <x:f>'两日价格与决策'!P173</x:f>
        <x:v>0</x:v>
      </x:c>
      <x:c r="Q77" s="25" t="n">
        <x:f>'两日价格与决策'!Q173</x:f>
        <x:v>0</x:v>
      </x:c>
      <x:c r="R77" s="25" t="n">
        <x:f>'两日价格与决策'!R173</x:f>
        <x:v>0</x:v>
      </x:c>
      <x:c r="S77" s="25" t="n">
        <x:f>'两日价格与决策'!S173</x:f>
        <x:v>345.7911984077521</x:v>
      </x:c>
      <x:c r="T77" s="25" t="n">
        <x:f>'两日价格与决策'!T173</x:f>
        <x:v>366.90054482217886</x:v>
      </x:c>
      <x:c r="U77" s="25" t="n">
        <x:f>'两日价格与决策'!U173</x:f>
        <x:v>2670.2744005950826</x:v>
      </x:c>
      <x:c r="V77" s="25" t="n">
        <x:f>'两日价格与决策'!V173</x:f>
        <x:v>0</x:v>
      </x:c>
      <x:c r="W77" s="25" t="n">
        <x:f>'两日价格与决策'!W173</x:f>
        <x:v>3382.9661438250137</x:v>
      </x:c>
      <x:c r="X77" s="18" t="n">
        <x:f>'两日价格与决策'!X173</x:f>
        <x:v>3382.9661438250137</x:v>
      </x:c>
      <x:c r="Y77" s="18" t="n">
        <x:f>'两日价格与决策'!Y173</x:f>
        <x:v>0</x:v>
      </x:c>
      <x:c r="Z77" s="18" t="str">
        <x:f>"1月2日执行｜前窗冻结订单"</x:f>
        <x:v>1月2日执行｜前窗冻结订单</x:v>
      </x:c>
      <x:c r="AA77" s="19" t="n">
        <x:f>'两日价格与决策'!AA173</x:f>
        <x:v>1</x:v>
      </x:c>
      <x:c r="AB77" s="19" t="n">
        <x:f>'两日价格与决策'!AB173</x:f>
        <x:v>0</x:v>
      </x:c>
      <x:c r="AC77" s="18" t="n">
        <x:f>'两日价格与决策'!AC173</x:f>
        <x:v>0.25</x:v>
      </x:c>
      <x:c r="AD77" s="20" t="n">
        <x:f>'两日价格与决策'!AD173</x:f>
        <x:v>1</x:v>
      </x:c>
      <x:c r="AE77" s="20" t="n">
        <x:f>'两日价格与决策'!AE173</x:f>
        <x:v>0.44048000000000004</x:v>
      </x:c>
      <x:c r="AF77" s="20" t="n">
        <x:f>'两日价格与决策'!AF173</x:f>
        <x:v>0</x:v>
      </x:c>
      <x:c r="AG77" s="18" t="n">
        <x:f>'两日价格与决策'!AG173</x:f>
        <x:v>200</x:v>
      </x:c>
      <x:c r="AH77" s="18" t="n">
        <x:f>'两日价格与决策'!AH173</x:f>
        <x:v>200</x:v>
      </x:c>
      <x:c r="AI77" s="18" t="n">
        <x:f>'两日价格与决策'!AI173</x:f>
        <x:v>22.024</x:v>
      </x:c>
      <x:c r="AJ77" s="18" t="n">
        <x:f>'两日价格与决策'!AJ173</x:f>
        <x:v>0</x:v>
      </x:c>
      <x:c r="AK77" s="18" t="str">
        <x:f>'两日价格与决策'!AK173</x:f>
        <x:v>缺失</x:v>
      </x:c>
      <x:c r="AL77" s="18" t="n">
        <x:f>'两日价格与决策'!AL173</x:f>
        <x:v>0.0332487922705314</x:v>
      </x:c>
      <x:c r="AM77" s="18" t="n">
        <x:f>'两日价格与决策'!AM173</x:f>
        <x:v>0</x:v>
      </x:c>
      <x:c r="AN77" s="18" t="n">
        <x:f>'两日价格与决策'!AN173</x:f>
        <x:v>11.012</x:v>
      </x:c>
      <x:c r="AO77" s="18" t="n">
        <x:f>'两日价格与决策'!AO173</x:f>
        <x:v>122.45724121739084</x:v>
      </x:c>
      <x:c r="AP77" s="18" t="n">
        <x:f>'两日价格与决策'!AP173</x:f>
        <x:v>0</x:v>
      </x:c>
      <x:c r="AQ77" s="18" t="n">
        <x:f>'两日价格与决策'!AQ173</x:f>
        <x:v>4.9741</x:v>
      </x:c>
      <x:c r="AR77" s="21" t="n">
        <x:f>'两日价格与决策'!AR173</x:f>
        <x:v>45657</x:v>
      </x:c>
      <x:c r="AS77" s="17" t="n">
        <x:f>'两日价格与决策'!AS173</x:f>
        <x:v>45659.645833333336</x:v>
      </x:c>
      <x:c r="AT77" s="18" t="str">
        <x:f>'两日价格与决策'!AT173</x:f>
        <x:v>2025-01-02_17</x:v>
      </x:c>
      <x:c r="AU77" s="19" t="n">
        <x:f>'两日价格与决策'!AU173</x:f>
        <x:v>60</x:v>
      </x:c>
      <x:c r="AV77" s="18" t="str">
        <x:f>'两日价格与决策'!AV173</x:f>
        <x:v>OK</x:v>
      </x:c>
    </x:row>
    <x:row r="78" ht="21" customHeight="1">
      <x:c r="A78" s="17" t="n">
        <x:f>'两日价格与决策'!A174</x:f>
        <x:v>45659.739583333336</x:v>
      </x:c>
      <x:c r="B78" s="23" t="n">
        <x:f>'两日价格与决策'!B174</x:f>
        <x:v>159.64</x:v>
      </x:c>
      <x:c r="C78" s="23" t="str">
        <x:f>'两日价格与决策'!C174</x:f>
        <x:v>缺失</x:v>
      </x:c>
      <x:c r="D78" s="23" t="n">
        <x:f>'两日价格与决策'!D174</x:f>
        <x:v>13.831647936310086</x:v>
      </x:c>
      <x:c r="E78" s="23" t="n">
        <x:f>'两日价格与决策'!E174</x:f>
        <x:v>14.676021792887155</x:v>
      </x:c>
      <x:c r="F78" s="23" t="n">
        <x:f>'两日价格与决策'!F174</x:f>
        <x:v>239.9469250718723</x:v>
      </x:c>
      <x:c r="G78" s="23" t="n">
        <x:f>'两日价格与决策'!G174</x:f>
        <x:v>0</x:v>
      </x:c>
      <x:c r="H78" s="23" t="str">
        <x:f>'两日价格与决策'!H174</x:f>
        <x:v>未模拟</x:v>
      </x:c>
      <x:c r="I78" s="24" t="n">
        <x:f>'两日价格与决策'!I174</x:f>
        <x:v>122.45724121739084</x:v>
      </x:c>
      <x:c r="J78" s="24" t="n">
        <x:f>'两日价格与决策'!J174</x:f>
        <x:v>111.57680643478216</x:v>
      </x:c>
      <x:c r="K78" s="24" t="n">
        <x:f>'两日价格与决策'!K174</x:f>
        <x:v>0</x:v>
      </x:c>
      <x:c r="L78" s="24" t="n">
        <x:f>'两日价格与决策'!L174</x:f>
        <x:v>0</x:v>
      </x:c>
      <x:c r="M78" s="24" t="n">
        <x:f>'两日价格与决策'!M174</x:f>
        <x:v>100</x:v>
      </x:c>
      <x:c r="N78" s="24" t="n">
        <x:f>'两日价格与决策'!N174</x:f>
        <x:v>100</x:v>
      </x:c>
      <x:c r="O78" s="24" t="n">
        <x:f>'两日价格与决策'!O174</x:f>
        <x:v>10.01</x:v>
      </x:c>
      <x:c r="P78" s="24" t="n">
        <x:f>'两日价格与决策'!P174</x:f>
        <x:v>0</x:v>
      </x:c>
      <x:c r="Q78" s="25" t="n">
        <x:f>'两日价格与决策'!Q174</x:f>
        <x:v>0</x:v>
      </x:c>
      <x:c r="R78" s="25" t="n">
        <x:f>'两日价格与决策'!R174</x:f>
        <x:v>0</x:v>
      </x:c>
      <x:c r="S78" s="25" t="n">
        <x:f>'两日价格与决策'!S174</x:f>
        <x:v>345.7911984077521</x:v>
      </x:c>
      <x:c r="T78" s="25" t="n">
        <x:f>'两日价格与决策'!T174</x:f>
        <x:v>366.90054482217886</x:v>
      </x:c>
      <x:c r="U78" s="25" t="n">
        <x:f>'两日价格与决策'!U174</x:f>
        <x:v>2401.868719969442</x:v>
      </x:c>
      <x:c r="V78" s="25" t="n">
        <x:f>'两日价格与决策'!V174</x:f>
        <x:v>0</x:v>
      </x:c>
      <x:c r="W78" s="25" t="n">
        <x:f>'两日价格与决策'!W174</x:f>
        <x:v>3114.560463199373</x:v>
      </x:c>
      <x:c r="X78" s="18" t="n">
        <x:f>'两日价格与决策'!X174</x:f>
        <x:v>3114.560463199373</x:v>
      </x:c>
      <x:c r="Y78" s="18" t="n">
        <x:f>'两日价格与决策'!Y174</x:f>
        <x:v>0</x:v>
      </x:c>
      <x:c r="Z78" s="18" t="str">
        <x:f>"1月2日执行｜前窗冻结订单"</x:f>
        <x:v>1月2日执行｜前窗冻结订单</x:v>
      </x:c>
      <x:c r="AA78" s="19" t="n">
        <x:f>'两日价格与决策'!AA174</x:f>
        <x:v>1</x:v>
      </x:c>
      <x:c r="AB78" s="19" t="n">
        <x:f>'两日价格与决策'!AB174</x:f>
        <x:v>0</x:v>
      </x:c>
      <x:c r="AC78" s="18" t="n">
        <x:f>'两日价格与决策'!AC174</x:f>
        <x:v>0.25</x:v>
      </x:c>
      <x:c r="AD78" s="20" t="n">
        <x:f>'两日价格与决策'!AD174</x:f>
        <x:v>1</x:v>
      </x:c>
      <x:c r="AE78" s="20" t="n">
        <x:f>'两日价格与决策'!AE174</x:f>
        <x:v>0.4004</x:v>
      </x:c>
      <x:c r="AF78" s="20" t="n">
        <x:f>'两日价格与决策'!AF174</x:f>
        <x:v>0</x:v>
      </x:c>
      <x:c r="AG78" s="18" t="n">
        <x:f>'两日价格与决策'!AG174</x:f>
        <x:v>200</x:v>
      </x:c>
      <x:c r="AH78" s="18" t="n">
        <x:f>'两日价格与决策'!AH174</x:f>
        <x:v>200</x:v>
      </x:c>
      <x:c r="AI78" s="18" t="n">
        <x:f>'两日价格与决策'!AI174</x:f>
        <x:v>20.02</x:v>
      </x:c>
      <x:c r="AJ78" s="18" t="n">
        <x:f>'两日价格与决策'!AJ174</x:f>
        <x:v>0</x:v>
      </x:c>
      <x:c r="AK78" s="18" t="str">
        <x:f>'两日价格与决策'!AK174</x:f>
        <x:v>缺失</x:v>
      </x:c>
      <x:c r="AL78" s="18" t="n">
        <x:f>'两日价格与决策'!AL174</x:f>
        <x:v>0.030223429951690816</x:v>
      </x:c>
      <x:c r="AM78" s="18" t="n">
        <x:f>'两日价格与决策'!AM174</x:f>
        <x:v>0</x:v>
      </x:c>
      <x:c r="AN78" s="18" t="n">
        <x:f>'两日价格与决策'!AN174</x:f>
        <x:v>10.01</x:v>
      </x:c>
      <x:c r="AO78" s="18" t="n">
        <x:f>'两日价格与决策'!AO174</x:f>
        <x:v>111.57680643478216</x:v>
      </x:c>
      <x:c r="AP78" s="18" t="n">
        <x:f>'两日价格与决策'!AP174</x:f>
        <x:v>0</x:v>
      </x:c>
      <x:c r="AQ78" s="18" t="n">
        <x:f>'两日价格与决策'!AQ174</x:f>
        <x:v>4.9741</x:v>
      </x:c>
      <x:c r="AR78" s="21" t="n">
        <x:f>'两日价格与决策'!AR174</x:f>
        <x:v>45657</x:v>
      </x:c>
      <x:c r="AS78" s="17" t="n">
        <x:f>'两日价格与决策'!AS174</x:f>
        <x:v>45659.65625</x:v>
      </x:c>
      <x:c r="AT78" s="18" t="str">
        <x:f>'两日价格与决策'!AT174</x:f>
        <x:v>2025-01-02_17</x:v>
      </x:c>
      <x:c r="AU78" s="19" t="n">
        <x:f>'两日价格与决策'!AU174</x:f>
        <x:v>60</x:v>
      </x:c>
      <x:c r="AV78" s="18" t="str">
        <x:f>'两日价格与决策'!AV174</x:f>
        <x:v>OK</x:v>
      </x:c>
    </x:row>
    <x:row r="79" ht="21" customHeight="1">
      <x:c r="A79" s="17" t="n">
        <x:f>'两日价格与决策'!A175</x:f>
        <x:v>45659.75</x:v>
      </x:c>
      <x:c r="B79" s="23" t="n">
        <x:f>'两日价格与决策'!B175</x:f>
        <x:v>170</x:v>
      </x:c>
      <x:c r="C79" s="23" t="str">
        <x:f>'两日价格与决策'!C175</x:f>
        <x:v>缺失</x:v>
      </x:c>
      <x:c r="D79" s="23" t="n">
        <x:f>'两日价格与决策'!D175</x:f>
        <x:v>13.831647936310086</x:v>
      </x:c>
      <x:c r="E79" s="23" t="n">
        <x:f>'两日价格与决策'!E175</x:f>
        <x:v>14.676021792887155</x:v>
      </x:c>
      <x:c r="F79" s="23" t="n">
        <x:f>'两日价格与决策'!F175</x:f>
        <x:v>178.25837840011258</x:v>
      </x:c>
      <x:c r="G79" s="23" t="n">
        <x:f>'两日价格与决策'!G175</x:f>
        <x:v>28.38744697533222</x:v>
      </x:c>
      <x:c r="H79" s="23" t="str">
        <x:f>'两日价格与决策'!H175</x:f>
        <x:v>未模拟</x:v>
      </x:c>
      <x:c r="I79" s="24" t="n">
        <x:f>'两日价格与决策'!I175</x:f>
        <x:v>111.57680643478216</x:v>
      </x:c>
      <x:c r="J79" s="24" t="n">
        <x:f>'两日价格与决策'!J175</x:f>
        <x:v>84.9170238260865</x:v>
      </x:c>
      <x:c r="K79" s="24" t="n">
        <x:f>'两日价格与决策'!K175</x:f>
        <x:v>100</x:v>
      </x:c>
      <x:c r="L79" s="24" t="n">
        <x:f>'两日价格与决策'!L175</x:f>
        <x:v>0</x:v>
      </x:c>
      <x:c r="M79" s="24" t="n">
        <x:f>'两日价格与决策'!M175</x:f>
        <x:v>0</x:v>
      </x:c>
      <x:c r="N79" s="24" t="n">
        <x:f>'两日价格与决策'!N175</x:f>
        <x:v>100</x:v>
      </x:c>
      <x:c r="O79" s="24" t="n">
        <x:f>'两日价格与决策'!O175</x:f>
        <x:v>0</x:v>
      </x:c>
      <x:c r="P79" s="24" t="n">
        <x:f>'两日价格与决策'!P175</x:f>
        <x:v>0.473</x:v>
      </x:c>
      <x:c r="Q79" s="25" t="n">
        <x:f>'两日价格与决策'!Q175</x:f>
        <x:v>4250</x:v>
      </x:c>
      <x:c r="R79" s="25" t="n">
        <x:f>'两日价格与决策'!R175</x:f>
        <x:v>0</x:v>
      </x:c>
      <x:c r="S79" s="25" t="n">
        <x:f>'两日价格与决策'!S175</x:f>
        <x:v>0</x:v>
      </x:c>
      <x:c r="T79" s="25" t="n">
        <x:f>'两日价格与决策'!T175</x:f>
        <x:v>366.90054482217886</x:v>
      </x:c>
      <x:c r="U79" s="25" t="n">
        <x:f>'两日价格与决策'!U175</x:f>
        <x:v>0</x:v>
      </x:c>
      <x:c r="V79" s="25" t="n">
        <x:f>'两日价格与决策'!V175</x:f>
        <x:v>-13.42726241933214</x:v>
      </x:c>
      <x:c r="W79" s="25" t="n">
        <x:f>'两日价格与决策'!W175</x:f>
        <x:v>4603.473282402847</x:v>
      </x:c>
      <x:c r="X79" s="18" t="n">
        <x:f>'两日价格与决策'!X175</x:f>
        <x:v>4603.473282402847</x:v>
      </x:c>
      <x:c r="Y79" s="18" t="n">
        <x:f>'两日价格与决策'!Y175</x:f>
        <x:v>0</x:v>
      </x:c>
      <x:c r="Z79" s="18" t="str">
        <x:f>"1月2日执行｜前窗冻结订单"</x:f>
        <x:v>1月2日执行｜前窗冻结订单</x:v>
      </x:c>
      <x:c r="AA79" s="19" t="n">
        <x:f>'两日价格与决策'!AA175</x:f>
        <x:v>1</x:v>
      </x:c>
      <x:c r="AB79" s="19" t="n">
        <x:f>'两日价格与决策'!AB175</x:f>
        <x:v>0</x:v>
      </x:c>
      <x:c r="AC79" s="18" t="n">
        <x:f>'两日价格与决策'!AC175</x:f>
        <x:v>0.25</x:v>
      </x:c>
      <x:c r="AD79" s="20" t="n">
        <x:f>'两日价格与决策'!AD175</x:f>
        <x:v>1</x:v>
      </x:c>
      <x:c r="AE79" s="20" t="n">
        <x:f>'两日价格与决策'!AE175</x:f>
        <x:v>0.05567999999999999</x:v>
      </x:c>
      <x:c r="AF79" s="20" t="n">
        <x:f>'两日价格与决策'!AF175</x:f>
        <x:v>0.01892</x:v>
      </x:c>
      <x:c r="AG79" s="18" t="n">
        <x:f>'两日价格与决策'!AG175</x:f>
        <x:v>200</x:v>
      </x:c>
      <x:c r="AH79" s="18" t="n">
        <x:f>'两日价格与决策'!AH175</x:f>
        <x:v>200</x:v>
      </x:c>
      <x:c r="AI79" s="18" t="n">
        <x:f>'两日价格与决策'!AI175</x:f>
        <x:v>2.784</x:v>
      </x:c>
      <x:c r="AJ79" s="18" t="n">
        <x:f>'两日价格与决策'!AJ175</x:f>
        <x:v>0.946</x:v>
      </x:c>
      <x:c r="AK79" s="18" t="str">
        <x:f>'两日价格与决策'!AK175</x:f>
        <x:v>缺失</x:v>
      </x:c>
      <x:c r="AL79" s="18" t="n">
        <x:f>'两日价格与决策'!AL175</x:f>
        <x:v>0.07405495169082126</x:v>
      </x:c>
      <x:c r="AM79" s="18" t="n">
        <x:f>'两日价格与决策'!AM175</x:f>
        <x:v>0</x:v>
      </x:c>
      <x:c r="AN79" s="18" t="n">
        <x:f>'两日价格与决策'!AN175</x:f>
        <x:v>24.527</x:v>
      </x:c>
      <x:c r="AO79" s="18" t="n">
        <x:f>'两日价格与决策'!AO175</x:f>
        <x:v>84.9170238260865</x:v>
      </x:c>
      <x:c r="AP79" s="18" t="n">
        <x:f>'两日价格与决策'!AP175</x:f>
        <x:v>0</x:v>
      </x:c>
      <x:c r="AQ79" s="18" t="n">
        <x:f>'两日价格与决策'!AQ175</x:f>
        <x:v>4.9741</x:v>
      </x:c>
      <x:c r="AR79" s="21" t="n">
        <x:f>'两日价格与决策'!AR175</x:f>
        <x:v>45657</x:v>
      </x:c>
      <x:c r="AS79" s="17" t="n">
        <x:f>'两日价格与决策'!AS175</x:f>
        <x:v>45659.666666666664</x:v>
      </x:c>
      <x:c r="AT79" s="18" t="str">
        <x:f>'两日价格与决策'!AT175</x:f>
        <x:v>2025-01-02_18</x:v>
      </x:c>
      <x:c r="AU79" s="19" t="n">
        <x:f>'两日价格与决策'!AU175</x:f>
        <x:v>60</x:v>
      </x:c>
      <x:c r="AV79" s="18" t="str">
        <x:f>'两日价格与决策'!AV175</x:f>
        <x:v>OK</x:v>
      </x:c>
    </x:row>
    <x:row r="80" ht="21" customHeight="1">
      <x:c r="A80" s="17" t="n">
        <x:f>'两日价格与决策'!A176</x:f>
        <x:v>45659.760416666664</x:v>
      </x:c>
      <x:c r="B80" s="23" t="n">
        <x:f>'两日价格与决策'!B176</x:f>
        <x:v>170</x:v>
      </x:c>
      <x:c r="C80" s="23" t="str">
        <x:f>'两日价格与决策'!C176</x:f>
        <x:v>缺失</x:v>
      </x:c>
      <x:c r="D80" s="23" t="n">
        <x:f>'两日价格与决策'!D176</x:f>
        <x:v>13.831647936310086</x:v>
      </x:c>
      <x:c r="E80" s="23" t="n">
        <x:f>'两日价格与决策'!E176</x:f>
        <x:v>14.676021792887155</x:v>
      </x:c>
      <x:c r="F80" s="23" t="n">
        <x:f>'两日价格与决策'!F176</x:f>
        <x:v>0</x:v>
      </x:c>
      <x:c r="G80" s="23" t="n">
        <x:f>'两日价格与决策'!G176</x:f>
        <x:v>16.856114674011376</x:v>
      </x:c>
      <x:c r="H80" s="23" t="str">
        <x:f>'两日价格与决策'!H176</x:f>
        <x:v>未模拟</x:v>
      </x:c>
      <x:c r="I80" s="24" t="n">
        <x:f>'两日价格与决策'!I176</x:f>
        <x:v>84.9170238260865</x:v>
      </x:c>
      <x:c r="J80" s="24" t="n">
        <x:f>'两日价格与决策'!J176</x:f>
        <x:v>63.20452382608651</x:v>
      </x:c>
      <x:c r="K80" s="24" t="n">
        <x:f>'两日价格与决策'!K176</x:f>
        <x:v>100</x:v>
      </x:c>
      <x:c r="L80" s="24" t="n">
        <x:f>'两日价格与决策'!L176</x:f>
        <x:v>0</x:v>
      </x:c>
      <x:c r="M80" s="24" t="n">
        <x:f>'两日价格与决策'!M176</x:f>
        <x:v>0</x:v>
      </x:c>
      <x:c r="N80" s="24" t="n">
        <x:f>'两日价格与决策'!N176</x:f>
        <x:v>100</x:v>
      </x:c>
      <x:c r="O80" s="24" t="n">
        <x:f>'两日价格与决策'!O176</x:f>
        <x:v>0</x:v>
      </x:c>
      <x:c r="P80" s="24" t="n">
        <x:f>'两日价格与决策'!P176</x:f>
        <x:v>5.0245</x:v>
      </x:c>
      <x:c r="Q80" s="25" t="n">
        <x:f>'两日价格与决策'!Q176</x:f>
        <x:v>4250</x:v>
      </x:c>
      <x:c r="R80" s="25" t="n">
        <x:f>'两日价格与决策'!R176</x:f>
        <x:v>0</x:v>
      </x:c>
      <x:c r="S80" s="25" t="n">
        <x:f>'两日价格与决策'!S176</x:f>
        <x:v>0</x:v>
      </x:c>
      <x:c r="T80" s="25" t="n">
        <x:f>'两日价格与决策'!T176</x:f>
        <x:v>366.90054482217886</x:v>
      </x:c>
      <x:c r="U80" s="25" t="n">
        <x:f>'两日价格与决策'!U176</x:f>
        <x:v>0</x:v>
      </x:c>
      <x:c r="V80" s="25" t="n">
        <x:f>'两日价格与决策'!V176</x:f>
        <x:v>-84.69354817957016</x:v>
      </x:c>
      <x:c r="W80" s="25" t="n">
        <x:f>'两日价格与决策'!W176</x:f>
        <x:v>4532.206996642609</x:v>
      </x:c>
      <x:c r="X80" s="18" t="n">
        <x:f>'两日价格与决策'!X176</x:f>
        <x:v>4532.206996642609</x:v>
      </x:c>
      <x:c r="Y80" s="18" t="n">
        <x:f>'两日价格与决策'!Y176</x:f>
        <x:v>0</x:v>
      </x:c>
      <x:c r="Z80" s="18" t="str">
        <x:f>"1月2日执行｜前窗冻结订单"</x:f>
        <x:v>1月2日执行｜前窗冻结订单</x:v>
      </x:c>
      <x:c r="AA80" s="19" t="n">
        <x:f>'两日价格与决策'!AA176</x:f>
        <x:v>1</x:v>
      </x:c>
      <x:c r="AB80" s="19" t="n">
        <x:f>'两日价格与决策'!AB176</x:f>
        <x:v>0</x:v>
      </x:c>
      <x:c r="AC80" s="18" t="n">
        <x:f>'两日价格与决策'!AC176</x:f>
        <x:v>0.25</x:v>
      </x:c>
      <x:c r="AD80" s="20" t="n">
        <x:f>'两日价格与决策'!AD176</x:f>
        <x:v>1</x:v>
      </x:c>
      <x:c r="AE80" s="20" t="n">
        <x:f>'两日价格与决策'!AE176</x:f>
        <x:v>0</x:v>
      </x:c>
      <x:c r="AF80" s="20" t="n">
        <x:f>'两日价格与决策'!AF176</x:f>
        <x:v>0.20098</x:v>
      </x:c>
      <x:c r="AG80" s="18" t="n">
        <x:f>'两日价格与决策'!AG176</x:f>
        <x:v>200</x:v>
      </x:c>
      <x:c r="AH80" s="18" t="n">
        <x:f>'两日价格与决策'!AH176</x:f>
        <x:v>200</x:v>
      </x:c>
      <x:c r="AI80" s="18" t="n">
        <x:f>'两日价格与决策'!AI176</x:f>
        <x:v>0</x:v>
      </x:c>
      <x:c r="AJ80" s="18" t="n">
        <x:f>'两日价格与决策'!AJ176</x:f>
        <x:v>10.049</x:v>
      </x:c>
      <x:c r="AK80" s="18" t="str">
        <x:f>'两日价格与决策'!AK176</x:f>
        <x:v>缺失</x:v>
      </x:c>
      <x:c r="AL80" s="18" t="n">
        <x:f>'两日价格与决策'!AL176</x:f>
        <x:v>0.0603125</x:v>
      </x:c>
      <x:c r="AM80" s="18" t="n">
        <x:f>'两日价格与决策'!AM176</x:f>
        <x:v>0</x:v>
      </x:c>
      <x:c r="AN80" s="18" t="n">
        <x:f>'两日价格与决策'!AN176</x:f>
        <x:v>19.9755</x:v>
      </x:c>
      <x:c r="AO80" s="18" t="n">
        <x:f>'两日价格与决策'!AO176</x:f>
        <x:v>63.20452382608651</x:v>
      </x:c>
      <x:c r="AP80" s="18" t="n">
        <x:f>'两日价格与决策'!AP176</x:f>
        <x:v>0</x:v>
      </x:c>
      <x:c r="AQ80" s="18" t="n">
        <x:f>'两日价格与决策'!AQ176</x:f>
        <x:v>4.9741</x:v>
      </x:c>
      <x:c r="AR80" s="21" t="n">
        <x:f>'两日价格与决策'!AR176</x:f>
        <x:v>45657</x:v>
      </x:c>
      <x:c r="AS80" s="17" t="n">
        <x:f>'两日价格与决策'!AS176</x:f>
        <x:v>45659.677083333336</x:v>
      </x:c>
      <x:c r="AT80" s="18" t="str">
        <x:f>'两日价格与决策'!AT176</x:f>
        <x:v>2025-01-02_18</x:v>
      </x:c>
      <x:c r="AU80" s="19" t="n">
        <x:f>'两日价格与决策'!AU176</x:f>
        <x:v>60</x:v>
      </x:c>
      <x:c r="AV80" s="18" t="str">
        <x:f>'两日价格与决策'!AV176</x:f>
        <x:v>OK</x:v>
      </x:c>
    </x:row>
    <x:row r="81" ht="21" customHeight="1">
      <x:c r="A81" s="17" t="n">
        <x:f>'两日价格与决策'!A177</x:f>
        <x:v>45659.770833333336</x:v>
      </x:c>
      <x:c r="B81" s="23" t="n">
        <x:f>'两日价格与决策'!B177</x:f>
        <x:v>170</x:v>
      </x:c>
      <x:c r="C81" s="23" t="str">
        <x:f>'两日价格与决策'!C177</x:f>
        <x:v>缺失</x:v>
      </x:c>
      <x:c r="D81" s="23" t="n">
        <x:f>'两日价格与决策'!D177</x:f>
        <x:v>13.831647936310086</x:v>
      </x:c>
      <x:c r="E81" s="23" t="n">
        <x:f>'两日价格与决策'!E177</x:f>
        <x:v>14.676021792887155</x:v>
      </x:c>
      <x:c r="F81" s="23" t="n">
        <x:f>'两日价格与决策'!F177</x:f>
        <x:v>0</x:v>
      </x:c>
      <x:c r="G81" s="23" t="n">
        <x:f>'两日价格与决策'!G177</x:f>
        <x:v>22.3956092559458</x:v>
      </x:c>
      <x:c r="H81" s="23" t="str">
        <x:f>'两日价格与决策'!H177</x:f>
        <x:v>未模拟</x:v>
      </x:c>
      <x:c r="I81" s="24" t="n">
        <x:f>'两日价格与决策'!I177</x:f>
        <x:v>63.20452382608651</x:v>
      </x:c>
      <x:c r="J81" s="24" t="n">
        <x:f>'两日价格与决策'!J177</x:f>
        <x:v>38.505610782608244</x:v>
      </x:c>
      <x:c r="K81" s="24" t="n">
        <x:f>'两日价格与决策'!K177</x:f>
        <x:v>100</x:v>
      </x:c>
      <x:c r="L81" s="24" t="n">
        <x:f>'两日价格与决策'!L177</x:f>
        <x:v>0</x:v>
      </x:c>
      <x:c r="M81" s="24" t="n">
        <x:f>'两日价格与决策'!M177</x:f>
        <x:v>0</x:v>
      </x:c>
      <x:c r="N81" s="24" t="n">
        <x:f>'两日价格与决策'!N177</x:f>
        <x:v>100</x:v>
      </x:c>
      <x:c r="O81" s="24" t="n">
        <x:f>'两日价格与决策'!O177</x:f>
        <x:v>0</x:v>
      </x:c>
      <x:c r="P81" s="24" t="n">
        <x:f>'两日价格与决策'!P177</x:f>
        <x:v>2.277</x:v>
      </x:c>
      <x:c r="Q81" s="25" t="n">
        <x:f>'两日价格与决策'!Q177</x:f>
        <x:v>4250</x:v>
      </x:c>
      <x:c r="R81" s="25" t="n">
        <x:f>'两日价格与决策'!R177</x:f>
        <x:v>0</x:v>
      </x:c>
      <x:c r="S81" s="25" t="n">
        <x:f>'两日价格与决策'!S177</x:f>
        <x:v>0</x:v>
      </x:c>
      <x:c r="T81" s="25" t="n">
        <x:f>'两日价格与决策'!T177</x:f>
        <x:v>366.90054482217886</x:v>
      </x:c>
      <x:c r="U81" s="25" t="n">
        <x:f>'两日价格与决策'!U177</x:f>
        <x:v>0</x:v>
      </x:c>
      <x:c r="V81" s="25" t="n">
        <x:f>'两日价格与决策'!V177</x:f>
        <x:v>-50.99480227578859</x:v>
      </x:c>
      <x:c r="W81" s="25" t="n">
        <x:f>'两日价格与决策'!W177</x:f>
        <x:v>4565.90574254639</x:v>
      </x:c>
      <x:c r="X81" s="18" t="n">
        <x:f>'两日价格与决策'!X177</x:f>
        <x:v>4565.905742546391</x:v>
      </x:c>
      <x:c r="Y81" s="18" t="n">
        <x:f>'两日价格与决策'!Y177</x:f>
        <x:v>-9.094947017729282e-13</x:v>
      </x:c>
      <x:c r="Z81" s="18" t="str">
        <x:f>"1月2日执行｜前窗冻结订单"</x:f>
        <x:v>1月2日执行｜前窗冻结订单</x:v>
      </x:c>
      <x:c r="AA81" s="19" t="n">
        <x:f>'两日价格与决策'!AA177</x:f>
        <x:v>1</x:v>
      </x:c>
      <x:c r="AB81" s="19" t="n">
        <x:f>'两日价格与决策'!AB177</x:f>
        <x:v>0</x:v>
      </x:c>
      <x:c r="AC81" s="18" t="n">
        <x:f>'两日价格与决策'!AC177</x:f>
        <x:v>0.25</x:v>
      </x:c>
      <x:c r="AD81" s="20" t="n">
        <x:f>'两日价格与决策'!AD177</x:f>
        <x:v>1</x:v>
      </x:c>
      <x:c r="AE81" s="20" t="n">
        <x:f>'两日价格与决策'!AE177</x:f>
        <x:v>0</x:v>
      </x:c>
      <x:c r="AF81" s="20" t="n">
        <x:f>'两日价格与决策'!AF177</x:f>
        <x:v>0.09108000000000001</x:v>
      </x:c>
      <x:c r="AG81" s="18" t="n">
        <x:f>'两日价格与决策'!AG177</x:f>
        <x:v>200</x:v>
      </x:c>
      <x:c r="AH81" s="18" t="n">
        <x:f>'两日价格与决策'!AH177</x:f>
        <x:v>200</x:v>
      </x:c>
      <x:c r="AI81" s="18" t="n">
        <x:f>'两日价格与决策'!AI177</x:f>
        <x:v>0</x:v>
      </x:c>
      <x:c r="AJ81" s="18" t="n">
        <x:f>'两日价格与决策'!AJ177</x:f>
        <x:v>4.554</x:v>
      </x:c>
      <x:c r="AK81" s="18" t="str">
        <x:f>'两日价格与决策'!AK177</x:f>
        <x:v>缺失</x:v>
      </x:c>
      <x:c r="AL81" s="18" t="n">
        <x:f>'两日价格与决策'!AL177</x:f>
        <x:v>0.0686080917874396</x:v>
      </x:c>
      <x:c r="AM81" s="18" t="n">
        <x:f>'两日价格与决策'!AM177</x:f>
        <x:v>0</x:v>
      </x:c>
      <x:c r="AN81" s="18" t="n">
        <x:f>'两日价格与决策'!AN177</x:f>
        <x:v>22.723</x:v>
      </x:c>
      <x:c r="AO81" s="18" t="n">
        <x:f>'两日价格与决策'!AO177</x:f>
        <x:v>38.50561078260825</x:v>
      </x:c>
      <x:c r="AP81" s="18" t="n">
        <x:f>'两日价格与决策'!AP177</x:f>
        <x:v>7.105427357601002e-15</x:v>
      </x:c>
      <x:c r="AQ81" s="18" t="n">
        <x:f>'两日价格与决策'!AQ177</x:f>
        <x:v>4.9741</x:v>
      </x:c>
      <x:c r="AR81" s="21" t="n">
        <x:f>'两日价格与决策'!AR177</x:f>
        <x:v>45657</x:v>
      </x:c>
      <x:c r="AS81" s="17" t="n">
        <x:f>'两日价格与决策'!AS177</x:f>
        <x:v>45659.6875</x:v>
      </x:c>
      <x:c r="AT81" s="18" t="str">
        <x:f>'两日价格与决策'!AT177</x:f>
        <x:v>2025-01-02_18</x:v>
      </x:c>
      <x:c r="AU81" s="19" t="n">
        <x:f>'两日价格与决策'!AU177</x:f>
        <x:v>60</x:v>
      </x:c>
      <x:c r="AV81" s="18" t="str">
        <x:f>'两日价格与决策'!AV177</x:f>
        <x:v>OK</x:v>
      </x:c>
    </x:row>
    <x:row r="82" ht="21" customHeight="1">
      <x:c r="A82" s="17" t="n">
        <x:f>'两日价格与决策'!A178</x:f>
        <x:v>45659.78125</x:v>
      </x:c>
      <x:c r="B82" s="23" t="n">
        <x:f>'两日价格与决策'!B178</x:f>
        <x:v>170</x:v>
      </x:c>
      <x:c r="C82" s="23" t="str">
        <x:f>'两日价格与决策'!C178</x:f>
        <x:v>缺失</x:v>
      </x:c>
      <x:c r="D82" s="23" t="n">
        <x:f>'两日价格与决策'!D178</x:f>
        <x:v>13.831647936310086</x:v>
      </x:c>
      <x:c r="E82" s="23" t="n">
        <x:f>'两日价格与决策'!E178</x:f>
        <x:v>14.676021792887155</x:v>
      </x:c>
      <x:c r="F82" s="23" t="n">
        <x:f>'两日价格与决策'!F178</x:f>
        <x:v>0</x:v>
      </x:c>
      <x:c r="G82" s="23" t="n">
        <x:f>'两日价格与决策'!G178</x:f>
        <x:v>53.934380088860294</x:v>
      </x:c>
      <x:c r="H82" s="23" t="str">
        <x:f>'两日价格与决策'!H178</x:f>
        <x:v>未模拟</x:v>
      </x:c>
      <x:c r="I82" s="24" t="n">
        <x:f>'两日价格与决策'!I178</x:f>
        <x:v>38.505610782608244</x:v>
      </x:c>
      <x:c r="J82" s="24" t="n">
        <x:f>'两日价格与决策'!J178</x:f>
        <x:v>12.175719478260419</x:v>
      </x:c>
      <x:c r="K82" s="24" t="n">
        <x:f>'两日价格与决策'!K178</x:f>
        <x:v>100</x:v>
      </x:c>
      <x:c r="L82" s="24" t="n">
        <x:f>'两日价格与决策'!L178</x:f>
        <x:v>0</x:v>
      </x:c>
      <x:c r="M82" s="24" t="n">
        <x:f>'两日价格与决策'!M178</x:f>
        <x:v>0</x:v>
      </x:c>
      <x:c r="N82" s="24" t="n">
        <x:f>'两日价格与决策'!N178</x:f>
        <x:v>100</x:v>
      </x:c>
      <x:c r="O82" s="24" t="n">
        <x:f>'两日价格与决策'!O178</x:f>
        <x:v>0</x:v>
      </x:c>
      <x:c r="P82" s="24" t="n">
        <x:f>'两日价格与决策'!P178</x:f>
        <x:v>0.7765</x:v>
      </x:c>
      <x:c r="Q82" s="25" t="n">
        <x:f>'两日价格与决策'!Q178</x:f>
        <x:v>4250</x:v>
      </x:c>
      <x:c r="R82" s="25" t="n">
        <x:f>'两日价格与决策'!R178</x:f>
        <x:v>0</x:v>
      </x:c>
      <x:c r="S82" s="25" t="n">
        <x:f>'两日价格与决策'!S178</x:f>
        <x:v>0</x:v>
      </x:c>
      <x:c r="T82" s="25" t="n">
        <x:f>'两日价格与决策'!T178</x:f>
        <x:v>366.90054482217886</x:v>
      </x:c>
      <x:c r="U82" s="25" t="n">
        <x:f>'两日价格与决策'!U178</x:f>
        <x:v>0</x:v>
      </x:c>
      <x:c r="V82" s="25" t="n">
        <x:f>'两日价格与决策'!V178</x:f>
        <x:v>-41.880046139000015</x:v>
      </x:c>
      <x:c r="W82" s="25" t="n">
        <x:f>'两日价格与决策'!W178</x:f>
        <x:v>4575.020498683179</x:v>
      </x:c>
      <x:c r="X82" s="18" t="n">
        <x:f>'两日价格与决策'!X178</x:f>
        <x:v>4575.020498683179</x:v>
      </x:c>
      <x:c r="Y82" s="18" t="n">
        <x:f>'两日价格与决策'!Y178</x:f>
        <x:v>0</x:v>
      </x:c>
      <x:c r="Z82" s="18" t="str">
        <x:f>"1月2日执行｜前窗冻结订单"</x:f>
        <x:v>1月2日执行｜前窗冻结订单</x:v>
      </x:c>
      <x:c r="AA82" s="19" t="n">
        <x:f>'两日价格与决策'!AA178</x:f>
        <x:v>1</x:v>
      </x:c>
      <x:c r="AB82" s="19" t="n">
        <x:f>'两日价格与决策'!AB178</x:f>
        <x:v>0</x:v>
      </x:c>
      <x:c r="AC82" s="18" t="n">
        <x:f>'两日价格与决策'!AC178</x:f>
        <x:v>0.25</x:v>
      </x:c>
      <x:c r="AD82" s="20" t="n">
        <x:f>'两日价格与决策'!AD178</x:f>
        <x:v>1</x:v>
      </x:c>
      <x:c r="AE82" s="20" t="n">
        <x:f>'两日价格与决策'!AE178</x:f>
        <x:v>0</x:v>
      </x:c>
      <x:c r="AF82" s="20" t="n">
        <x:f>'两日价格与决策'!AF178</x:f>
        <x:v>0.031059999999999997</x:v>
      </x:c>
      <x:c r="AG82" s="18" t="n">
        <x:f>'两日价格与决策'!AG178</x:f>
        <x:v>200</x:v>
      </x:c>
      <x:c r="AH82" s="18" t="n">
        <x:f>'两日价格与决策'!AH178</x:f>
        <x:v>200</x:v>
      </x:c>
      <x:c r="AI82" s="18" t="n">
        <x:f>'两日价格与决策'!AI178</x:f>
        <x:v>0</x:v>
      </x:c>
      <x:c r="AJ82" s="18" t="n">
        <x:f>'两日价格与决策'!AJ178</x:f>
        <x:v>1.553</x:v>
      </x:c>
      <x:c r="AK82" s="18" t="str">
        <x:f>'两日价格与决策'!AK178</x:f>
        <x:v>缺失</x:v>
      </x:c>
      <x:c r="AL82" s="18" t="n">
        <x:f>'两日价格与决策'!AL178</x:f>
        <x:v>0.07313858695652174</x:v>
      </x:c>
      <x:c r="AM82" s="18" t="n">
        <x:f>'两日价格与决策'!AM178</x:f>
        <x:v>0</x:v>
      </x:c>
      <x:c r="AN82" s="18" t="n">
        <x:f>'两日价格与决策'!AN178</x:f>
        <x:v>24.2235</x:v>
      </x:c>
      <x:c r="AO82" s="18" t="n">
        <x:f>'两日价格与决策'!AO178</x:f>
        <x:v>12.175719478260426</x:v>
      </x:c>
      <x:c r="AP82" s="18" t="n">
        <x:f>'两日价格与决策'!AP178</x:f>
        <x:v>7.105427357601002e-15</x:v>
      </x:c>
      <x:c r="AQ82" s="18" t="n">
        <x:f>'两日价格与决策'!AQ178</x:f>
        <x:v>4.9741</x:v>
      </x:c>
      <x:c r="AR82" s="21" t="n">
        <x:f>'两日价格与决策'!AR178</x:f>
        <x:v>45657</x:v>
      </x:c>
      <x:c r="AS82" s="17" t="n">
        <x:f>'两日价格与决策'!AS178</x:f>
        <x:v>45659.697916666664</x:v>
      </x:c>
      <x:c r="AT82" s="18" t="str">
        <x:f>'两日价格与决策'!AT178</x:f>
        <x:v>2025-01-02_18</x:v>
      </x:c>
      <x:c r="AU82" s="19" t="n">
        <x:f>'两日价格与决策'!AU178</x:f>
        <x:v>60</x:v>
      </x:c>
      <x:c r="AV82" s="18" t="str">
        <x:f>'两日价格与决策'!AV178</x:f>
        <x:v>OK</x:v>
      </x:c>
    </x:row>
    <x:row r="83" ht="21" customHeight="1">
      <x:c r="A83" s="17" t="n">
        <x:f>'两日价格与决策'!A179</x:f>
        <x:v>45659.791666666664</x:v>
      </x:c>
      <x:c r="B83" s="23" t="n">
        <x:f>'两日价格与决策'!B179</x:f>
        <x:v>159.64</x:v>
      </x:c>
      <x:c r="C83" s="23" t="str">
        <x:f>'两日价格与决策'!C179</x:f>
        <x:v>缺失</x:v>
      </x:c>
      <x:c r="D83" s="23" t="n">
        <x:f>'两日价格与决策'!D179</x:f>
        <x:v>13.831647936310086</x:v>
      </x:c>
      <x:c r="E83" s="23" t="n">
        <x:f>'两日价格与决策'!E179</x:f>
        <x:v>14.676021792887155</x:v>
      </x:c>
      <x:c r="F83" s="23" t="n">
        <x:f>'两日价格与决策'!F179</x:f>
        <x:v>0</x:v>
      </x:c>
      <x:c r="G83" s="23" t="n">
        <x:f>'两日价格与决策'!G179</x:f>
        <x:v>-479.45879656621304</x:v>
      </x:c>
      <x:c r="H83" s="23" t="str">
        <x:f>'两日价格与决策'!H179</x:f>
        <x:v>未模拟</x:v>
      </x:c>
      <x:c r="I83" s="24" t="n">
        <x:f>'两日价格与决策'!I179</x:f>
        <x:v>12.175719478260419</x:v>
      </x:c>
      <x:c r="J83" s="24" t="n">
        <x:f>'两日价格与决策'!J179</x:f>
        <x:v>24.687259478260422</x:v>
      </x:c>
      <x:c r="K83" s="24" t="n">
        <x:f>'两日价格与决策'!K179</x:f>
        <x:v>0</x:v>
      </x:c>
      <x:c r="L83" s="24" t="n">
        <x:f>'两日价格与决策'!L179</x:f>
        <x:v>0</x:v>
      </x:c>
      <x:c r="M83" s="24" t="n">
        <x:f>'两日价格与决策'!M179</x:f>
        <x:v>100</x:v>
      </x:c>
      <x:c r="N83" s="24" t="n">
        <x:f>'两日价格与决策'!N179</x:f>
        <x:v>100</x:v>
      </x:c>
      <x:c r="O83" s="24" t="n">
        <x:f>'两日价格与决策'!O179</x:f>
        <x:v>0</x:v>
      </x:c>
      <x:c r="P83" s="24" t="n">
        <x:f>'两日价格与决策'!P179</x:f>
        <x:v>13.5995</x:v>
      </x:c>
      <x:c r="Q83" s="25" t="n">
        <x:f>'两日价格与决策'!Q179</x:f>
        <x:v>0</x:v>
      </x:c>
      <x:c r="R83" s="25" t="n">
        <x:f>'两日价格与决策'!R179</x:f>
        <x:v>0</x:v>
      </x:c>
      <x:c r="S83" s="25" t="n">
        <x:f>'两日价格与决策'!S179</x:f>
        <x:v>345.7911984077521</x:v>
      </x:c>
      <x:c r="T83" s="25" t="n">
        <x:f>'两日价格与决策'!T179</x:f>
        <x:v>366.90054482217886</x:v>
      </x:c>
      <x:c r="U83" s="25" t="n">
        <x:f>'两日价格与决策'!U179</x:f>
        <x:v>0</x:v>
      </x:c>
      <x:c r="V83" s="25" t="n">
        <x:f>'两日价格与决策'!V179</x:f>
        <x:v>6520.399903902215</x:v>
      </x:c>
      <x:c r="W83" s="25" t="n">
        <x:f>'两日价格与决策'!W179</x:f>
        <x:v>7233.091647132145</x:v>
      </x:c>
      <x:c r="X83" s="18" t="n">
        <x:f>'两日价格与决策'!X179</x:f>
        <x:v>7233.091647132145</x:v>
      </x:c>
      <x:c r="Y83" s="18" t="n">
        <x:f>'两日价格与决策'!Y179</x:f>
        <x:v>0</x:v>
      </x:c>
      <x:c r="Z83" s="18" t="str">
        <x:f>"1月2日执行｜前窗冻结订单"</x:f>
        <x:v>1月2日执行｜前窗冻结订单</x:v>
      </x:c>
      <x:c r="AA83" s="19" t="n">
        <x:f>'两日价格与决策'!AA179</x:f>
        <x:v>1</x:v>
      </x:c>
      <x:c r="AB83" s="19" t="n">
        <x:f>'两日价格与决策'!AB179</x:f>
        <x:v>0</x:v>
      </x:c>
      <x:c r="AC83" s="18" t="n">
        <x:f>'两日价格与决策'!AC179</x:f>
        <x:v>0.25</x:v>
      </x:c>
      <x:c r="AD83" s="20" t="n">
        <x:f>'两日价格与决策'!AD179</x:f>
        <x:v>1</x:v>
      </x:c>
      <x:c r="AE83" s="20" t="n">
        <x:f>'两日价格与决策'!AE179</x:f>
        <x:v>0</x:v>
      </x:c>
      <x:c r="AF83" s="20" t="n">
        <x:f>'两日价格与决策'!AF179</x:f>
        <x:v>0.54398</x:v>
      </x:c>
      <x:c r="AG83" s="18" t="n">
        <x:f>'两日价格与决策'!AG179</x:f>
        <x:v>200</x:v>
      </x:c>
      <x:c r="AH83" s="18" t="n">
        <x:f>'两日价格与决策'!AH179</x:f>
        <x:v>200</x:v>
      </x:c>
      <x:c r="AI83" s="18" t="n">
        <x:f>'两日价格与决策'!AI179</x:f>
        <x:v>0</x:v>
      </x:c>
      <x:c r="AJ83" s="18" t="n">
        <x:f>'两日价格与决策'!AJ179</x:f>
        <x:v>27.199</x:v>
      </x:c>
      <x:c r="AK83" s="18" t="str">
        <x:f>'两日价格与决策'!AK179</x:f>
        <x:v>缺失</x:v>
      </x:c>
      <x:c r="AL83" s="18" t="n">
        <x:f>'两日价格与决策'!AL179</x:f>
        <x:v>0.03475427777777778</x:v>
      </x:c>
      <x:c r="AM83" s="18" t="n">
        <x:f>'两日价格与决策'!AM179</x:f>
        <x:v>13.5995</x:v>
      </x:c>
      <x:c r="AN83" s="18" t="n">
        <x:f>'两日价格与决策'!AN179</x:f>
        <x:v>0</x:v>
      </x:c>
      <x:c r="AO83" s="18" t="n">
        <x:f>'两日价格与决策'!AO179</x:f>
        <x:v>24.687259478260426</x:v>
      </x:c>
      <x:c r="AP83" s="18" t="n">
        <x:f>'两日价格与决策'!AP179</x:f>
        <x:v>3.552713678800501e-15</x:v>
      </x:c>
      <x:c r="AQ83" s="18" t="n">
        <x:f>'两日价格与决策'!AQ179</x:f>
        <x:v>4.9741</x:v>
      </x:c>
      <x:c r="AR83" s="21" t="n">
        <x:f>'两日价格与决策'!AR179</x:f>
        <x:v>45657</x:v>
      </x:c>
      <x:c r="AS83" s="17" t="n">
        <x:f>'两日价格与决策'!AS179</x:f>
        <x:v>45659.708333333336</x:v>
      </x:c>
      <x:c r="AT83" s="18" t="str">
        <x:f>'两日价格与决策'!AT179</x:f>
        <x:v>2025-01-02_19</x:v>
      </x:c>
      <x:c r="AU83" s="19" t="n">
        <x:f>'两日价格与决策'!AU179</x:f>
        <x:v>60</x:v>
      </x:c>
      <x:c r="AV83" s="18" t="str">
        <x:f>'两日价格与决策'!AV179</x:f>
        <x:v>OK</x:v>
      </x:c>
    </x:row>
    <x:row r="84" ht="21" customHeight="1">
      <x:c r="A84" s="17" t="n">
        <x:f>'两日价格与决策'!A180</x:f>
        <x:v>45659.802083333336</x:v>
      </x:c>
      <x:c r="B84" s="23" t="n">
        <x:f>'两日价格与决策'!B180</x:f>
        <x:v>159.64</x:v>
      </x:c>
      <x:c r="C84" s="23" t="str">
        <x:f>'两日价格与决策'!C180</x:f>
        <x:v>缺失</x:v>
      </x:c>
      <x:c r="D84" s="23" t="n">
        <x:f>'两日价格与决策'!D180</x:f>
        <x:v>13.831647936310086</x:v>
      </x:c>
      <x:c r="E84" s="23" t="n">
        <x:f>'两日价格与决策'!E180</x:f>
        <x:v>14.676021792887155</x:v>
      </x:c>
      <x:c r="F84" s="23" t="n">
        <x:f>'两日价格与决策'!F180</x:f>
        <x:v>0</x:v>
      </x:c>
      <x:c r="G84" s="23" t="n">
        <x:f>'两日价格与决策'!G180</x:f>
        <x:v>-162.58901107738083</x:v>
      </x:c>
      <x:c r="H84" s="23" t="str">
        <x:f>'两日价格与决策'!H180</x:f>
        <x:v>未模拟</x:v>
      </x:c>
      <x:c r="I84" s="24" t="n">
        <x:f>'两日价格与决策'!I180</x:f>
        <x:v>24.687259478260422</x:v>
      </x:c>
      <x:c r="J84" s="24" t="n">
        <x:f>'两日价格与决策'!J180</x:f>
        <x:v>30.175979478260423</x:v>
      </x:c>
      <x:c r="K84" s="24" t="n">
        <x:f>'两日价格与决策'!K180</x:f>
        <x:v>0</x:v>
      </x:c>
      <x:c r="L84" s="24" t="n">
        <x:f>'两日价格与决策'!L180</x:f>
        <x:v>0</x:v>
      </x:c>
      <x:c r="M84" s="24" t="n">
        <x:f>'两日价格与决策'!M180</x:f>
        <x:v>100</x:v>
      </x:c>
      <x:c r="N84" s="24" t="n">
        <x:f>'两日价格与决策'!N180</x:f>
        <x:v>100</x:v>
      </x:c>
      <x:c r="O84" s="24" t="n">
        <x:f>'两日价格与决策'!O180</x:f>
        <x:v>0</x:v>
      </x:c>
      <x:c r="P84" s="24" t="n">
        <x:f>'两日价格与决策'!P180</x:f>
        <x:v>5.966</x:v>
      </x:c>
      <x:c r="Q84" s="25" t="n">
        <x:f>'两日价格与决策'!Q180</x:f>
        <x:v>0</x:v>
      </x:c>
      <x:c r="R84" s="25" t="n">
        <x:f>'两日价格与决策'!R180</x:f>
        <x:v>0</x:v>
      </x:c>
      <x:c r="S84" s="25" t="n">
        <x:f>'两日价格与决策'!S180</x:f>
        <x:v>345.7911984077521</x:v>
      </x:c>
      <x:c r="T84" s="25" t="n">
        <x:f>'两日价格与决策'!T180</x:f>
        <x:v>366.90054482217886</x:v>
      </x:c>
      <x:c r="U84" s="25" t="n">
        <x:f>'两日价格与决策'!U180</x:f>
        <x:v>0</x:v>
      </x:c>
      <x:c r="V84" s="25" t="n">
        <x:f>'两日价格与决策'!V180</x:f>
        <x:v>970.0060400876541</x:v>
      </x:c>
      <x:c r="W84" s="25" t="n">
        <x:f>'两日价格与决策'!W180</x:f>
        <x:v>1682.6977833175852</x:v>
      </x:c>
      <x:c r="X84" s="18" t="n">
        <x:f>'两日价格与决策'!X180</x:f>
        <x:v>1682.6977833175852</x:v>
      </x:c>
      <x:c r="Y84" s="18" t="n">
        <x:f>'两日价格与决策'!Y180</x:f>
        <x:v>0</x:v>
      </x:c>
      <x:c r="Z84" s="18" t="str">
        <x:f>"1月2日执行｜前窗冻结订单"</x:f>
        <x:v>1月2日执行｜前窗冻结订单</x:v>
      </x:c>
      <x:c r="AA84" s="19" t="n">
        <x:f>'两日价格与决策'!AA180</x:f>
        <x:v>1</x:v>
      </x:c>
      <x:c r="AB84" s="19" t="n">
        <x:f>'两日价格与决策'!AB180</x:f>
        <x:v>0</x:v>
      </x:c>
      <x:c r="AC84" s="18" t="n">
        <x:f>'两日价格与决策'!AC180</x:f>
        <x:v>0.25</x:v>
      </x:c>
      <x:c r="AD84" s="20" t="n">
        <x:f>'两日价格与决策'!AD180</x:f>
        <x:v>1</x:v>
      </x:c>
      <x:c r="AE84" s="20" t="n">
        <x:f>'两日价格与决策'!AE180</x:f>
        <x:v>0</x:v>
      </x:c>
      <x:c r="AF84" s="20" t="n">
        <x:f>'两日价格与决策'!AF180</x:f>
        <x:v>0.23864000000000002</x:v>
      </x:c>
      <x:c r="AG84" s="18" t="n">
        <x:f>'两日价格与决策'!AG180</x:f>
        <x:v>200</x:v>
      </x:c>
      <x:c r="AH84" s="18" t="n">
        <x:f>'两日价格与决策'!AH180</x:f>
        <x:v>200</x:v>
      </x:c>
      <x:c r="AI84" s="18" t="n">
        <x:f>'两日价格与决策'!AI180</x:f>
        <x:v>0</x:v>
      </x:c>
      <x:c r="AJ84" s="18" t="n">
        <x:f>'两日价格与决策'!AJ180</x:f>
        <x:v>11.932</x:v>
      </x:c>
      <x:c r="AK84" s="18" t="str">
        <x:f>'两日价格与决策'!AK180</x:f>
        <x:v>缺失</x:v>
      </x:c>
      <x:c r="AL84" s="18" t="n">
        <x:f>'两日价格与决策'!AL180</x:f>
        <x:v>0.015246444444444446</x:v>
      </x:c>
      <x:c r="AM84" s="18" t="n">
        <x:f>'两日价格与决策'!AM180</x:f>
        <x:v>5.966</x:v>
      </x:c>
      <x:c r="AN84" s="18" t="n">
        <x:f>'两日价格与决策'!AN180</x:f>
        <x:v>0</x:v>
      </x:c>
      <x:c r="AO84" s="18" t="n">
        <x:f>'两日价格与决策'!AO180</x:f>
        <x:v>30.175979478260427</x:v>
      </x:c>
      <x:c r="AP84" s="18" t="n">
        <x:f>'两日价格与决策'!AP180</x:f>
        <x:v>3.552713678800501e-15</x:v>
      </x:c>
      <x:c r="AQ84" s="18" t="n">
        <x:f>'两日价格与决策'!AQ180</x:f>
        <x:v>4.9741</x:v>
      </x:c>
      <x:c r="AR84" s="21" t="n">
        <x:f>'两日价格与决策'!AR180</x:f>
        <x:v>45657</x:v>
      </x:c>
      <x:c r="AS84" s="17" t="n">
        <x:f>'两日价格与决策'!AS180</x:f>
        <x:v>45659.71875</x:v>
      </x:c>
      <x:c r="AT84" s="18" t="str">
        <x:f>'两日价格与决策'!AT180</x:f>
        <x:v>2025-01-02_19</x:v>
      </x:c>
      <x:c r="AU84" s="19" t="n">
        <x:f>'两日价格与决策'!AU180</x:f>
        <x:v>60</x:v>
      </x:c>
      <x:c r="AV84" s="18" t="str">
        <x:f>'两日价格与决策'!AV180</x:f>
        <x:v>OK</x:v>
      </x:c>
    </x:row>
    <x:row r="85" ht="21" customHeight="1">
      <x:c r="A85" s="17" t="n">
        <x:f>'两日价格与决策'!A181</x:f>
        <x:v>45659.8125</x:v>
      </x:c>
      <x:c r="B85" s="23" t="n">
        <x:f>'两日价格与决策'!B181</x:f>
        <x:v>159.64</x:v>
      </x:c>
      <x:c r="C85" s="23" t="str">
        <x:f>'两日价格与决策'!C181</x:f>
        <x:v>缺失</x:v>
      </x:c>
      <x:c r="D85" s="23" t="n">
        <x:f>'两日价格与决策'!D181</x:f>
        <x:v>13.831647936310086</x:v>
      </x:c>
      <x:c r="E85" s="23" t="n">
        <x:f>'两日价格与决策'!E181</x:f>
        <x:v>14.676021792887155</x:v>
      </x:c>
      <x:c r="F85" s="23" t="n">
        <x:f>'两日价格与决策'!F181</x:f>
        <x:v>60.31241832693352</x:v>
      </x:c>
      <x:c r="G85" s="23" t="n">
        <x:f>'两日价格与决策'!G181</x:f>
        <x:v>19.669286906173983</x:v>
      </x:c>
      <x:c r="H85" s="23" t="str">
        <x:f>'两日价格与决策'!H181</x:f>
        <x:v>未模拟</x:v>
      </x:c>
      <x:c r="I85" s="24" t="n">
        <x:f>'两日价格与决策'!I181</x:f>
        <x:v>30.175979478260423</x:v>
      </x:c>
      <x:c r="J85" s="24" t="n">
        <x:f>'两日价格与决策'!J181</x:f>
        <x:v>32.71142121739086</x:v>
      </x:c>
      <x:c r="K85" s="24" t="n">
        <x:f>'两日价格与决策'!K181</x:f>
        <x:v>0</x:v>
      </x:c>
      <x:c r="L85" s="24" t="n">
        <x:f>'两日价格与决策'!L181</x:f>
        <x:v>0</x:v>
      </x:c>
      <x:c r="M85" s="24" t="n">
        <x:f>'两日价格与决策'!M181</x:f>
        <x:v>100</x:v>
      </x:c>
      <x:c r="N85" s="24" t="n">
        <x:f>'两日价格与决策'!N181</x:f>
        <x:v>100</x:v>
      </x:c>
      <x:c r="O85" s="24" t="n">
        <x:f>'两日价格与决策'!O181</x:f>
        <x:v>0.017</x:v>
      </x:c>
      <x:c r="P85" s="24" t="n">
        <x:f>'两日价格与决策'!P181</x:f>
        <x:v>2.776</x:v>
      </x:c>
      <x:c r="Q85" s="25" t="n">
        <x:f>'两日价格与决策'!Q181</x:f>
        <x:v>0</x:v>
      </x:c>
      <x:c r="R85" s="25" t="n">
        <x:f>'两日价格与决策'!R181</x:f>
        <x:v>0</x:v>
      </x:c>
      <x:c r="S85" s="25" t="n">
        <x:f>'两日价格与决策'!S181</x:f>
        <x:v>345.7911984077521</x:v>
      </x:c>
      <x:c r="T85" s="25" t="n">
        <x:f>'两日价格与决策'!T181</x:f>
        <x:v>366.90054482217886</x:v>
      </x:c>
      <x:c r="U85" s="25" t="n">
        <x:f>'两日价格与决策'!U181</x:f>
        <x:v>1.02531111155787</x:v>
      </x:c>
      <x:c r="V85" s="25" t="n">
        <x:f>'两日价格与决策'!V181</x:f>
        <x:v>-54.60194045153897</x:v>
      </x:c>
      <x:c r="W85" s="25" t="n">
        <x:f>'两日价格与决策'!W181</x:f>
        <x:v>659.11511388995</x:v>
      </x:c>
      <x:c r="X85" s="18" t="n">
        <x:f>'两日价格与决策'!X181</x:f>
        <x:v>659.1151138899498</x:v>
      </x:c>
      <x:c r="Y85" s="18" t="n">
        <x:f>'两日价格与决策'!Y181</x:f>
        <x:v>1.1368683772161603e-13</x:v>
      </x:c>
      <x:c r="Z85" s="18" t="str">
        <x:f>"1月2日执行｜前窗冻结订单"</x:f>
        <x:v>1月2日执行｜前窗冻结订单</x:v>
      </x:c>
      <x:c r="AA85" s="19" t="n">
        <x:f>'两日价格与决策'!AA181</x:f>
        <x:v>1</x:v>
      </x:c>
      <x:c r="AB85" s="19" t="n">
        <x:f>'两日价格与决策'!AB181</x:f>
        <x:v>0</x:v>
      </x:c>
      <x:c r="AC85" s="18" t="n">
        <x:f>'两日价格与决策'!AC181</x:f>
        <x:v>0.25</x:v>
      </x:c>
      <x:c r="AD85" s="20" t="n">
        <x:f>'两日价格与决策'!AD181</x:f>
        <x:v>1</x:v>
      </x:c>
      <x:c r="AE85" s="20" t="n">
        <x:f>'两日价格与决策'!AE181</x:f>
        <x:v>0.00068</x:v>
      </x:c>
      <x:c r="AF85" s="20" t="n">
        <x:f>'两日价格与决策'!AF181</x:f>
        <x:v>0.11103999999999999</x:v>
      </x:c>
      <x:c r="AG85" s="18" t="n">
        <x:f>'两日价格与决策'!AG181</x:f>
        <x:v>200</x:v>
      </x:c>
      <x:c r="AH85" s="18" t="n">
        <x:f>'两日价格与决策'!AH181</x:f>
        <x:v>200</x:v>
      </x:c>
      <x:c r="AI85" s="18" t="n">
        <x:f>'两日价格与决策'!AI181</x:f>
        <x:v>0.034</x:v>
      </x:c>
      <x:c r="AJ85" s="18" t="n">
        <x:f>'两日价格与决策'!AJ181</x:f>
        <x:v>5.552</x:v>
      </x:c>
      <x:c r="AK85" s="18" t="str">
        <x:f>'两日价格与决策'!AK181</x:f>
        <x:v>缺失</x:v>
      </x:c>
      <x:c r="AL85" s="18" t="n">
        <x:f>'两日价格与决策'!AL181</x:f>
        <x:v>0.00714555072463768</x:v>
      </x:c>
      <x:c r="AM85" s="18" t="n">
        <x:f>'两日价格与决策'!AM181</x:f>
        <x:v>2.776</x:v>
      </x:c>
      <x:c r="AN85" s="18" t="n">
        <x:f>'两日价格与决策'!AN181</x:f>
        <x:v>0.017</x:v>
      </x:c>
      <x:c r="AO85" s="18" t="n">
        <x:f>'两日价格与决策'!AO181</x:f>
        <x:v>32.711421217390864</x:v>
      </x:c>
      <x:c r="AP85" s="18" t="n">
        <x:f>'两日价格与决策'!AP181</x:f>
        <x:v>7.105427357601002e-15</x:v>
      </x:c>
      <x:c r="AQ85" s="18" t="n">
        <x:f>'两日价格与决策'!AQ181</x:f>
        <x:v>4.9741</x:v>
      </x:c>
      <x:c r="AR85" s="21" t="n">
        <x:f>'两日价格与决策'!AR181</x:f>
        <x:v>45657</x:v>
      </x:c>
      <x:c r="AS85" s="17" t="n">
        <x:f>'两日价格与决策'!AS181</x:f>
        <x:v>45659.729166666664</x:v>
      </x:c>
      <x:c r="AT85" s="18" t="str">
        <x:f>'两日价格与决策'!AT181</x:f>
        <x:v>2025-01-02_19</x:v>
      </x:c>
      <x:c r="AU85" s="19" t="n">
        <x:f>'两日价格与决策'!AU181</x:f>
        <x:v>60</x:v>
      </x:c>
      <x:c r="AV85" s="18" t="str">
        <x:f>'两日价格与决策'!AV181</x:f>
        <x:v>OK</x:v>
      </x:c>
    </x:row>
    <x:row r="86" ht="21" customHeight="1">
      <x:c r="A86" s="17" t="n">
        <x:f>'两日价格与决策'!A182</x:f>
        <x:v>45659.822916666664</x:v>
      </x:c>
      <x:c r="B86" s="23" t="n">
        <x:f>'两日价格与决策'!B182</x:f>
        <x:v>159.64</x:v>
      </x:c>
      <x:c r="C86" s="23" t="str">
        <x:f>'两日价格与决策'!C182</x:f>
        <x:v>缺失</x:v>
      </x:c>
      <x:c r="D86" s="23" t="n">
        <x:f>'两日价格与决策'!D182</x:f>
        <x:v>13.831647936310086</x:v>
      </x:c>
      <x:c r="E86" s="23" t="n">
        <x:f>'两日价格与决策'!E182</x:f>
        <x:v>14.676021792887155</x:v>
      </x:c>
      <x:c r="F86" s="23" t="n">
        <x:f>'两日价格与决策'!F182</x:f>
        <x:v>0</x:v>
      </x:c>
      <x:c r="G86" s="23" t="n">
        <x:f>'两日价格与决策'!G182</x:f>
        <x:v>12.25286986590539</x:v>
      </x:c>
      <x:c r="H86" s="23" t="str">
        <x:f>'两日价格与决策'!H182</x:f>
        <x:v>未模拟</x:v>
      </x:c>
      <x:c r="I86" s="24" t="n">
        <x:f>'两日价格与决策'!I182</x:f>
        <x:v>32.71142121739086</x:v>
      </x:c>
      <x:c r="J86" s="24" t="n">
        <x:f>'两日价格与决策'!J182</x:f>
        <x:v>37.98808121739086</x:v>
      </x:c>
      <x:c r="K86" s="24" t="n">
        <x:f>'两日价格与决策'!K182</x:f>
        <x:v>0</x:v>
      </x:c>
      <x:c r="L86" s="24" t="n">
        <x:f>'两日价格与决策'!L182</x:f>
        <x:v>0</x:v>
      </x:c>
      <x:c r="M86" s="24" t="n">
        <x:f>'两日价格与决策'!M182</x:f>
        <x:v>100</x:v>
      </x:c>
      <x:c r="N86" s="24" t="n">
        <x:f>'两日价格与决策'!N182</x:f>
        <x:v>100</x:v>
      </x:c>
      <x:c r="O86" s="24" t="n">
        <x:f>'两日价格与决策'!O182</x:f>
        <x:v>0</x:v>
      </x:c>
      <x:c r="P86" s="24" t="n">
        <x:f>'两日价格与决策'!P182</x:f>
        <x:v>5.7355</x:v>
      </x:c>
      <x:c r="Q86" s="25" t="n">
        <x:f>'两日价格与决策'!Q182</x:f>
        <x:v>0</x:v>
      </x:c>
      <x:c r="R86" s="25" t="n">
        <x:f>'两日价格与决策'!R182</x:f>
        <x:v>0</x:v>
      </x:c>
      <x:c r="S86" s="25" t="n">
        <x:f>'两日价格与决策'!S182</x:f>
        <x:v>345.7911984077521</x:v>
      </x:c>
      <x:c r="T86" s="25" t="n">
        <x:f>'两日价格与决策'!T182</x:f>
        <x:v>366.90054482217886</x:v>
      </x:c>
      <x:c r="U86" s="25" t="n">
        <x:f>'两日价格与决策'!U182</x:f>
        <x:v>0</x:v>
      </x:c>
      <x:c r="V86" s="25" t="n">
        <x:f>'两日价格与决策'!V182</x:f>
        <x:v>-70.27633511590037</x:v>
      </x:c>
      <x:c r="W86" s="25" t="n">
        <x:f>'两日价格与决策'!W182</x:f>
        <x:v>642.4154081140307</x:v>
      </x:c>
      <x:c r="X86" s="18" t="n">
        <x:f>'两日价格与决策'!X182</x:f>
        <x:v>642.4154081140306</x:v>
      </x:c>
      <x:c r="Y86" s="18" t="n">
        <x:f>'两日价格与决策'!Y182</x:f>
        <x:v>1.1368683772161603e-13</x:v>
      </x:c>
      <x:c r="Z86" s="18" t="str">
        <x:f>"1月2日执行｜前窗冻结订单"</x:f>
        <x:v>1月2日执行｜前窗冻结订单</x:v>
      </x:c>
      <x:c r="AA86" s="19" t="n">
        <x:f>'两日价格与决策'!AA182</x:f>
        <x:v>1</x:v>
      </x:c>
      <x:c r="AB86" s="19" t="n">
        <x:f>'两日价格与决策'!AB182</x:f>
        <x:v>0</x:v>
      </x:c>
      <x:c r="AC86" s="18" t="n">
        <x:f>'两日价格与决策'!AC182</x:f>
        <x:v>0.25</x:v>
      </x:c>
      <x:c r="AD86" s="20" t="n">
        <x:f>'两日价格与决策'!AD182</x:f>
        <x:v>1</x:v>
      </x:c>
      <x:c r="AE86" s="20" t="n">
        <x:f>'两日价格与决策'!AE182</x:f>
        <x:v>0</x:v>
      </x:c>
      <x:c r="AF86" s="20" t="n">
        <x:f>'两日价格与决策'!AF182</x:f>
        <x:v>0.22942</x:v>
      </x:c>
      <x:c r="AG86" s="18" t="n">
        <x:f>'两日价格与决策'!AG182</x:f>
        <x:v>200</x:v>
      </x:c>
      <x:c r="AH86" s="18" t="n">
        <x:f>'两日价格与决策'!AH182</x:f>
        <x:v>200</x:v>
      </x:c>
      <x:c r="AI86" s="18" t="n">
        <x:f>'两日价格与决策'!AI182</x:f>
        <x:v>0</x:v>
      </x:c>
      <x:c r="AJ86" s="18" t="n">
        <x:f>'两日价格与决策'!AJ182</x:f>
        <x:v>11.471</x:v>
      </x:c>
      <x:c r="AK86" s="18" t="str">
        <x:f>'两日价格与决策'!AK182</x:f>
        <x:v>缺失</x:v>
      </x:c>
      <x:c r="AL86" s="18" t="n">
        <x:f>'两日价格与决策'!AL182</x:f>
        <x:v>0.01465738888888889</x:v>
      </x:c>
      <x:c r="AM86" s="18" t="n">
        <x:f>'两日价格与决策'!AM182</x:f>
        <x:v>5.7355</x:v>
      </x:c>
      <x:c r="AN86" s="18" t="n">
        <x:f>'两日价格与决策'!AN182</x:f>
        <x:v>0</x:v>
      </x:c>
      <x:c r="AO86" s="18" t="n">
        <x:f>'两日价格与决策'!AO182</x:f>
        <x:v>37.988081217390864</x:v>
      </x:c>
      <x:c r="AP86" s="18" t="n">
        <x:f>'两日价格与决策'!AP182</x:f>
        <x:v>7.105427357601002e-15</x:v>
      </x:c>
      <x:c r="AQ86" s="18" t="n">
        <x:f>'两日价格与决策'!AQ182</x:f>
        <x:v>4.9741</x:v>
      </x:c>
      <x:c r="AR86" s="21" t="n">
        <x:f>'两日价格与决策'!AR182</x:f>
        <x:v>45657</x:v>
      </x:c>
      <x:c r="AS86" s="17" t="n">
        <x:f>'两日价格与决策'!AS182</x:f>
        <x:v>45659.739583333336</x:v>
      </x:c>
      <x:c r="AT86" s="18" t="str">
        <x:f>'两日价格与决策'!AT182</x:f>
        <x:v>2025-01-02_19</x:v>
      </x:c>
      <x:c r="AU86" s="19" t="n">
        <x:f>'两日价格与决策'!AU182</x:f>
        <x:v>60</x:v>
      </x:c>
      <x:c r="AV86" s="18" t="str">
        <x:f>'两日价格与决策'!AV182</x:f>
        <x:v>OK</x:v>
      </x:c>
    </x:row>
    <x:row r="87" ht="21" customHeight="1">
      <x:c r="A87" s="17" t="n">
        <x:f>'两日价格与决策'!A183</x:f>
        <x:v>45659.833333333336</x:v>
      </x:c>
      <x:c r="B87" s="23" t="n">
        <x:f>'两日价格与决策'!B183</x:f>
        <x:v>159.64</x:v>
      </x:c>
      <x:c r="C87" s="23" t="str">
        <x:f>'两日价格与决策'!C183</x:f>
        <x:v>缺失</x:v>
      </x:c>
      <x:c r="D87" s="23" t="n">
        <x:f>'两日价格与决策'!D183</x:f>
        <x:v>13.831647936310086</x:v>
      </x:c>
      <x:c r="E87" s="23" t="n">
        <x:f>'两日价格与决策'!E183</x:f>
        <x:v>14.710198829939085</x:v>
      </x:c>
      <x:c r="F87" s="23" t="n">
        <x:f>'两日价格与决策'!F183</x:f>
        <x:v>195.37805834221268</x:v>
      </x:c>
      <x:c r="G87" s="23" t="n">
        <x:f>'两日价格与决策'!G183</x:f>
        <x:v>22.700790092680084</x:v>
      </x:c>
      <x:c r="H87" s="23" t="str">
        <x:f>'两日价格与决策'!H183</x:f>
        <x:v>未模拟</x:v>
      </x:c>
      <x:c r="I87" s="24" t="n">
        <x:f>'两日价格与决策'!I183</x:f>
        <x:v>37.98808121739086</x:v>
      </x:c>
      <x:c r="J87" s="24" t="n">
        <x:f>'两日价格与决策'!J183</x:f>
        <x:v>32.84638382608651</x:v>
      </x:c>
      <x:c r="K87" s="24" t="n">
        <x:f>'两日价格与决策'!K183</x:f>
        <x:v>0</x:v>
      </x:c>
      <x:c r="L87" s="24" t="n">
        <x:f>'两日价格与决策'!L183</x:f>
        <x:v>0</x:v>
      </x:c>
      <x:c r="M87" s="24" t="n">
        <x:f>'两日价格与决策'!M183</x:f>
        <x:v>100</x:v>
      </x:c>
      <x:c r="N87" s="24" t="n">
        <x:f>'两日价格与决策'!N183</x:f>
        <x:v>100</x:v>
      </x:c>
      <x:c r="O87" s="24" t="n">
        <x:f>'两日价格与决策'!O183</x:f>
        <x:v>5.074</x:v>
      </x:c>
      <x:c r="P87" s="24" t="n">
        <x:f>'两日价格与决策'!P183</x:f>
        <x:v>0.406</x:v>
      </x:c>
      <x:c r="Q87" s="25" t="n">
        <x:f>'两日价格与决策'!Q183</x:f>
        <x:v>0</x:v>
      </x:c>
      <x:c r="R87" s="25" t="n">
        <x:f>'两日价格与决策'!R183</x:f>
        <x:v>0</x:v>
      </x:c>
      <x:c r="S87" s="25" t="n">
        <x:f>'两日价格与决策'!S183</x:f>
        <x:v>345.7911984077521</x:v>
      </x:c>
      <x:c r="T87" s="25" t="n">
        <x:f>'两日价格与决策'!T183</x:f>
        <x:v>367.7549707484771</x:v>
      </x:c>
      <x:c r="U87" s="25" t="n">
        <x:f>'两日价格与决策'!U183</x:f>
        <x:v>991.3482680283871</x:v>
      </x:c>
      <x:c r="V87" s="25" t="n">
        <x:f>'两日价格与决策'!V183</x:f>
        <x:v>-9.216520777628114</x:v>
      </x:c>
      <x:c r="W87" s="25" t="n">
        <x:f>'两日价格与决策'!W183</x:f>
        <x:v>1695.6779164069883</x:v>
      </x:c>
      <x:c r="X87" s="18" t="n">
        <x:f>'两日价格与决策'!X183</x:f>
        <x:v>1695.6779164069883</x:v>
      </x:c>
      <x:c r="Y87" s="18" t="n">
        <x:f>'两日价格与决策'!Y183</x:f>
        <x:v>0</x:v>
      </x:c>
      <x:c r="Z87" s="18" t="str">
        <x:f>"1月2日执行｜前窗冻结订单"</x:f>
        <x:v>1月2日执行｜前窗冻结订单</x:v>
      </x:c>
      <x:c r="AA87" s="19" t="n">
        <x:f>'两日价格与决策'!AA183</x:f>
        <x:v>1</x:v>
      </x:c>
      <x:c r="AB87" s="19" t="n">
        <x:f>'两日价格与决策'!AB183</x:f>
        <x:v>0</x:v>
      </x:c>
      <x:c r="AC87" s="18" t="n">
        <x:f>'两日价格与决策'!AC183</x:f>
        <x:v>0.25</x:v>
      </x:c>
      <x:c r="AD87" s="20" t="n">
        <x:f>'两日价格与决策'!AD183</x:f>
        <x:v>1</x:v>
      </x:c>
      <x:c r="AE87" s="20" t="n">
        <x:f>'两日价格与决策'!AE183</x:f>
        <x:v>0.20296</x:v>
      </x:c>
      <x:c r="AF87" s="20" t="n">
        <x:f>'两日价格与决策'!AF183</x:f>
        <x:v>0.01624</x:v>
      </x:c>
      <x:c r="AG87" s="18" t="n">
        <x:f>'两日价格与决策'!AG183</x:f>
        <x:v>200</x:v>
      </x:c>
      <x:c r="AH87" s="18" t="n">
        <x:f>'两日价格与决策'!AH183</x:f>
        <x:v>200</x:v>
      </x:c>
      <x:c r="AI87" s="18" t="n">
        <x:f>'两日价格与决策'!AI183</x:f>
        <x:v>10.148</x:v>
      </x:c>
      <x:c r="AJ87" s="18" t="n">
        <x:f>'两日价格与决策'!AJ183</x:f>
        <x:v>0.812</x:v>
      </x:c>
      <x:c r="AK87" s="18" t="str">
        <x:f>'两日价格与决策'!AK183</x:f>
        <x:v>缺失</x:v>
      </x:c>
      <x:c r="AL87" s="18" t="n">
        <x:f>'两日价格与决策'!AL183</x:f>
        <x:v>0.016357603864734296</x:v>
      </x:c>
      <x:c r="AM87" s="18" t="n">
        <x:f>'两日价格与决策'!AM183</x:f>
        <x:v>0.406</x:v>
      </x:c>
      <x:c r="AN87" s="18" t="n">
        <x:f>'两日价格与决策'!AN183</x:f>
        <x:v>5.074</x:v>
      </x:c>
      <x:c r="AO87" s="18" t="n">
        <x:f>'两日价格与决策'!AO183</x:f>
        <x:v>32.846383826086516</x:v>
      </x:c>
      <x:c r="AP87" s="18" t="n">
        <x:f>'两日价格与决策'!AP183</x:f>
        <x:v>7.105427357601002e-15</x:v>
      </x:c>
      <x:c r="AQ87" s="18" t="n">
        <x:f>'两日价格与决策'!AQ183</x:f>
        <x:v>4.9741</x:v>
      </x:c>
      <x:c r="AR87" s="21" t="n">
        <x:f>'两日价格与决策'!AR183</x:f>
        <x:v>45657</x:v>
      </x:c>
      <x:c r="AS87" s="17" t="n">
        <x:f>'两日价格与决策'!AS183</x:f>
        <x:v>45659.75</x:v>
      </x:c>
      <x:c r="AT87" s="18" t="str">
        <x:f>'两日价格与决策'!AT183</x:f>
        <x:v>2025-01-02_20</x:v>
      </x:c>
      <x:c r="AU87" s="19" t="n">
        <x:f>'两日价格与决策'!AU183</x:f>
        <x:v>60</x:v>
      </x:c>
      <x:c r="AV87" s="18" t="str">
        <x:f>'两日价格与决策'!AV183</x:f>
        <x:v>OK</x:v>
      </x:c>
    </x:row>
    <x:row r="88" ht="21" customHeight="1">
      <x:c r="A88" s="17" t="n">
        <x:f>'两日价格与决策'!A184</x:f>
        <x:v>45659.84375</x:v>
      </x:c>
      <x:c r="B88" s="23" t="n">
        <x:f>'两日价格与决策'!B184</x:f>
        <x:v>159.64</x:v>
      </x:c>
      <x:c r="C88" s="23" t="str">
        <x:f>'两日价格与决策'!C184</x:f>
        <x:v>缺失</x:v>
      </x:c>
      <x:c r="D88" s="23" t="n">
        <x:f>'两日价格与决策'!D184</x:f>
        <x:v>13.831647936310086</x:v>
      </x:c>
      <x:c r="E88" s="23" t="n">
        <x:f>'两日价格与决策'!E184</x:f>
        <x:v>14.710198829939085</x:v>
      </x:c>
      <x:c r="F88" s="23" t="n">
        <x:f>'两日价格与决策'!F184</x:f>
        <x:v>162.63685892925352</x:v>
      </x:c>
      <x:c r="G88" s="23" t="n">
        <x:f>'两日价格与决策'!G184</x:f>
        <x:v>0</x:v>
      </x:c>
      <x:c r="H88" s="23" t="str">
        <x:f>'两日价格与决策'!H184</x:f>
        <x:v>未模拟</x:v>
      </x:c>
      <x:c r="I88" s="24" t="n">
        <x:f>'两日价格与决策'!I184</x:f>
        <x:v>32.84638382608651</x:v>
      </x:c>
      <x:c r="J88" s="24" t="n">
        <x:f>'两日价格与决策'!J184</x:f>
        <x:v>28.484970782608247</x:v>
      </x:c>
      <x:c r="K88" s="24" t="n">
        <x:f>'两日价格与决策'!K184</x:f>
        <x:v>0</x:v>
      </x:c>
      <x:c r="L88" s="24" t="n">
        <x:f>'两日价格与决策'!L184</x:f>
        <x:v>0</x:v>
      </x:c>
      <x:c r="M88" s="24" t="n">
        <x:f>'两日价格与决策'!M184</x:f>
        <x:v>100</x:v>
      </x:c>
      <x:c r="N88" s="24" t="n">
        <x:f>'两日价格与决策'!N184</x:f>
        <x:v>100</x:v>
      </x:c>
      <x:c r="O88" s="24" t="n">
        <x:f>'两日价格与决策'!O184</x:f>
        <x:v>4.0125</x:v>
      </x:c>
      <x:c r="P88" s="24" t="n">
        <x:f>'两日价格与决策'!P184</x:f>
        <x:v>0</x:v>
      </x:c>
      <x:c r="Q88" s="25" t="n">
        <x:f>'两日价格与决策'!Q184</x:f>
        <x:v>0</x:v>
      </x:c>
      <x:c r="R88" s="25" t="n">
        <x:f>'两日价格与决策'!R184</x:f>
        <x:v>0</x:v>
      </x:c>
      <x:c r="S88" s="25" t="n">
        <x:f>'两日价格与决策'!S184</x:f>
        <x:v>345.7911984077521</x:v>
      </x:c>
      <x:c r="T88" s="25" t="n">
        <x:f>'两日价格与决策'!T184</x:f>
        <x:v>367.7549707484771</x:v>
      </x:c>
      <x:c r="U88" s="25" t="n">
        <x:f>'两日价格与决策'!U184</x:f>
        <x:v>652.5803964536298</x:v>
      </x:c>
      <x:c r="V88" s="25" t="n">
        <x:f>'两日价格与决策'!V184</x:f>
        <x:v>0</x:v>
      </x:c>
      <x:c r="W88" s="25" t="n">
        <x:f>'两日价格与决策'!W184</x:f>
        <x:v>1366.126565609859</x:v>
      </x:c>
      <x:c r="X88" s="18" t="n">
        <x:f>'两日价格与决策'!X184</x:f>
        <x:v>1366.126565609859</x:v>
      </x:c>
      <x:c r="Y88" s="18" t="n">
        <x:f>'两日价格与决策'!Y184</x:f>
        <x:v>0</x:v>
      </x:c>
      <x:c r="Z88" s="18" t="str">
        <x:f>"1月2日执行｜前窗冻结订单"</x:f>
        <x:v>1月2日执行｜前窗冻结订单</x:v>
      </x:c>
      <x:c r="AA88" s="19" t="n">
        <x:f>'两日价格与决策'!AA184</x:f>
        <x:v>1</x:v>
      </x:c>
      <x:c r="AB88" s="19" t="n">
        <x:f>'两日价格与决策'!AB184</x:f>
        <x:v>0</x:v>
      </x:c>
      <x:c r="AC88" s="18" t="n">
        <x:f>'两日价格与决策'!AC184</x:f>
        <x:v>0.25</x:v>
      </x:c>
      <x:c r="AD88" s="20" t="n">
        <x:f>'两日价格与决策'!AD184</x:f>
        <x:v>1</x:v>
      </x:c>
      <x:c r="AE88" s="20" t="n">
        <x:f>'两日价格与决策'!AE184</x:f>
        <x:v>0.1605</x:v>
      </x:c>
      <x:c r="AF88" s="20" t="n">
        <x:f>'两日价格与决策'!AF184</x:f>
        <x:v>0</x:v>
      </x:c>
      <x:c r="AG88" s="18" t="n">
        <x:f>'两日价格与决策'!AG184</x:f>
        <x:v>200</x:v>
      </x:c>
      <x:c r="AH88" s="18" t="n">
        <x:f>'两日价格与决策'!AH184</x:f>
        <x:v>200</x:v>
      </x:c>
      <x:c r="AI88" s="18" t="n">
        <x:f>'两日价格与决策'!AI184</x:f>
        <x:v>8.025</x:v>
      </x:c>
      <x:c r="AJ88" s="18" t="n">
        <x:f>'两日价格与决策'!AJ184</x:f>
        <x:v>0</x:v>
      </x:c>
      <x:c r="AK88" s="18" t="str">
        <x:f>'两日价格与决策'!AK184</x:f>
        <x:v>缺失</x:v>
      </x:c>
      <x:c r="AL88" s="18" t="n">
        <x:f>'两日价格与决策'!AL184</x:f>
        <x:v>0.012115036231884058</x:v>
      </x:c>
      <x:c r="AM88" s="18" t="n">
        <x:f>'两日价格与决策'!AM184</x:f>
        <x:v>0</x:v>
      </x:c>
      <x:c r="AN88" s="18" t="n">
        <x:f>'两日价格与决策'!AN184</x:f>
        <x:v>4.0125</x:v>
      </x:c>
      <x:c r="AO88" s="18" t="n">
        <x:f>'两日价格与决策'!AO184</x:f>
        <x:v>28.484970782608254</x:v>
      </x:c>
      <x:c r="AP88" s="18" t="n">
        <x:f>'两日价格与决策'!AP184</x:f>
        <x:v>7.105427357601002e-15</x:v>
      </x:c>
      <x:c r="AQ88" s="18" t="n">
        <x:f>'两日价格与决策'!AQ184</x:f>
        <x:v>4.9741</x:v>
      </x:c>
      <x:c r="AR88" s="21" t="n">
        <x:f>'两日价格与决策'!AR184</x:f>
        <x:v>45657</x:v>
      </x:c>
      <x:c r="AS88" s="17" t="n">
        <x:f>'两日价格与决策'!AS184</x:f>
        <x:v>45659.760416666664</x:v>
      </x:c>
      <x:c r="AT88" s="18" t="str">
        <x:f>'两日价格与决策'!AT184</x:f>
        <x:v>2025-01-02_20</x:v>
      </x:c>
      <x:c r="AU88" s="19" t="n">
        <x:f>'两日价格与决策'!AU184</x:f>
        <x:v>60</x:v>
      </x:c>
      <x:c r="AV88" s="18" t="str">
        <x:f>'两日价格与决策'!AV184</x:f>
        <x:v>OK</x:v>
      </x:c>
    </x:row>
    <x:row r="89" ht="21" customHeight="1">
      <x:c r="A89" s="17" t="n">
        <x:f>'两日价格与决策'!A185</x:f>
        <x:v>45659.854166666664</x:v>
      </x:c>
      <x:c r="B89" s="23" t="n">
        <x:f>'两日价格与决策'!B185</x:f>
        <x:v>159.64</x:v>
      </x:c>
      <x:c r="C89" s="23" t="str">
        <x:f>'两日价格与决策'!C185</x:f>
        <x:v>缺失</x:v>
      </x:c>
      <x:c r="D89" s="23" t="n">
        <x:f>'两日价格与决策'!D185</x:f>
        <x:v>13.831647936310086</x:v>
      </x:c>
      <x:c r="E89" s="23" t="n">
        <x:f>'两日价格与决策'!E185</x:f>
        <x:v>14.710198829939085</x:v>
      </x:c>
      <x:c r="F89" s="23" t="n">
        <x:f>'两日价格与决策'!F185</x:f>
        <x:v>156.78233248225808</x:v>
      </x:c>
      <x:c r="G89" s="23" t="n">
        <x:f>'两日价格与决策'!G185</x:f>
        <x:v>0</x:v>
      </x:c>
      <x:c r="H89" s="23" t="str">
        <x:f>'两日价格与决策'!H185</x:f>
        <x:v>未模拟</x:v>
      </x:c>
      <x:c r="I89" s="24" t="n">
        <x:f>'两日价格与决策'!I185</x:f>
        <x:v>28.484970782608247</x:v>
      </x:c>
      <x:c r="J89" s="24" t="n">
        <x:f>'两日价格与决策'!J185</x:f>
        <x:v>25.26486208695607</x:v>
      </x:c>
      <x:c r="K89" s="24" t="n">
        <x:f>'两日价格与决策'!K185</x:f>
        <x:v>0</x:v>
      </x:c>
      <x:c r="L89" s="24" t="n">
        <x:f>'两日价格与决策'!L185</x:f>
        <x:v>0</x:v>
      </x:c>
      <x:c r="M89" s="24" t="n">
        <x:f>'两日价格与决策'!M185</x:f>
        <x:v>100</x:v>
      </x:c>
      <x:c r="N89" s="24" t="n">
        <x:f>'两日价格与决策'!N185</x:f>
        <x:v>100</x:v>
      </x:c>
      <x:c r="O89" s="24" t="n">
        <x:f>'两日价格与决策'!O185</x:f>
        <x:v>2.9625</x:v>
      </x:c>
      <x:c r="P89" s="24" t="n">
        <x:f>'两日价格与决策'!P185</x:f>
        <x:v>0</x:v>
      </x:c>
      <x:c r="Q89" s="25" t="n">
        <x:f>'两日价格与决策'!Q185</x:f>
        <x:v>0</x:v>
      </x:c>
      <x:c r="R89" s="25" t="n">
        <x:f>'两日价格与决策'!R185</x:f>
        <x:v>0</x:v>
      </x:c>
      <x:c r="S89" s="25" t="n">
        <x:f>'两日价格与决策'!S185</x:f>
        <x:v>345.7911984077521</x:v>
      </x:c>
      <x:c r="T89" s="25" t="n">
        <x:f>'两日价格与决策'!T185</x:f>
        <x:v>367.7549707484771</x:v>
      </x:c>
      <x:c r="U89" s="25" t="n">
        <x:f>'两日价格与决策'!U185</x:f>
        <x:v>464.46765997868954</x:v>
      </x:c>
      <x:c r="V89" s="25" t="n">
        <x:f>'两日价格与决策'!V185</x:f>
        <x:v>0</x:v>
      </x:c>
      <x:c r="W89" s="25" t="n">
        <x:f>'两日价格与决策'!W185</x:f>
        <x:v>1178.0138291349188</x:v>
      </x:c>
      <x:c r="X89" s="18" t="n">
        <x:f>'两日价格与决策'!X185</x:f>
        <x:v>1178.0138291349188</x:v>
      </x:c>
      <x:c r="Y89" s="18" t="n">
        <x:f>'两日价格与决策'!Y185</x:f>
        <x:v>0</x:v>
      </x:c>
      <x:c r="Z89" s="18" t="str">
        <x:f>"1月2日执行｜前窗冻结订单"</x:f>
        <x:v>1月2日执行｜前窗冻结订单</x:v>
      </x:c>
      <x:c r="AA89" s="19" t="n">
        <x:f>'两日价格与决策'!AA185</x:f>
        <x:v>1</x:v>
      </x:c>
      <x:c r="AB89" s="19" t="n">
        <x:f>'两日价格与决策'!AB185</x:f>
        <x:v>0</x:v>
      </x:c>
      <x:c r="AC89" s="18" t="n">
        <x:f>'两日价格与决策'!AC185</x:f>
        <x:v>0.25</x:v>
      </x:c>
      <x:c r="AD89" s="20" t="n">
        <x:f>'两日价格与决策'!AD185</x:f>
        <x:v>1</x:v>
      </x:c>
      <x:c r="AE89" s="20" t="n">
        <x:f>'两日价格与决策'!AE185</x:f>
        <x:v>0.1185</x:v>
      </x:c>
      <x:c r="AF89" s="20" t="n">
        <x:f>'两日价格与决策'!AF185</x:f>
        <x:v>0</x:v>
      </x:c>
      <x:c r="AG89" s="18" t="n">
        <x:f>'两日价格与决策'!AG185</x:f>
        <x:v>200</x:v>
      </x:c>
      <x:c r="AH89" s="18" t="n">
        <x:f>'两日价格与决策'!AH185</x:f>
        <x:v>200</x:v>
      </x:c>
      <x:c r="AI89" s="18" t="n">
        <x:f>'两日价格与决策'!AI185</x:f>
        <x:v>5.925</x:v>
      </x:c>
      <x:c r="AJ89" s="18" t="n">
        <x:f>'两日价格与决策'!AJ185</x:f>
        <x:v>0</x:v>
      </x:c>
      <x:c r="AK89" s="18" t="str">
        <x:f>'两日价格与决策'!AK185</x:f>
        <x:v>缺失</x:v>
      </x:c>
      <x:c r="AL89" s="18" t="n">
        <x:f>'两日价格与决策'!AL185</x:f>
        <x:v>0.008944746376811592</x:v>
      </x:c>
      <x:c r="AM89" s="18" t="n">
        <x:f>'两日价格与决策'!AM185</x:f>
        <x:v>0</x:v>
      </x:c>
      <x:c r="AN89" s="18" t="n">
        <x:f>'两日价格与决策'!AN185</x:f>
        <x:v>2.9625</x:v>
      </x:c>
      <x:c r="AO89" s="18" t="n">
        <x:f>'两日价格与决策'!AO185</x:f>
        <x:v>25.264862086956082</x:v>
      </x:c>
      <x:c r="AP89" s="18" t="n">
        <x:f>'两日价格与决策'!AP185</x:f>
        <x:v>1.0658141036401503e-14</x:v>
      </x:c>
      <x:c r="AQ89" s="18" t="n">
        <x:f>'两日价格与决策'!AQ185</x:f>
        <x:v>4.9741</x:v>
      </x:c>
      <x:c r="AR89" s="21" t="n">
        <x:f>'两日价格与决策'!AR185</x:f>
        <x:v>45657</x:v>
      </x:c>
      <x:c r="AS89" s="17" t="n">
        <x:f>'两日价格与决策'!AS185</x:f>
        <x:v>45659.770833333336</x:v>
      </x:c>
      <x:c r="AT89" s="18" t="str">
        <x:f>'两日价格与决策'!AT185</x:f>
        <x:v>2025-01-02_20</x:v>
      </x:c>
      <x:c r="AU89" s="19" t="n">
        <x:f>'两日价格与决策'!AU185</x:f>
        <x:v>60</x:v>
      </x:c>
      <x:c r="AV89" s="18" t="str">
        <x:f>'两日价格与决策'!AV185</x:f>
        <x:v>OK</x:v>
      </x:c>
    </x:row>
    <x:row r="90" ht="21" customHeight="1">
      <x:c r="A90" s="17" t="n">
        <x:f>'两日价格与决策'!A186</x:f>
        <x:v>45659.864583333336</x:v>
      </x:c>
      <x:c r="B90" s="23" t="n">
        <x:f>'两日价格与决策'!B186</x:f>
        <x:v>159.64</x:v>
      </x:c>
      <x:c r="C90" s="23" t="str">
        <x:f>'两日价格与决策'!C186</x:f>
        <x:v>缺失</x:v>
      </x:c>
      <x:c r="D90" s="23" t="n">
        <x:f>'两日价格与决策'!D186</x:f>
        <x:v>13.831647936310086</x:v>
      </x:c>
      <x:c r="E90" s="23" t="n">
        <x:f>'两日价格与决策'!E186</x:f>
        <x:v>14.710198829939085</x:v>
      </x:c>
      <x:c r="F90" s="23" t="n">
        <x:f>'两日价格与决策'!F186</x:f>
        <x:v>183.02708027582878</x:v>
      </x:c>
      <x:c r="G90" s="23" t="n">
        <x:f>'两日价格与决策'!G186</x:f>
        <x:v>0</x:v>
      </x:c>
      <x:c r="H90" s="23" t="str">
        <x:f>'两日价格与决策'!H186</x:f>
        <x:v>未模拟</x:v>
      </x:c>
      <x:c r="I90" s="24" t="n">
        <x:f>'两日价格与决策'!I186</x:f>
        <x:v>25.26486208695607</x:v>
      </x:c>
      <x:c r="J90" s="24" t="n">
        <x:f>'两日价格与决策'!J186</x:f>
        <x:v>20.88062295652129</x:v>
      </x:c>
      <x:c r="K90" s="24" t="n">
        <x:f>'两日价格与决策'!K186</x:f>
        <x:v>0</x:v>
      </x:c>
      <x:c r="L90" s="24" t="n">
        <x:f>'两日价格与决策'!L186</x:f>
        <x:v>0</x:v>
      </x:c>
      <x:c r="M90" s="24" t="n">
        <x:f>'两日价格与决策'!M186</x:f>
        <x:v>100</x:v>
      </x:c>
      <x:c r="N90" s="24" t="n">
        <x:f>'两日价格与决策'!N186</x:f>
        <x:v>100</x:v>
      </x:c>
      <x:c r="O90" s="24" t="n">
        <x:f>'两日价格与决策'!O186</x:f>
        <x:v>4.0335</x:v>
      </x:c>
      <x:c r="P90" s="24" t="n">
        <x:f>'两日价格与决策'!P186</x:f>
        <x:v>0</x:v>
      </x:c>
      <x:c r="Q90" s="25" t="n">
        <x:f>'两日价格与决策'!Q186</x:f>
        <x:v>0</x:v>
      </x:c>
      <x:c r="R90" s="25" t="n">
        <x:f>'两日价格与决策'!R186</x:f>
        <x:v>0</x:v>
      </x:c>
      <x:c r="S90" s="25" t="n">
        <x:f>'两日价格与决策'!S186</x:f>
        <x:v>345.7911984077521</x:v>
      </x:c>
      <x:c r="T90" s="25" t="n">
        <x:f>'两日价格与决策'!T186</x:f>
        <x:v>367.7549707484771</x:v>
      </x:c>
      <x:c r="U90" s="25" t="n">
        <x:f>'两日价格与决策'!U186</x:f>
        <x:v>738.2397282925554</x:v>
      </x:c>
      <x:c r="V90" s="25" t="n">
        <x:f>'两日价格与决策'!V186</x:f>
        <x:v>0</x:v>
      </x:c>
      <x:c r="W90" s="25" t="n">
        <x:f>'两日价格与决策'!W186</x:f>
        <x:v>1451.7858974487845</x:v>
      </x:c>
      <x:c r="X90" s="18" t="n">
        <x:f>'两日价格与决策'!X186</x:f>
        <x:v>1451.7858974487845</x:v>
      </x:c>
      <x:c r="Y90" s="18" t="n">
        <x:f>'两日价格与决策'!Y186</x:f>
        <x:v>0</x:v>
      </x:c>
      <x:c r="Z90" s="18" t="str">
        <x:f>"1月2日执行｜前窗冻结订单"</x:f>
        <x:v>1月2日执行｜前窗冻结订单</x:v>
      </x:c>
      <x:c r="AA90" s="19" t="n">
        <x:f>'两日价格与决策'!AA186</x:f>
        <x:v>1</x:v>
      </x:c>
      <x:c r="AB90" s="19" t="n">
        <x:f>'两日价格与决策'!AB186</x:f>
        <x:v>0</x:v>
      </x:c>
      <x:c r="AC90" s="18" t="n">
        <x:f>'两日价格与决策'!AC186</x:f>
        <x:v>0.25</x:v>
      </x:c>
      <x:c r="AD90" s="20" t="n">
        <x:f>'两日价格与决策'!AD186</x:f>
        <x:v>1</x:v>
      </x:c>
      <x:c r="AE90" s="20" t="n">
        <x:f>'两日价格与决策'!AE186</x:f>
        <x:v>0.16134</x:v>
      </x:c>
      <x:c r="AF90" s="20" t="n">
        <x:f>'两日价格与决策'!AF186</x:f>
        <x:v>0</x:v>
      </x:c>
      <x:c r="AG90" s="18" t="n">
        <x:f>'两日价格与决策'!AG186</x:f>
        <x:v>200</x:v>
      </x:c>
      <x:c r="AH90" s="18" t="n">
        <x:f>'两日价格与决策'!AH186</x:f>
        <x:v>200</x:v>
      </x:c>
      <x:c r="AI90" s="18" t="n">
        <x:f>'两日价格与决策'!AI186</x:f>
        <x:v>8.067</x:v>
      </x:c>
      <x:c r="AJ90" s="18" t="n">
        <x:f>'两日价格与决策'!AJ186</x:f>
        <x:v>0</x:v>
      </x:c>
      <x:c r="AK90" s="18" t="str">
        <x:f>'两日价格与决策'!AK186</x:f>
        <x:v>缺失</x:v>
      </x:c>
      <x:c r="AL90" s="18" t="n">
        <x:f>'两日价格与决策'!AL186</x:f>
        <x:v>0.012178442028985506</x:v>
      </x:c>
      <x:c r="AM90" s="18" t="n">
        <x:f>'两日价格与决策'!AM186</x:f>
        <x:v>0</x:v>
      </x:c>
      <x:c r="AN90" s="18" t="n">
        <x:f>'两日价格与决策'!AN186</x:f>
        <x:v>4.0335</x:v>
      </x:c>
      <x:c r="AO90" s="18" t="n">
        <x:f>'两日价格与决策'!AO186</x:f>
        <x:v>20.8806229565213</x:v>
      </x:c>
      <x:c r="AP90" s="18" t="n">
        <x:f>'两日价格与决策'!AP186</x:f>
        <x:v>1.0658141036401503e-14</x:v>
      </x:c>
      <x:c r="AQ90" s="18" t="n">
        <x:f>'两日价格与决策'!AQ186</x:f>
        <x:v>4.9741</x:v>
      </x:c>
      <x:c r="AR90" s="21" t="n">
        <x:f>'两日价格与决策'!AR186</x:f>
        <x:v>45657</x:v>
      </x:c>
      <x:c r="AS90" s="17" t="n">
        <x:f>'两日价格与决策'!AS186</x:f>
        <x:v>45659.78125</x:v>
      </x:c>
      <x:c r="AT90" s="18" t="str">
        <x:f>'两日价格与决策'!AT186</x:f>
        <x:v>2025-01-02_20</x:v>
      </x:c>
      <x:c r="AU90" s="19" t="n">
        <x:f>'两日价格与决策'!AU186</x:f>
        <x:v>60</x:v>
      </x:c>
      <x:c r="AV90" s="18" t="str">
        <x:f>'两日价格与决策'!AV186</x:f>
        <x:v>OK</x:v>
      </x:c>
    </x:row>
    <x:row r="91" ht="21" customHeight="1">
      <x:c r="A91" s="17" t="n">
        <x:f>'两日价格与决策'!A187</x:f>
        <x:v>45659.875</x:v>
      </x:c>
      <x:c r="B91" s="23" t="n">
        <x:f>'两日价格与决策'!B187</x:f>
        <x:v>131.19</x:v>
      </x:c>
      <x:c r="C91" s="23" t="str">
        <x:f>'两日价格与决策'!C187</x:f>
        <x:v>缺失</x:v>
      </x:c>
      <x:c r="D91" s="23" t="n">
        <x:f>'两日价格与决策'!D187</x:f>
        <x:v>13.831647936310086</x:v>
      </x:c>
      <x:c r="E91" s="23" t="n">
        <x:f>'两日价格与决策'!E187</x:f>
        <x:v>14.710198829939085</x:v>
      </x:c>
      <x:c r="F91" s="23" t="n">
        <x:f>'两日价格与决策'!F187</x:f>
        <x:v>172.98606783136648</x:v>
      </x:c>
      <x:c r="G91" s="23" t="n">
        <x:f>'两日价格与决策'!G187</x:f>
        <x:v>27.437928469471867</x:v>
      </x:c>
      <x:c r="H91" s="23" t="str">
        <x:f>'两日价格与决策'!H187</x:f>
        <x:v>未模拟</x:v>
      </x:c>
      <x:c r="I91" s="24" t="n">
        <x:f>'两日价格与决策'!I187</x:f>
        <x:v>20.88062295652129</x:v>
      </x:c>
      <x:c r="J91" s="24" t="n">
        <x:f>'两日价格与决策'!J187</x:f>
        <x:v>9.999999999997465</x:v>
      </x:c>
      <x:c r="K91" s="24" t="n">
        <x:f>'两日价格与决策'!K187</x:f>
        <x:v>38.0000000000077</x:v>
      </x:c>
      <x:c r="L91" s="24" t="n">
        <x:f>'两日价格与决策'!L187</x:f>
        <x:v>0</x:v>
      </x:c>
      <x:c r="M91" s="24" t="n">
        <x:f>'两日价格与决策'!M187</x:f>
        <x:v>62</x:v>
      </x:c>
      <x:c r="N91" s="24" t="n">
        <x:f>'两日价格与决策'!N187</x:f>
        <x:v>100</x:v>
      </x:c>
      <x:c r="O91" s="24" t="n">
        <x:f>'两日价格与决策'!O187</x:f>
        <x:v>1.10732</x:v>
      </x:c>
      <x:c r="P91" s="24" t="n">
        <x:f>'两日价格与决策'!P187</x:f>
        <x:v>0.66</x:v>
      </x:c>
      <x:c r="Q91" s="25" t="n">
        <x:f>'两日价格与决策'!Q187</x:f>
        <x:v>1246.3050000002527</x:v>
      </x:c>
      <x:c r="R91" s="25" t="n">
        <x:f>'两日价格与决策'!R187</x:f>
        <x:v>0</x:v>
      </x:c>
      <x:c r="S91" s="25" t="n">
        <x:f>'两日价格与决策'!S187</x:f>
        <x:v>214.39054301280632</x:v>
      </x:c>
      <x:c r="T91" s="25" t="n">
        <x:f>'两日价格与决策'!T187</x:f>
        <x:v>367.7549707484771</x:v>
      </x:c>
      <x:c r="U91" s="25" t="n">
        <x:f>'两日价格与决策'!U187</x:f>
        <x:v>191.55093263102876</x:v>
      </x:c>
      <x:c r="V91" s="25" t="n">
        <x:f>'两日价格与决策'!V187</x:f>
        <x:v>-18.109032789851433</x:v>
      </x:c>
      <x:c r="W91" s="25" t="n">
        <x:f>'两日价格与决策'!W187</x:f>
        <x:v>2001.8924136027133</x:v>
      </x:c>
      <x:c r="X91" s="18" t="n">
        <x:f>'两日价格与决策'!X187</x:f>
        <x:v>2001.8924136027133</x:v>
      </x:c>
      <x:c r="Y91" s="18" t="n">
        <x:f>'两日价格与决策'!Y187</x:f>
        <x:v>0</x:v>
      </x:c>
      <x:c r="Z91" s="18" t="str">
        <x:f>"1月2日执行｜前窗冻结订单"</x:f>
        <x:v>1月2日执行｜前窗冻结订单</x:v>
      </x:c>
      <x:c r="AA91" s="19" t="n">
        <x:f>'两日价格与决策'!AA187</x:f>
        <x:v>1</x:v>
      </x:c>
      <x:c r="AB91" s="19" t="n">
        <x:f>'两日价格与决策'!AB187</x:f>
        <x:v>0</x:v>
      </x:c>
      <x:c r="AC91" s="18" t="n">
        <x:f>'两日价格与决策'!AC187</x:f>
        <x:v>0.25</x:v>
      </x:c>
      <x:c r="AD91" s="20" t="n">
        <x:f>'两日价格与决策'!AD187</x:f>
        <x:v>1</x:v>
      </x:c>
      <x:c r="AE91" s="20" t="n">
        <x:f>'两日价格与决策'!AE187</x:f>
        <x:v>0.07144</x:v>
      </x:c>
      <x:c r="AF91" s="20" t="n">
        <x:f>'两日价格与决策'!AF187</x:f>
        <x:v>0.0264</x:v>
      </x:c>
      <x:c r="AG91" s="18" t="n">
        <x:f>'两日价格与决策'!AG187</x:f>
        <x:v>200</x:v>
      </x:c>
      <x:c r="AH91" s="18" t="n">
        <x:f>'两日价格与决策'!AH187</x:f>
        <x:v>200</x:v>
      </x:c>
      <x:c r="AI91" s="18" t="n">
        <x:f>'两日价格与决策'!AI187</x:f>
        <x:v>3.572</x:v>
      </x:c>
      <x:c r="AJ91" s="18" t="n">
        <x:f>'两日价格与决策'!AJ187</x:f>
        <x:v>1.32</x:v>
      </x:c>
      <x:c r="AK91" s="18" t="str">
        <x:f>'两日价格与决策'!AK187</x:f>
        <x:v>缺失</x:v>
      </x:c>
      <x:c r="AL91" s="18" t="n">
        <x:f>'两日价格与决策'!AL187</x:f>
        <x:v>0.03231541932367703</x:v>
      </x:c>
      <x:c r="AM91" s="18" t="n">
        <x:f>'两日价格与决策'!AM187</x:f>
        <x:v>0.40919999999994916</x:v>
      </x:c>
      <x:c r="AN91" s="18" t="n">
        <x:f>'两日价格与决策'!AN187</x:f>
        <x:v>10.356520000001876</x:v>
      </x:c>
      <x:c r="AO91" s="18" t="n">
        <x:f>'两日价格与决策'!AO187</x:f>
        <x:v>9.999999999997476</x:v>
      </x:c>
      <x:c r="AP91" s="18" t="n">
        <x:f>'两日价格与决策'!AP187</x:f>
        <x:v>1.0658141036401503e-14</x:v>
      </x:c>
      <x:c r="AQ91" s="18" t="n">
        <x:f>'两日价格与决策'!AQ187</x:f>
        <x:v>4.9741</x:v>
      </x:c>
      <x:c r="AR91" s="21" t="n">
        <x:f>'两日价格与决策'!AR187</x:f>
        <x:v>45657</x:v>
      </x:c>
      <x:c r="AS91" s="17" t="n">
        <x:f>'两日价格与决策'!AS187</x:f>
        <x:v>45659.791666666664</x:v>
      </x:c>
      <x:c r="AT91" s="18" t="str">
        <x:f>'两日价格与决策'!AT187</x:f>
        <x:v>2025-01-02_21</x:v>
      </x:c>
      <x:c r="AU91" s="19" t="n">
        <x:f>'两日价格与决策'!AU187</x:f>
        <x:v>60</x:v>
      </x:c>
      <x:c r="AV91" s="18" t="str">
        <x:f>'两日价格与决策'!AV187</x:f>
        <x:v>OK</x:v>
      </x:c>
    </x:row>
    <x:row r="92" ht="21" customHeight="1">
      <x:c r="A92" s="17" t="n">
        <x:f>'两日价格与决策'!A188</x:f>
        <x:v>45659.885416666664</x:v>
      </x:c>
      <x:c r="B92" s="23" t="n">
        <x:f>'两日价格与决策'!B188</x:f>
        <x:v>131.19</x:v>
      </x:c>
      <x:c r="C92" s="23" t="str">
        <x:f>'两日价格与决策'!C188</x:f>
        <x:v>缺失</x:v>
      </x:c>
      <x:c r="D92" s="23" t="n">
        <x:f>'两日价格与决策'!D188</x:f>
        <x:v>13.831647936310086</x:v>
      </x:c>
      <x:c r="E92" s="23" t="n">
        <x:f>'两日价格与决策'!E188</x:f>
        <x:v>14.710198829939085</x:v>
      </x:c>
      <x:c r="F92" s="23" t="n">
        <x:f>'两日价格与决策'!F188</x:f>
        <x:v>0</x:v>
      </x:c>
      <x:c r="G92" s="23" t="n">
        <x:f>'两日价格与决策'!G188</x:f>
        <x:v>2.203011600088458</x:v>
      </x:c>
      <x:c r="H92" s="23" t="str">
        <x:f>'两日价格与决策'!H188</x:f>
        <x:v>未模拟</x:v>
      </x:c>
      <x:c r="I92" s="24" t="n">
        <x:f>'两日价格与决策'!I188</x:f>
        <x:v>9.999999999997465</x:v>
      </x:c>
      <x:c r="J92" s="24" t="n">
        <x:f>'两日价格与决策'!J188</x:f>
        <x:v>10.640291269560734</x:v>
      </x:c>
      <x:c r="K92" s="24" t="n">
        <x:f>'两日价格与决策'!K188</x:f>
        <x:v>38.0000000000077</x:v>
      </x:c>
      <x:c r="L92" s="24" t="n">
        <x:f>'两日价格与决策'!L188</x:f>
        <x:v>0</x:v>
      </x:c>
      <x:c r="M92" s="24" t="n">
        <x:f>'两日价格与决策'!M188</x:f>
        <x:v>62</x:v>
      </x:c>
      <x:c r="N92" s="24" t="n">
        <x:f>'两日价格与决策'!N188</x:f>
        <x:v>100</x:v>
      </x:c>
      <x:c r="O92" s="24" t="n">
        <x:f>'两日价格与决策'!O188</x:f>
        <x:v>0</x:v>
      </x:c>
      <x:c r="P92" s="24" t="n">
        <x:f>'两日价格与决策'!P188</x:f>
        <x:v>11.151</x:v>
      </x:c>
      <x:c r="Q92" s="25" t="n">
        <x:f>'两日价格与决策'!Q188</x:f>
        <x:v>1246.3050000002527</x:v>
      </x:c>
      <x:c r="R92" s="25" t="n">
        <x:f>'两日价格与决策'!R188</x:f>
        <x:v>0</x:v>
      </x:c>
      <x:c r="S92" s="25" t="n">
        <x:f>'两日价格与决策'!S188</x:f>
        <x:v>214.39054301280632</x:v>
      </x:c>
      <x:c r="T92" s="25" t="n">
        <x:f>'两日价格与决策'!T188</x:f>
        <x:v>367.7549707484771</x:v>
      </x:c>
      <x:c r="U92" s="25" t="n">
        <x:f>'两日价格与决策'!U188</x:f>
        <x:v>0</x:v>
      </x:c>
      <x:c r="V92" s="25" t="n">
        <x:f>'两日价格与决策'!V188</x:f>
        <x:v>-24.565782352586396</x:v>
      </x:c>
      <x:c r="W92" s="25" t="n">
        <x:f>'两日价格与决策'!W188</x:f>
        <x:v>1803.8847314089496</x:v>
      </x:c>
      <x:c r="X92" s="18" t="n">
        <x:f>'两日价格与决策'!X188</x:f>
        <x:v>1803.8847314089496</x:v>
      </x:c>
      <x:c r="Y92" s="18" t="n">
        <x:f>'两日价格与决策'!Y188</x:f>
        <x:v>0</x:v>
      </x:c>
      <x:c r="Z92" s="18" t="str">
        <x:f>"1月2日执行｜前窗冻结订单"</x:f>
        <x:v>1月2日执行｜前窗冻结订单</x:v>
      </x:c>
      <x:c r="AA92" s="19" t="n">
        <x:f>'两日价格与决策'!AA188</x:f>
        <x:v>1</x:v>
      </x:c>
      <x:c r="AB92" s="19" t="n">
        <x:f>'两日价格与决策'!AB188</x:f>
        <x:v>0</x:v>
      </x:c>
      <x:c r="AC92" s="18" t="n">
        <x:f>'两日价格与决策'!AC188</x:f>
        <x:v>0.25</x:v>
      </x:c>
      <x:c r="AD92" s="20" t="n">
        <x:f>'两日价格与决策'!AD188</x:f>
        <x:v>1</x:v>
      </x:c>
      <x:c r="AE92" s="20" t="n">
        <x:f>'两日价格与决策'!AE188</x:f>
        <x:v>0</x:v>
      </x:c>
      <x:c r="AF92" s="20" t="n">
        <x:f>'两日价格与决策'!AF188</x:f>
        <x:v>0.44604</x:v>
      </x:c>
      <x:c r="AG92" s="18" t="n">
        <x:f>'两日价格与决策'!AG188</x:f>
        <x:v>200</x:v>
      </x:c>
      <x:c r="AH92" s="18" t="n">
        <x:f>'两日价格与决策'!AH188</x:f>
        <x:v>200</x:v>
      </x:c>
      <x:c r="AI92" s="18" t="n">
        <x:f>'两日价格与决策'!AI188</x:f>
        <x:v>0</x:v>
      </x:c>
      <x:c r="AJ92" s="18" t="n">
        <x:f>'两日价格与决策'!AJ188</x:f>
        <x:v>22.302</x:v>
      </x:c>
      <x:c r="AK92" s="18" t="str">
        <x:f>'两日价格与决策'!AK188</x:f>
        <x:v>缺失</x:v>
      </x:c>
      <x:c r="AL92" s="18" t="n">
        <x:f>'两日价格与决策'!AL188</x:f>
        <x:v>0.03355769314009764</x:v>
      </x:c>
      <x:c r="AM92" s="18" t="n">
        <x:f>'两日价格与决策'!AM188</x:f>
        <x:v>6.913619999999141</x:v>
      </x:c>
      <x:c r="AN92" s="18" t="n">
        <x:f>'两日价格与决策'!AN188</x:f>
        <x:v>5.262620000001067</x:v>
      </x:c>
      <x:c r="AO92" s="18" t="n">
        <x:f>'两日价格与决策'!AO188</x:f>
        <x:v>10.640291269560741</x:v>
      </x:c>
      <x:c r="AP92" s="18" t="n">
        <x:f>'两日价格与决策'!AP188</x:f>
        <x:v>7.105427357601002e-15</x:v>
      </x:c>
      <x:c r="AQ92" s="18" t="n">
        <x:f>'两日价格与决策'!AQ188</x:f>
        <x:v>4.9741</x:v>
      </x:c>
      <x:c r="AR92" s="21" t="n">
        <x:f>'两日价格与决策'!AR188</x:f>
        <x:v>45657</x:v>
      </x:c>
      <x:c r="AS92" s="17" t="n">
        <x:f>'两日价格与决策'!AS188</x:f>
        <x:v>45659.802083333336</x:v>
      </x:c>
      <x:c r="AT92" s="18" t="str">
        <x:f>'两日价格与决策'!AT188</x:f>
        <x:v>2025-01-02_21</x:v>
      </x:c>
      <x:c r="AU92" s="19" t="n">
        <x:f>'两日价格与决策'!AU188</x:f>
        <x:v>60</x:v>
      </x:c>
      <x:c r="AV92" s="18" t="str">
        <x:f>'两日价格与决策'!AV188</x:f>
        <x:v>OK</x:v>
      </x:c>
    </x:row>
    <x:row r="93" ht="21" customHeight="1">
      <x:c r="A93" s="17" t="n">
        <x:f>'两日价格与决策'!A189</x:f>
        <x:v>45659.895833333336</x:v>
      </x:c>
      <x:c r="B93" s="23" t="n">
        <x:f>'两日价格与决策'!B189</x:f>
        <x:v>131.19</x:v>
      </x:c>
      <x:c r="C93" s="23" t="str">
        <x:f>'两日价格与决策'!C189</x:f>
        <x:v>缺失</x:v>
      </x:c>
      <x:c r="D93" s="23" t="n">
        <x:f>'两日价格与决策'!D189</x:f>
        <x:v>13.831647936310086</x:v>
      </x:c>
      <x:c r="E93" s="23" t="n">
        <x:f>'两日价格与决策'!E189</x:f>
        <x:v>14.710198829939085</x:v>
      </x:c>
      <x:c r="F93" s="23" t="n">
        <x:f>'两日价格与决策'!F189</x:f>
        <x:v>0</x:v>
      </x:c>
      <x:c r="G93" s="23" t="n">
        <x:f>'两日价格与决策'!G189</x:f>
        <x:v>-100.98228825315132</x:v>
      </x:c>
      <x:c r="H93" s="23" t="str">
        <x:f>'两日价格与决策'!H189</x:f>
        <x:v>未模拟</x:v>
      </x:c>
      <x:c r="I93" s="24" t="n">
        <x:f>'两日价格与决策'!I189</x:f>
        <x:v>10.640291269560734</x:v>
      </x:c>
      <x:c r="J93" s="24" t="n">
        <x:f>'两日价格与决策'!J189</x:f>
        <x:v>14.91194758260231</x:v>
      </x:c>
      <x:c r="K93" s="24" t="n">
        <x:f>'两日价格与决策'!K189</x:f>
        <x:v>38.0000000000077</x:v>
      </x:c>
      <x:c r="L93" s="24" t="n">
        <x:f>'两日价格与决策'!L189</x:f>
        <x:v>0</x:v>
      </x:c>
      <x:c r="M93" s="24" t="n">
        <x:f>'两日价格与决策'!M189</x:f>
        <x:v>62</x:v>
      </x:c>
      <x:c r="N93" s="24" t="n">
        <x:f>'两日价格与决策'!N189</x:f>
        <x:v>100</x:v>
      </x:c>
      <x:c r="O93" s="24" t="n">
        <x:f>'两日价格与决策'!O189</x:f>
        <x:v>0</x:v>
      </x:c>
      <x:c r="P93" s="24" t="n">
        <x:f>'两日价格与决策'!P189</x:f>
        <x:v>14.8435</x:v>
      </x:c>
      <x:c r="Q93" s="25" t="n">
        <x:f>'两日价格与决策'!Q189</x:f>
        <x:v>1246.3050000002527</x:v>
      </x:c>
      <x:c r="R93" s="25" t="n">
        <x:f>'两日价格与决策'!R189</x:f>
        <x:v>0</x:v>
      </x:c>
      <x:c r="S93" s="25" t="n">
        <x:f>'两日价格与决策'!S189</x:f>
        <x:v>214.39054301280632</x:v>
      </x:c>
      <x:c r="T93" s="25" t="n">
        <x:f>'两日价格与决策'!T189</x:f>
        <x:v>367.7549707484771</x:v>
      </x:c>
      <x:c r="U93" s="25" t="n">
        <x:f>'两日价格与决策'!U189</x:f>
        <x:v>0</x:v>
      </x:c>
      <x:c r="V93" s="25" t="n">
        <x:f>'两日价格与决策'!V189</x:f>
        <x:v>1498.9305956856517</x:v>
      </x:c>
      <x:c r="W93" s="25" t="n">
        <x:f>'两日价格与决策'!W189</x:f>
        <x:v>3327.3811094471876</x:v>
      </x:c>
      <x:c r="X93" s="18" t="n">
        <x:f>'两日价格与决策'!X189</x:f>
        <x:v>3327.381109447188</x:v>
      </x:c>
      <x:c r="Y93" s="18" t="n">
        <x:f>'两日价格与决策'!Y189</x:f>
        <x:v>-4.547473508864641e-13</x:v>
      </x:c>
      <x:c r="Z93" s="18" t="str">
        <x:f>"1月2日执行｜前窗冻结订单"</x:f>
        <x:v>1月2日执行｜前窗冻结订单</x:v>
      </x:c>
      <x:c r="AA93" s="19" t="n">
        <x:f>'两日价格与决策'!AA189</x:f>
        <x:v>1</x:v>
      </x:c>
      <x:c r="AB93" s="19" t="n">
        <x:f>'两日价格与决策'!AB189</x:f>
        <x:v>0</x:v>
      </x:c>
      <x:c r="AC93" s="18" t="n">
        <x:f>'两日价格与决策'!AC189</x:f>
        <x:v>0.25</x:v>
      </x:c>
      <x:c r="AD93" s="20" t="n">
        <x:f>'两日价格与决策'!AD189</x:f>
        <x:v>1</x:v>
      </x:c>
      <x:c r="AE93" s="20" t="n">
        <x:f>'两日价格与决策'!AE189</x:f>
        <x:v>0</x:v>
      </x:c>
      <x:c r="AF93" s="20" t="n">
        <x:f>'两日价格与决策'!AF189</x:f>
        <x:v>0.59374</x:v>
      </x:c>
      <x:c r="AG93" s="18" t="n">
        <x:f>'两日价格与决策'!AG189</x:f>
        <x:v>200</x:v>
      </x:c>
      <x:c r="AH93" s="18" t="n">
        <x:f>'两日价格与决策'!AH189</x:f>
        <x:v>200</x:v>
      </x:c>
      <x:c r="AI93" s="18" t="n">
        <x:f>'两日价格与决策'!AI189</x:f>
        <x:v>0</x:v>
      </x:c>
      <x:c r="AJ93" s="18" t="n">
        <x:f>'两日价格与决策'!AJ189</x:f>
        <x:v>29.687</x:v>
      </x:c>
      <x:c r="AK93" s="18" t="str">
        <x:f>'两日价格与决策'!AK189</x:f>
        <x:v>缺失</x:v>
      </x:c>
      <x:c r="AL93" s="18" t="n">
        <x:f>'两日价格与决策'!AL189</x:f>
        <x:v>0.03517169024154533</x:v>
      </x:c>
      <x:c r="AM93" s="18" t="n">
        <x:f>'两日价格与决策'!AM189</x:f>
        <x:v>9.202969999998857</x:v>
      </x:c>
      <x:c r="AN93" s="18" t="n">
        <x:f>'两日价格与决策'!AN189</x:f>
        <x:v>3.859470000000782</x:v>
      </x:c>
      <x:c r="AO93" s="18" t="n">
        <x:f>'两日价格与决策'!AO189</x:f>
        <x:v>14.911947582602316</x:v>
      </x:c>
      <x:c r="AP93" s="18" t="n">
        <x:f>'两日价格与决策'!AP189</x:f>
        <x:v>7.105427357601002e-15</x:v>
      </x:c>
      <x:c r="AQ93" s="18" t="n">
        <x:f>'两日价格与决策'!AQ189</x:f>
        <x:v>4.9741</x:v>
      </x:c>
      <x:c r="AR93" s="21" t="n">
        <x:f>'两日价格与决策'!AR189</x:f>
        <x:v>45657</x:v>
      </x:c>
      <x:c r="AS93" s="17" t="n">
        <x:f>'两日价格与决策'!AS189</x:f>
        <x:v>45659.8125</x:v>
      </x:c>
      <x:c r="AT93" s="18" t="str">
        <x:f>'两日价格与决策'!AT189</x:f>
        <x:v>2025-01-02_21</x:v>
      </x:c>
      <x:c r="AU93" s="19" t="n">
        <x:f>'两日价格与决策'!AU189</x:f>
        <x:v>60</x:v>
      </x:c>
      <x:c r="AV93" s="18" t="str">
        <x:f>'两日价格与决策'!AV189</x:f>
        <x:v>OK</x:v>
      </x:c>
    </x:row>
    <x:row r="94" ht="21" customHeight="1">
      <x:c r="A94" s="17" t="n">
        <x:f>'两日价格与决策'!A190</x:f>
        <x:v>45659.90625</x:v>
      </x:c>
      <x:c r="B94" s="23" t="n">
        <x:f>'两日价格与决策'!B190</x:f>
        <x:v>131.19</x:v>
      </x:c>
      <x:c r="C94" s="23" t="str">
        <x:f>'两日价格与决策'!C190</x:f>
        <x:v>缺失</x:v>
      </x:c>
      <x:c r="D94" s="23" t="n">
        <x:f>'两日价格与决策'!D190</x:f>
        <x:v>13.831647936310086</x:v>
      </x:c>
      <x:c r="E94" s="23" t="n">
        <x:f>'两日价格与决策'!E190</x:f>
        <x:v>14.710198829939085</x:v>
      </x:c>
      <x:c r="F94" s="23" t="n">
        <x:f>'两日价格与决策'!F190</x:f>
        <x:v>0</x:v>
      </x:c>
      <x:c r="G94" s="23" t="n">
        <x:f>'两日价格与决策'!G190</x:f>
        <x:v>-223.71966787961642</x:v>
      </x:c>
      <x:c r="H94" s="23" t="str">
        <x:f>'两日价格与决策'!H190</x:f>
        <x:v>未模拟</x:v>
      </x:c>
      <x:c r="I94" s="24" t="n">
        <x:f>'两日价格与决策'!I190</x:f>
        <x:v>14.91194758260231</x:v>
      </x:c>
      <x:c r="J94" s="24" t="n">
        <x:f>'两日价格与决策'!J190</x:f>
        <x:v>24.01132793042656</x:v>
      </x:c>
      <x:c r="K94" s="24" t="n">
        <x:f>'两日价格与决策'!K190</x:f>
        <x:v>38.0000000000077</x:v>
      </x:c>
      <x:c r="L94" s="24" t="n">
        <x:f>'两日价格与决策'!L190</x:f>
        <x:v>0</x:v>
      </x:c>
      <x:c r="M94" s="24" t="n">
        <x:f>'两日价格与决策'!M190</x:f>
        <x:v>62</x:v>
      </x:c>
      <x:c r="N94" s="24" t="n">
        <x:f>'两日价格与决策'!N190</x:f>
        <x:v>100</x:v>
      </x:c>
      <x:c r="O94" s="24" t="n">
        <x:f>'两日价格与决策'!O190</x:f>
        <x:v>0</x:v>
      </x:c>
      <x:c r="P94" s="24" t="n">
        <x:f>'两日价格与决策'!P190</x:f>
        <x:v>19.7525</x:v>
      </x:c>
      <x:c r="Q94" s="25" t="n">
        <x:f>'两日价格与决策'!Q190</x:f>
        <x:v>1246.3050000002527</x:v>
      </x:c>
      <x:c r="R94" s="25" t="n">
        <x:f>'两日价格与决策'!R190</x:f>
        <x:v>0</x:v>
      </x:c>
      <x:c r="S94" s="25" t="n">
        <x:f>'两日价格与决策'!S190</x:f>
        <x:v>214.39054301280632</x:v>
      </x:c>
      <x:c r="T94" s="25" t="n">
        <x:f>'两日价格与决策'!T190</x:f>
        <x:v>367.7549707484771</x:v>
      </x:c>
      <x:c r="U94" s="25" t="n">
        <x:f>'两日价格与决策'!U190</x:f>
        <x:v>0</x:v>
      </x:c>
      <x:c r="V94" s="25" t="n">
        <x:f>'两日价格与决策'!V190</x:f>
        <x:v>4419.0227397921235</x:v>
      </x:c>
      <x:c r="W94" s="25" t="n">
        <x:f>'两日价格与决策'!W190</x:f>
        <x:v>6247.47325355366</x:v>
      </x:c>
      <x:c r="X94" s="18" t="n">
        <x:f>'两日价格与决策'!X190</x:f>
        <x:v>6247.47325355366</x:v>
      </x:c>
      <x:c r="Y94" s="18" t="n">
        <x:f>'两日价格与决策'!Y190</x:f>
        <x:v>0</x:v>
      </x:c>
      <x:c r="Z94" s="18" t="str">
        <x:f>"1月2日执行｜前窗冻结订单"</x:f>
        <x:v>1月2日执行｜前窗冻结订单</x:v>
      </x:c>
      <x:c r="AA94" s="19" t="n">
        <x:f>'两日价格与决策'!AA190</x:f>
        <x:v>1</x:v>
      </x:c>
      <x:c r="AB94" s="19" t="n">
        <x:f>'两日价格与决策'!AB190</x:f>
        <x:v>0</x:v>
      </x:c>
      <x:c r="AC94" s="18" t="n">
        <x:f>'两日价格与决策'!AC190</x:f>
        <x:v>0.25</x:v>
      </x:c>
      <x:c r="AD94" s="20" t="n">
        <x:f>'两日价格与决策'!AD190</x:f>
        <x:v>1</x:v>
      </x:c>
      <x:c r="AE94" s="20" t="n">
        <x:f>'两日价格与决策'!AE190</x:f>
        <x:v>0</x:v>
      </x:c>
      <x:c r="AF94" s="20" t="n">
        <x:f>'两日价格与决策'!AF190</x:f>
        <x:v>0.7901</x:v>
      </x:c>
      <x:c r="AG94" s="18" t="n">
        <x:f>'两日价格与决策'!AG190</x:f>
        <x:v>200</x:v>
      </x:c>
      <x:c r="AH94" s="18" t="n">
        <x:f>'两日价格与决策'!AH190</x:f>
        <x:v>200</x:v>
      </x:c>
      <x:c r="AI94" s="18" t="n">
        <x:f>'两日价格与决策'!AI190</x:f>
        <x:v>0</x:v>
      </x:c>
      <x:c r="AJ94" s="18" t="n">
        <x:f>'两日价格与决策'!AJ190</x:f>
        <x:v>39.505</x:v>
      </x:c>
      <x:c r="AK94" s="18" t="str">
        <x:f>'两日价格与决策'!AK190</x:f>
        <x:v>缺失</x:v>
      </x:c>
      <x:c r="AL94" s="18" t="n">
        <x:f>'两日价格与决策'!AL190</x:f>
        <x:v>0.037317421256035974</x:v>
      </x:c>
      <x:c r="AM94" s="18" t="n">
        <x:f>'两日价格与决策'!AM190</x:f>
        <x:v>12.246549999998479</x:v>
      </x:c>
      <x:c r="AN94" s="18" t="n">
        <x:f>'两日价格与决策'!AN190</x:f>
        <x:v>1.994050000000404</x:v>
      </x:c>
      <x:c r="AO94" s="18" t="n">
        <x:f>'两日价格与决策'!AO190</x:f>
        <x:v>24.011327930426567</x:v>
      </x:c>
      <x:c r="AP94" s="18" t="n">
        <x:f>'两日价格与决策'!AP190</x:f>
        <x:v>7.105427357601002e-15</x:v>
      </x:c>
      <x:c r="AQ94" s="18" t="n">
        <x:f>'两日价格与决策'!AQ190</x:f>
        <x:v>4.9741</x:v>
      </x:c>
      <x:c r="AR94" s="21" t="n">
        <x:f>'两日价格与决策'!AR190</x:f>
        <x:v>45657</x:v>
      </x:c>
      <x:c r="AS94" s="17" t="n">
        <x:f>'两日价格与决策'!AS190</x:f>
        <x:v>45659.822916666664</x:v>
      </x:c>
      <x:c r="AT94" s="18" t="str">
        <x:f>'两日价格与决策'!AT190</x:f>
        <x:v>2025-01-02_21</x:v>
      </x:c>
      <x:c r="AU94" s="19" t="n">
        <x:f>'两日价格与决策'!AU190</x:f>
        <x:v>60</x:v>
      </x:c>
      <x:c r="AV94" s="18" t="str">
        <x:f>'两日价格与决策'!AV190</x:f>
        <x:v>OK</x:v>
      </x:c>
    </x:row>
    <x:row r="95" ht="21" customHeight="1">
      <x:c r="A95" s="17" t="n">
        <x:f>'两日价格与决策'!A191</x:f>
        <x:v>45659.916666666664</x:v>
      </x:c>
      <x:c r="B95" s="23" t="n">
        <x:f>'两日价格与决策'!B191</x:f>
        <x:v>123.8</x:v>
      </x:c>
      <x:c r="C95" s="23" t="str">
        <x:f>'两日价格与决策'!C191</x:f>
        <x:v>缺失</x:v>
      </x:c>
      <x:c r="D95" s="23" t="n">
        <x:f>'两日价格与决策'!D191</x:f>
        <x:v>13.831647936310086</x:v>
      </x:c>
      <x:c r="E95" s="23" t="n">
        <x:f>'两日价格与决策'!E191</x:f>
        <x:v>14.710198829939085</x:v>
      </x:c>
      <x:c r="F95" s="23" t="n">
        <x:f>'两日价格与决策'!F191</x:f>
        <x:v>0</x:v>
      </x:c>
      <x:c r="G95" s="23" t="n">
        <x:f>'两日价格与决策'!G191</x:f>
        <x:v>-60.837538449166686</x:v>
      </x:c>
      <x:c r="H95" s="23" t="str">
        <x:f>'两日价格与决策'!H191</x:f>
        <x:v>未模拟</x:v>
      </x:c>
      <x:c r="I95" s="24" t="n">
        <x:f>'两日价格与决策'!I191</x:f>
        <x:v>24.01132793042656</x:v>
      </x:c>
      <x:c r="J95" s="24" t="n">
        <x:f>'两日价格与决策'!J191</x:f>
        <x:v>19.624577356513527</x:v>
      </x:c>
      <x:c r="K95" s="24" t="n">
        <x:f>'两日价格与决策'!K191</x:f>
        <x:v>30.999999999999964</x:v>
      </x:c>
      <x:c r="L95" s="24" t="n">
        <x:f>'两日价格与决策'!L191</x:f>
        <x:v>0</x:v>
      </x:c>
      <x:c r="M95" s="24" t="n">
        <x:f>'两日价格与决策'!M191</x:f>
        <x:v>69</x:v>
      </x:c>
      <x:c r="N95" s="24" t="n">
        <x:f>'两日价格与决策'!N191</x:f>
        <x:v>100</x:v>
      </x:c>
      <x:c r="O95" s="24" t="n">
        <x:f>'两日价格与决策'!O191</x:f>
        <x:v>0</x:v>
      </x:c>
      <x:c r="P95" s="24" t="n">
        <x:f>'两日价格与决策'!P191</x:f>
        <x:v>4.1545</x:v>
      </x:c>
      <x:c r="Q95" s="25" t="n">
        <x:f>'两日价格与决策'!Q191</x:f>
        <x:v>959.4499999999989</x:v>
      </x:c>
      <x:c r="R95" s="25" t="n">
        <x:f>'两日价格与决策'!R191</x:f>
        <x:v>0</x:v>
      </x:c>
      <x:c r="S95" s="25" t="n">
        <x:f>'两日价格与决策'!S191</x:f>
        <x:v>238.59592690134897</x:v>
      </x:c>
      <x:c r="T95" s="25" t="n">
        <x:f>'两日价格与决策'!T191</x:f>
        <x:v>367.7549707484771</x:v>
      </x:c>
      <x:c r="U95" s="25" t="n">
        <x:f>'两日价格与决策'!U191</x:f>
        <x:v>0</x:v>
      </x:c>
      <x:c r="V95" s="25" t="n">
        <x:f>'两日价格与决策'!V191</x:f>
        <x:v>252.74955348706297</x:v>
      </x:c>
      <x:c r="W95" s="25" t="n">
        <x:f>'两日价格与决策'!W191</x:f>
        <x:v>1818.550451136888</x:v>
      </x:c>
      <x:c r="X95" s="18" t="n">
        <x:f>'两日价格与决策'!X191</x:f>
        <x:v>1818.550451136888</x:v>
      </x:c>
      <x:c r="Y95" s="18" t="n">
        <x:f>'两日价格与决策'!Y191</x:f>
        <x:v>0</x:v>
      </x:c>
      <x:c r="Z95" s="18" t="str">
        <x:f>"1月2日执行｜前窗冻结订单"</x:f>
        <x:v>1月2日执行｜前窗冻结订单</x:v>
      </x:c>
      <x:c r="AA95" s="19" t="n">
        <x:f>'两日价格与决策'!AA191</x:f>
        <x:v>1</x:v>
      </x:c>
      <x:c r="AB95" s="19" t="n">
        <x:f>'两日价格与决策'!AB191</x:f>
        <x:v>0</x:v>
      </x:c>
      <x:c r="AC95" s="18" t="n">
        <x:f>'两日价格与决策'!AC191</x:f>
        <x:v>0.25</x:v>
      </x:c>
      <x:c r="AD95" s="20" t="n">
        <x:f>'两日价格与决策'!AD191</x:f>
        <x:v>1</x:v>
      </x:c>
      <x:c r="AE95" s="20" t="n">
        <x:f>'两日价格与决策'!AE191</x:f>
        <x:v>0</x:v>
      </x:c>
      <x:c r="AF95" s="20" t="n">
        <x:f>'两日价格与决策'!AF191</x:f>
        <x:v>0.16618</x:v>
      </x:c>
      <x:c r="AG95" s="18" t="n">
        <x:f>'两日价格与决策'!AG191</x:f>
        <x:v>200</x:v>
      </x:c>
      <x:c r="AH95" s="18" t="n">
        <x:f>'两日价格与决策'!AH191</x:f>
        <x:v>200</x:v>
      </x:c>
      <x:c r="AI95" s="18" t="n">
        <x:f>'两日价格与决策'!AI191</x:f>
        <x:v>0</x:v>
      </x:c>
      <x:c r="AJ95" s="18" t="n">
        <x:f>'两日价格与决策'!AJ191</x:f>
        <x:v>8.309</x:v>
      </x:c>
      <x:c r="AK95" s="18" t="str">
        <x:f>'两日价格与决策'!AK191</x:f>
        <x:v>缺失</x:v>
      </x:c>
      <x:c r="AL95" s="18" t="n">
        <x:f>'两日价格与决策'!AL191</x:f>
        <x:v>0.02683695492753621</x:v>
      </x:c>
      <x:c r="AM95" s="18" t="n">
        <x:f>'两日价格与决策'!AM191</x:f>
        <x:v>2.866605000000001</x:v>
      </x:c>
      <x:c r="AN95" s="18" t="n">
        <x:f>'两日价格与决策'!AN191</x:f>
        <x:v>6.462104999999992</x:v>
      </x:c>
      <x:c r="AO95" s="18" t="n">
        <x:f>'两日价格与决策'!AO191</x:f>
        <x:v>19.624577356513534</x:v>
      </x:c>
      <x:c r="AP95" s="18" t="n">
        <x:f>'两日价格与决策'!AP191</x:f>
        <x:v>7.105427357601002e-15</x:v>
      </x:c>
      <x:c r="AQ95" s="18" t="n">
        <x:f>'两日价格与决策'!AQ191</x:f>
        <x:v>4.9741</x:v>
      </x:c>
      <x:c r="AR95" s="21" t="n">
        <x:f>'两日价格与决策'!AR191</x:f>
        <x:v>45657</x:v>
      </x:c>
      <x:c r="AS95" s="17" t="n">
        <x:f>'两日价格与决策'!AS191</x:f>
        <x:v>45659.833333333336</x:v>
      </x:c>
      <x:c r="AT95" s="18" t="str">
        <x:f>'两日价格与决策'!AT191</x:f>
        <x:v>2025-01-02_22</x:v>
      </x:c>
      <x:c r="AU95" s="19" t="n">
        <x:f>'两日价格与决策'!AU191</x:f>
        <x:v>60</x:v>
      </x:c>
      <x:c r="AV95" s="18" t="str">
        <x:f>'两日价格与决策'!AV191</x:f>
        <x:v>OK</x:v>
      </x:c>
    </x:row>
    <x:row r="96" ht="21" customHeight="1">
      <x:c r="A96" s="17" t="n">
        <x:f>'两日价格与决策'!A192</x:f>
        <x:v>45659.927083333336</x:v>
      </x:c>
      <x:c r="B96" s="23" t="n">
        <x:f>'两日价格与决策'!B192</x:f>
        <x:v>123.8</x:v>
      </x:c>
      <x:c r="C96" s="23" t="str">
        <x:f>'两日价格与决策'!C192</x:f>
        <x:v>缺失</x:v>
      </x:c>
      <x:c r="D96" s="23" t="n">
        <x:f>'两日价格与决策'!D192</x:f>
        <x:v>13.831647936310086</x:v>
      </x:c>
      <x:c r="E96" s="23" t="n">
        <x:f>'两日价格与决策'!E192</x:f>
        <x:v>14.710198829939085</x:v>
      </x:c>
      <x:c r="F96" s="23" t="n">
        <x:f>'两日价格与决策'!F192</x:f>
        <x:v>0</x:v>
      </x:c>
      <x:c r="G96" s="23" t="n">
        <x:f>'两日价格与决策'!G192</x:f>
        <x:v>12.475824772320621</x:v>
      </x:c>
      <x:c r="H96" s="23" t="str">
        <x:f>'两日价格与决策'!H192</x:f>
        <x:v>未模拟</x:v>
      </x:c>
      <x:c r="I96" s="24" t="n">
        <x:f>'两日价格与决策'!I192</x:f>
        <x:v>19.624577356513527</x:v>
      </x:c>
      <x:c r="J96" s="24" t="n">
        <x:f>'两日价格与决策'!J192</x:f>
        <x:v>13.491580313035275</x:v>
      </x:c>
      <x:c r="K96" s="24" t="n">
        <x:f>'两日价格与决策'!K192</x:f>
        <x:v>30.999999999999964</x:v>
      </x:c>
      <x:c r="L96" s="24" t="n">
        <x:f>'两日价格与决策'!L192</x:f>
        <x:v>0</x:v>
      </x:c>
      <x:c r="M96" s="24" t="n">
        <x:f>'两日价格与决策'!M192</x:f>
        <x:v>69</x:v>
      </x:c>
      <x:c r="N96" s="24" t="n">
        <x:f>'两日价格与决策'!N192</x:f>
        <x:v>100</x:v>
      </x:c>
      <x:c r="O96" s="24" t="n">
        <x:f>'两日价格与决策'!O192</x:f>
        <x:v>0</x:v>
      </x:c>
      <x:c r="P96" s="24" t="n">
        <x:f>'两日价格与决策'!P192</x:f>
        <x:v>2.3575</x:v>
      </x:c>
      <x:c r="Q96" s="25" t="n">
        <x:f>'两日价格与决策'!Q192</x:f>
        <x:v>959.4499999999989</x:v>
      </x:c>
      <x:c r="R96" s="25" t="n">
        <x:f>'两日价格与决策'!R192</x:f>
        <x:v>0</x:v>
      </x:c>
      <x:c r="S96" s="25" t="n">
        <x:f>'两日价格与决策'!S192</x:f>
        <x:v>238.59592690134897</x:v>
      </x:c>
      <x:c r="T96" s="25" t="n">
        <x:f>'两日价格与决策'!T192</x:f>
        <x:v>367.7549707484771</x:v>
      </x:c>
      <x:c r="U96" s="25" t="n">
        <x:f>'两日价格与决策'!U192</x:f>
        <x:v>0</x:v>
      </x:c>
      <x:c r="V96" s="25" t="n">
        <x:f>'两日价格与决策'!V192</x:f>
        <x:v>-29.411756900745864</x:v>
      </x:c>
      <x:c r="W96" s="25" t="n">
        <x:f>'两日价格与决策'!W192</x:f>
        <x:v>1536.3891407490792</x:v>
      </x:c>
      <x:c r="X96" s="18" t="n">
        <x:f>'两日价格与决策'!X192</x:f>
        <x:v>1536.3891407490792</x:v>
      </x:c>
      <x:c r="Y96" s="18" t="n">
        <x:f>'两日价格与决策'!Y192</x:f>
        <x:v>0</x:v>
      </x:c>
      <x:c r="Z96" s="18" t="str">
        <x:f>"1月2日执行｜前窗冻结订单"</x:f>
        <x:v>1月2日执行｜前窗冻结订单</x:v>
      </x:c>
      <x:c r="AA96" s="19" t="n">
        <x:f>'两日价格与决策'!AA192</x:f>
        <x:v>1</x:v>
      </x:c>
      <x:c r="AB96" s="19" t="n">
        <x:f>'两日价格与决策'!AB192</x:f>
        <x:v>0</x:v>
      </x:c>
      <x:c r="AC96" s="18" t="n">
        <x:f>'两日价格与决策'!AC192</x:f>
        <x:v>0.25</x:v>
      </x:c>
      <x:c r="AD96" s="20" t="n">
        <x:f>'两日价格与决策'!AD192</x:f>
        <x:v>1</x:v>
      </x:c>
      <x:c r="AE96" s="20" t="n">
        <x:f>'两日价格与决策'!AE192</x:f>
        <x:v>0</x:v>
      </x:c>
      <x:c r="AF96" s="20" t="n">
        <x:f>'两日价格与决策'!AF192</x:f>
        <x:v>0.0943</x:v>
      </x:c>
      <x:c r="AG96" s="18" t="n">
        <x:f>'两日价格与决策'!AG192</x:f>
        <x:v>200</x:v>
      </x:c>
      <x:c r="AH96" s="18" t="n">
        <x:f>'两日价格与决策'!AH192</x:f>
        <x:v>200</x:v>
      </x:c>
      <x:c r="AI96" s="18" t="n">
        <x:f>'两日价格与决策'!AI192</x:f>
        <x:v>0</x:v>
      </x:c>
      <x:c r="AJ96" s="18" t="n">
        <x:f>'两日价格与决策'!AJ192</x:f>
        <x:v>4.715</x:v>
      </x:c>
      <x:c r="AK96" s="18" t="str">
        <x:f>'两日价格与决策'!AK192</x:f>
        <x:v>缺失</x:v>
      </x:c>
      <x:c r="AL96" s="18" t="n">
        <x:f>'两日价格与决策'!AL192</x:f>
        <x:v>0.025350219565217366</x:v>
      </x:c>
      <x:c r="AM96" s="18" t="n">
        <x:f>'两日价格与决策'!AM192</x:f>
        <x:v>1.6266750000000005</x:v>
      </x:c>
      <x:c r="AN96" s="18" t="n">
        <x:f>'两日价格与决策'!AN192</x:f>
        <x:v>7.019174999999992</x:v>
      </x:c>
      <x:c r="AO96" s="18" t="n">
        <x:f>'两日价格与决策'!AO192</x:f>
        <x:v>13.491580313035282</x:v>
      </x:c>
      <x:c r="AP96" s="18" t="n">
        <x:f>'两日价格与决策'!AP192</x:f>
        <x:v>7.105427357601002e-15</x:v>
      </x:c>
      <x:c r="AQ96" s="18" t="n">
        <x:f>'两日价格与决策'!AQ192</x:f>
        <x:v>4.9741</x:v>
      </x:c>
      <x:c r="AR96" s="21" t="n">
        <x:f>'两日价格与决策'!AR192</x:f>
        <x:v>45657</x:v>
      </x:c>
      <x:c r="AS96" s="17" t="n">
        <x:f>'两日价格与决策'!AS192</x:f>
        <x:v>45659.84375</x:v>
      </x:c>
      <x:c r="AT96" s="18" t="str">
        <x:f>'两日价格与决策'!AT192</x:f>
        <x:v>2025-01-02_22</x:v>
      </x:c>
      <x:c r="AU96" s="19" t="n">
        <x:f>'两日价格与决策'!AU192</x:f>
        <x:v>60</x:v>
      </x:c>
      <x:c r="AV96" s="18" t="str">
        <x:f>'两日价格与决策'!AV192</x:f>
        <x:v>OK</x:v>
      </x:c>
    </x:row>
    <x:row r="97" ht="21" customHeight="1">
      <x:c r="A97" s="17" t="n">
        <x:f>'两日价格与决策'!A193</x:f>
        <x:v>45659.9375</x:v>
      </x:c>
      <x:c r="B97" s="23" t="n">
        <x:f>'两日价格与决策'!B193</x:f>
        <x:v>123.8</x:v>
      </x:c>
      <x:c r="C97" s="23" t="str">
        <x:f>'两日价格与决策'!C193</x:f>
        <x:v>缺失</x:v>
      </x:c>
      <x:c r="D97" s="23" t="n">
        <x:f>'两日价格与决策'!D193</x:f>
        <x:v>13.831647936310086</x:v>
      </x:c>
      <x:c r="E97" s="23" t="n">
        <x:f>'两日价格与决策'!E193</x:f>
        <x:v>14.710198829939085</x:v>
      </x:c>
      <x:c r="F97" s="23" t="n">
        <x:f>'两日价格与决策'!F193</x:f>
        <x:v>0</x:v>
      </x:c>
      <x:c r="G97" s="23" t="n">
        <x:f>'两日价格与决策'!G193</x:f>
        <x:v>8.356285559196639</x:v>
      </x:c>
      <x:c r="H97" s="23" t="str">
        <x:f>'两日价格与决策'!H193</x:f>
        <x:v>未模拟</x:v>
      </x:c>
      <x:c r="I97" s="24" t="n">
        <x:f>'两日价格与决策'!I193</x:f>
        <x:v>13.491580313035275</x:v>
      </x:c>
      <x:c r="J97" s="24" t="n">
        <x:f>'两日价格与决策'!J193</x:f>
        <x:v>10.509503791296153</x:v>
      </x:c>
      <x:c r="K97" s="24" t="n">
        <x:f>'两日价格与决策'!K193</x:f>
        <x:v>30.999999999999964</x:v>
      </x:c>
      <x:c r="L97" s="24" t="n">
        <x:f>'两日价格与决策'!L193</x:f>
        <x:v>0</x:v>
      </x:c>
      <x:c r="M97" s="24" t="n">
        <x:f>'两日价格与决策'!M193</x:f>
        <x:v>69</x:v>
      </x:c>
      <x:c r="N97" s="24" t="n">
        <x:f>'两日价格与决策'!N193</x:f>
        <x:v>100</x:v>
      </x:c>
      <x:c r="O97" s="24" t="n">
        <x:f>'两日价格与决策'!O193</x:f>
        <x:v>0</x:v>
      </x:c>
      <x:c r="P97" s="24" t="n">
        <x:f>'两日价格与决策'!P193</x:f>
        <x:v>5.6</x:v>
      </x:c>
      <x:c r="Q97" s="25" t="n">
        <x:f>'两日价格与决策'!Q193</x:f>
        <x:v>959.4499999999989</x:v>
      </x:c>
      <x:c r="R97" s="25" t="n">
        <x:f>'两日价格与决策'!R193</x:f>
        <x:v>0</x:v>
      </x:c>
      <x:c r="S97" s="25" t="n">
        <x:f>'两日价格与决策'!S193</x:f>
        <x:v>238.59592690134897</x:v>
      </x:c>
      <x:c r="T97" s="25" t="n">
        <x:f>'两日价格与决策'!T193</x:f>
        <x:v>367.7549707484771</x:v>
      </x:c>
      <x:c r="U97" s="25" t="n">
        <x:f>'两日价格与决策'!U193</x:f>
        <x:v>0</x:v>
      </x:c>
      <x:c r="V97" s="25" t="n">
        <x:f>'两日价格与决策'!V193</x:f>
        <x:v>-46.79519913150118</x:v>
      </x:c>
      <x:c r="W97" s="25" t="n">
        <x:f>'两日价格与决策'!W193</x:f>
        <x:v>1519.0056985183237</x:v>
      </x:c>
      <x:c r="X97" s="18" t="n">
        <x:f>'两日价格与决策'!X193</x:f>
        <x:v>1519.0056985183237</x:v>
      </x:c>
      <x:c r="Y97" s="18" t="n">
        <x:f>'两日价格与决策'!Y193</x:f>
        <x:v>0</x:v>
      </x:c>
      <x:c r="Z97" s="18" t="str">
        <x:f>"1月2日执行｜前窗冻结订单"</x:f>
        <x:v>1月2日执行｜前窗冻结订单</x:v>
      </x:c>
      <x:c r="AA97" s="19" t="n">
        <x:f>'两日价格与决策'!AA193</x:f>
        <x:v>1</x:v>
      </x:c>
      <x:c r="AB97" s="19" t="n">
        <x:f>'两日价格与决策'!AB193</x:f>
        <x:v>0</x:v>
      </x:c>
      <x:c r="AC97" s="18" t="n">
        <x:f>'两日价格与决策'!AC193</x:f>
        <x:v>0.25</x:v>
      </x:c>
      <x:c r="AD97" s="20" t="n">
        <x:f>'两日价格与决策'!AD193</x:f>
        <x:v>1</x:v>
      </x:c>
      <x:c r="AE97" s="20" t="n">
        <x:f>'两日价格与决策'!AE193</x:f>
        <x:v>0</x:v>
      </x:c>
      <x:c r="AF97" s="20" t="n">
        <x:f>'两日价格与决策'!AF193</x:f>
        <x:v>0.22399999999999998</x:v>
      </x:c>
      <x:c r="AG97" s="18" t="n">
        <x:f>'两日价格与决策'!AG193</x:f>
        <x:v>200</x:v>
      </x:c>
      <x:c r="AH97" s="18" t="n">
        <x:f>'两日价格与决策'!AH193</x:f>
        <x:v>200</x:v>
      </x:c>
      <x:c r="AI97" s="18" t="n">
        <x:f>'两日价格与决策'!AI193</x:f>
        <x:v>0</x:v>
      </x:c>
      <x:c r="AJ97" s="18" t="n">
        <x:f>'两日价格与决策'!AJ193</x:f>
        <x:v>11.2</x:v>
      </x:c>
      <x:c r="AK97" s="18" t="str">
        <x:f>'两日价格与决策'!AK193</x:f>
        <x:v>缺失</x:v>
      </x:c>
      <x:c r="AL97" s="18" t="n">
        <x:f>'两日价格与决策'!AL193</x:f>
        <x:v>0.028032879227053123</x:v>
      </x:c>
      <x:c r="AM97" s="18" t="n">
        <x:f>'两日价格与决策'!AM193</x:f>
        <x:v>3.864000000000001</x:v>
      </x:c>
      <x:c r="AN97" s="18" t="n">
        <x:f>'两日价格与决策'!AN193</x:f>
        <x:v>6.013999999999993</x:v>
      </x:c>
      <x:c r="AO97" s="18" t="n">
        <x:f>'两日价格与决策'!AO193</x:f>
        <x:v>10.50950379129616</x:v>
      </x:c>
      <x:c r="AP97" s="18" t="n">
        <x:f>'两日价格与决策'!AP193</x:f>
        <x:v>7.105427357601002e-15</x:v>
      </x:c>
      <x:c r="AQ97" s="18" t="n">
        <x:f>'两日价格与决策'!AQ193</x:f>
        <x:v>4.9741</x:v>
      </x:c>
      <x:c r="AR97" s="21" t="n">
        <x:f>'两日价格与决策'!AR193</x:f>
        <x:v>45657</x:v>
      </x:c>
      <x:c r="AS97" s="17" t="n">
        <x:f>'两日价格与决策'!AS193</x:f>
        <x:v>45659.854166666664</x:v>
      </x:c>
      <x:c r="AT97" s="18" t="str">
        <x:f>'两日价格与决策'!AT193</x:f>
        <x:v>2025-01-02_22</x:v>
      </x:c>
      <x:c r="AU97" s="19" t="n">
        <x:f>'两日价格与决策'!AU193</x:f>
        <x:v>60</x:v>
      </x:c>
      <x:c r="AV97" s="18" t="str">
        <x:f>'两日价格与决策'!AV193</x:f>
        <x:v>OK</x:v>
      </x:c>
    </x:row>
    <x:row r="98" ht="21" customHeight="1">
      <x:c r="A98" s="17" t="n">
        <x:f>'两日价格与决策'!A194</x:f>
        <x:v>45659.947916666664</x:v>
      </x:c>
      <x:c r="B98" s="23" t="n">
        <x:f>'两日价格与决策'!B194</x:f>
        <x:v>123.8</x:v>
      </x:c>
      <x:c r="C98" s="23" t="str">
        <x:f>'两日价格与决策'!C194</x:f>
        <x:v>缺失</x:v>
      </x:c>
      <x:c r="D98" s="23" t="n">
        <x:f>'两日价格与决策'!D194</x:f>
        <x:v>13.831647936310086</x:v>
      </x:c>
      <x:c r="E98" s="23" t="n">
        <x:f>'两日价格与决策'!E194</x:f>
        <x:v>14.710198829939085</x:v>
      </x:c>
      <x:c r="F98" s="23" t="n">
        <x:f>'两日价格与决策'!F194</x:f>
        <x:v>0</x:v>
      </x:c>
      <x:c r="G98" s="23" t="n">
        <x:f>'两日价格与决策'!G194</x:f>
        <x:v>0.35624535091775394</x:v>
      </x:c>
      <x:c r="H98" s="23" t="str">
        <x:f>'两日价格与决策'!H194</x:f>
        <x:v>未模拟</x:v>
      </x:c>
      <x:c r="I98" s="24" t="n">
        <x:f>'两日价格与决策'!I194</x:f>
        <x:v>10.509503791296153</x:v>
      </x:c>
      <x:c r="J98" s="24" t="n">
        <x:f>'两日价格与决策'!J194</x:f>
        <x:v>12.460063373904859</x:v>
      </x:c>
      <x:c r="K98" s="24" t="n">
        <x:f>'两日价格与决策'!K194</x:f>
        <x:v>30.999999999999964</x:v>
      </x:c>
      <x:c r="L98" s="24" t="n">
        <x:f>'两日价格与决策'!L194</x:f>
        <x:v>0</x:v>
      </x:c>
      <x:c r="M98" s="24" t="n">
        <x:f>'两日价格与决策'!M194</x:f>
        <x:v>69</x:v>
      </x:c>
      <x:c r="N98" s="24" t="n">
        <x:f>'两日价格与决策'!N194</x:f>
        <x:v>100</x:v>
      </x:c>
      <x:c r="O98" s="24" t="n">
        <x:f>'两日价格与决策'!O194</x:f>
        <x:v>0</x:v>
      </x:c>
      <x:c r="P98" s="24" t="n">
        <x:f>'两日价格与决策'!P194</x:f>
        <x:v>10.676</x:v>
      </x:c>
      <x:c r="Q98" s="25" t="n">
        <x:f>'两日价格与决策'!Q194</x:f>
        <x:v>959.4499999999989</x:v>
      </x:c>
      <x:c r="R98" s="25" t="n">
        <x:f>'两日价格与决策'!R194</x:f>
        <x:v>0</x:v>
      </x:c>
      <x:c r="S98" s="25" t="n">
        <x:f>'两日价格与决策'!S194</x:f>
        <x:v>238.59592690134897</x:v>
      </x:c>
      <x:c r="T98" s="25" t="n">
        <x:f>'两日价格与决策'!T194</x:f>
        <x:v>367.7549707484771</x:v>
      </x:c>
      <x:c r="U98" s="25" t="n">
        <x:f>'两日价格与决策'!U194</x:f>
        <x:v>0</x:v>
      </x:c>
      <x:c r="V98" s="25" t="n">
        <x:f>'两日价格与决策'!V194</x:f>
        <x:v>-3.803275366397941</x:v>
      </x:c>
      <x:c r="W98" s="25" t="n">
        <x:f>'两日价格与决策'!W194</x:f>
        <x:v>1561.997622283427</x:v>
      </x:c>
      <x:c r="X98" s="18" t="n">
        <x:f>'两日价格与决策'!X194</x:f>
        <x:v>1561.997622283427</x:v>
      </x:c>
      <x:c r="Y98" s="18" t="n">
        <x:f>'两日价格与决策'!Y194</x:f>
        <x:v>0</x:v>
      </x:c>
      <x:c r="Z98" s="18" t="str">
        <x:f>"1月2日执行｜前窗冻结订单"</x:f>
        <x:v>1月2日执行｜前窗冻结订单</x:v>
      </x:c>
      <x:c r="AA98" s="19" t="n">
        <x:f>'两日价格与决策'!AA194</x:f>
        <x:v>1</x:v>
      </x:c>
      <x:c r="AB98" s="19" t="n">
        <x:f>'两日价格与决策'!AB194</x:f>
        <x:v>0</x:v>
      </x:c>
      <x:c r="AC98" s="18" t="n">
        <x:f>'两日价格与决策'!AC194</x:f>
        <x:v>0.25</x:v>
      </x:c>
      <x:c r="AD98" s="20" t="n">
        <x:f>'两日价格与决策'!AD194</x:f>
        <x:v>1</x:v>
      </x:c>
      <x:c r="AE98" s="20" t="n">
        <x:f>'两日价格与决策'!AE194</x:f>
        <x:v>0</x:v>
      </x:c>
      <x:c r="AF98" s="20" t="n">
        <x:f>'两日价格与决策'!AF194</x:f>
        <x:v>0.42704000000000003</x:v>
      </x:c>
      <x:c r="AG98" s="18" t="n">
        <x:f>'两日价格与决策'!AG194</x:f>
        <x:v>200</x:v>
      </x:c>
      <x:c r="AH98" s="18" t="n">
        <x:f>'两日价格与决策'!AH194</x:f>
        <x:v>200</x:v>
      </x:c>
      <x:c r="AI98" s="18" t="n">
        <x:f>'两日价格与决策'!AI194</x:f>
        <x:v>0</x:v>
      </x:c>
      <x:c r="AJ98" s="18" t="n">
        <x:f>'两日价格与决策'!AJ194</x:f>
        <x:v>21.352</x:v>
      </x:c>
      <x:c r="AK98" s="18" t="str">
        <x:f>'两日价格与决策'!AK194</x:f>
        <x:v>缺失</x:v>
      </x:c>
      <x:c r="AL98" s="18" t="n">
        <x:f>'两日价格与决策'!AL194</x:f>
        <x:v>0.032232472270531394</x:v>
      </x:c>
      <x:c r="AM98" s="18" t="n">
        <x:f>'两日价格与决策'!AM194</x:f>
        <x:v>7.366440000000003</x:v>
      </x:c>
      <x:c r="AN98" s="18" t="n">
        <x:f>'两日价格与决策'!AN194</x:f>
        <x:v>4.440439999999994</x:v>
      </x:c>
      <x:c r="AO98" s="18" t="n">
        <x:f>'两日价格与决策'!AO194</x:f>
        <x:v>12.460063373904866</x:v>
      </x:c>
      <x:c r="AP98" s="18" t="n">
        <x:f>'两日价格与决策'!AP194</x:f>
        <x:v>7.105427357601002e-15</x:v>
      </x:c>
      <x:c r="AQ98" s="18" t="n">
        <x:f>'两日价格与决策'!AQ194</x:f>
        <x:v>4.9741</x:v>
      </x:c>
      <x:c r="AR98" s="21" t="n">
        <x:f>'两日价格与决策'!AR194</x:f>
        <x:v>45657</x:v>
      </x:c>
      <x:c r="AS98" s="17" t="n">
        <x:f>'两日价格与决策'!AS194</x:f>
        <x:v>45659.864583333336</x:v>
      </x:c>
      <x:c r="AT98" s="18" t="str">
        <x:f>'两日价格与决策'!AT194</x:f>
        <x:v>2025-01-02_22</x:v>
      </x:c>
      <x:c r="AU98" s="19" t="n">
        <x:f>'两日价格与决策'!AU194</x:f>
        <x:v>60</x:v>
      </x:c>
      <x:c r="AV98" s="18" t="str">
        <x:f>'两日价格与决策'!AV194</x:f>
        <x:v>OK</x:v>
      </x:c>
    </x:row>
    <x:row r="99" ht="21" customHeight="1">
      <x:c r="A99" s="17" t="n">
        <x:f>'两日价格与决策'!A195</x:f>
        <x:v>45659.958333333336</x:v>
      </x:c>
      <x:c r="B99" s="23" t="n">
        <x:f>'两日价格与决策'!B195</x:f>
        <x:v>116.81</x:v>
      </x:c>
      <x:c r="C99" s="23" t="str">
        <x:f>'两日价格与决策'!C195</x:f>
        <x:v>缺失</x:v>
      </x:c>
      <x:c r="D99" s="23" t="n">
        <x:f>'两日价格与决策'!D195</x:f>
        <x:v>13.831647936310086</x:v>
      </x:c>
      <x:c r="E99" s="23" t="n">
        <x:f>'两日价格与决策'!E195</x:f>
        <x:v>14.710198829939085</x:v>
      </x:c>
      <x:c r="F99" s="23" t="n">
        <x:f>'两日价格与决策'!F195</x:f>
        <x:v>0</x:v>
      </x:c>
      <x:c r="G99" s="23" t="n">
        <x:f>'两日价格与决策'!G195</x:f>
        <x:v>21.54178645383084</x:v>
      </x:c>
      <x:c r="H99" s="23" t="str">
        <x:f>'两日价格与决策'!H195</x:f>
        <x:v>未模拟</x:v>
      </x:c>
      <x:c r="I99" s="24" t="n">
        <x:f>'两日价格与决策'!I195</x:f>
        <x:v>12.460063373904859</x:v>
      </x:c>
      <x:c r="J99" s="24" t="n">
        <x:f>'两日价格与决策'!J195</x:f>
        <x:v>15.117023373904859</x:v>
      </x:c>
      <x:c r="K99" s="24" t="n">
        <x:f>'两日价格与决策'!K195</x:f>
        <x:v>0</x:v>
      </x:c>
      <x:c r="L99" s="24" t="n">
        <x:f>'两日价格与决策'!L195</x:f>
        <x:v>0</x:v>
      </x:c>
      <x:c r="M99" s="24" t="n">
        <x:f>'两日价格与决策'!M195</x:f>
        <x:v>100</x:v>
      </x:c>
      <x:c r="N99" s="24" t="n">
        <x:f>'两日价格与决策'!N195</x:f>
        <x:v>100</x:v>
      </x:c>
      <x:c r="O99" s="24" t="n">
        <x:f>'两日价格与决策'!O195</x:f>
        <x:v>0</x:v>
      </x:c>
      <x:c r="P99" s="24" t="n">
        <x:f>'两日价格与决策'!P195</x:f>
        <x:v>2.888</x:v>
      </x:c>
      <x:c r="Q99" s="25" t="n">
        <x:f>'两日价格与决策'!Q195</x:f>
        <x:v>0</x:v>
      </x:c>
      <x:c r="R99" s="25" t="n">
        <x:f>'两日价格与决策'!R195</x:f>
        <x:v>0</x:v>
      </x:c>
      <x:c r="S99" s="25" t="n">
        <x:f>'两日价格与决策'!S195</x:f>
        <x:v>345.7911984077521</x:v>
      </x:c>
      <x:c r="T99" s="25" t="n">
        <x:f>'两日价格与决策'!T195</x:f>
        <x:v>367.7549707484771</x:v>
      </x:c>
      <x:c r="U99" s="25" t="n">
        <x:f>'两日价格与决策'!U195</x:f>
        <x:v>0</x:v>
      </x:c>
      <x:c r="V99" s="25" t="n">
        <x:f>'两日价格与决策'!V195</x:f>
        <x:v>-62.212679278663465</x:v>
      </x:c>
      <x:c r="W99" s="25" t="n">
        <x:f>'两日价格与决策'!W195</x:f>
        <x:v>651.3334898775657</x:v>
      </x:c>
      <x:c r="X99" s="18" t="n">
        <x:f>'两日价格与决策'!X195</x:f>
        <x:v>651.3334898775657</x:v>
      </x:c>
      <x:c r="Y99" s="18" t="n">
        <x:f>'两日价格与决策'!Y195</x:f>
        <x:v>0</x:v>
      </x:c>
      <x:c r="Z99" s="18" t="str">
        <x:f>"1月2日执行｜前窗冻结订单"</x:f>
        <x:v>1月2日执行｜前窗冻结订单</x:v>
      </x:c>
      <x:c r="AA99" s="19" t="n">
        <x:f>'两日价格与决策'!AA195</x:f>
        <x:v>1</x:v>
      </x:c>
      <x:c r="AB99" s="19" t="n">
        <x:f>'两日价格与决策'!AB195</x:f>
        <x:v>0</x:v>
      </x:c>
      <x:c r="AC99" s="18" t="n">
        <x:f>'两日价格与决策'!AC195</x:f>
        <x:v>0.25</x:v>
      </x:c>
      <x:c r="AD99" s="20" t="n">
        <x:f>'两日价格与决策'!AD195</x:f>
        <x:v>1</x:v>
      </x:c>
      <x:c r="AE99" s="20" t="n">
        <x:f>'两日价格与决策'!AE195</x:f>
        <x:v>0</x:v>
      </x:c>
      <x:c r="AF99" s="20" t="n">
        <x:f>'两日价格与决策'!AF195</x:f>
        <x:v>0.11552</x:v>
      </x:c>
      <x:c r="AG99" s="18" t="n">
        <x:f>'两日价格与决策'!AG195</x:f>
        <x:v>200</x:v>
      </x:c>
      <x:c r="AH99" s="18" t="n">
        <x:f>'两日价格与决策'!AH195</x:f>
        <x:v>200</x:v>
      </x:c>
      <x:c r="AI99" s="18" t="n">
        <x:f>'两日价格与决策'!AI195</x:f>
        <x:v>0</x:v>
      </x:c>
      <x:c r="AJ99" s="18" t="n">
        <x:f>'两日价格与决策'!AJ195</x:f>
        <x:v>5.776</x:v>
      </x:c>
      <x:c r="AK99" s="18" t="str">
        <x:f>'两日价格与决策'!AK195</x:f>
        <x:v>缺失</x:v>
      </x:c>
      <x:c r="AL99" s="18" t="n">
        <x:f>'两日价格与决策'!AL195</x:f>
        <x:v>0.007380444444444444</x:v>
      </x:c>
      <x:c r="AM99" s="18" t="n">
        <x:f>'两日价格与决策'!AM195</x:f>
        <x:v>2.888</x:v>
      </x:c>
      <x:c r="AN99" s="18" t="n">
        <x:f>'两日价格与决策'!AN195</x:f>
        <x:v>0</x:v>
      </x:c>
      <x:c r="AO99" s="18" t="n">
        <x:f>'两日价格与决策'!AO195</x:f>
        <x:v>15.117023373904866</x:v>
      </x:c>
      <x:c r="AP99" s="18" t="n">
        <x:f>'两日价格与决策'!AP195</x:f>
        <x:v>7.105427357601002e-15</x:v>
      </x:c>
      <x:c r="AQ99" s="18" t="n">
        <x:f>'两日价格与决策'!AQ195</x:f>
        <x:v>4.9741</x:v>
      </x:c>
      <x:c r="AR99" s="21" t="n">
        <x:f>'两日价格与决策'!AR195</x:f>
        <x:v>45657</x:v>
      </x:c>
      <x:c r="AS99" s="17" t="n">
        <x:f>'两日价格与决策'!AS195</x:f>
        <x:v>45659.875</x:v>
      </x:c>
      <x:c r="AT99" s="18" t="str">
        <x:f>'两日价格与决策'!AT195</x:f>
        <x:v>2025-01-02_23</x:v>
      </x:c>
      <x:c r="AU99" s="19" t="n">
        <x:f>'两日价格与决策'!AU195</x:f>
        <x:v>60</x:v>
      </x:c>
      <x:c r="AV99" s="18" t="str">
        <x:f>'两日价格与决策'!AV195</x:f>
        <x:v>OK</x:v>
      </x:c>
    </x:row>
    <x:row r="100" ht="21" customHeight="1">
      <x:c r="A100" s="17" t="n">
        <x:f>'两日价格与决策'!A196</x:f>
        <x:v>45659.96875</x:v>
      </x:c>
      <x:c r="B100" s="23" t="n">
        <x:f>'两日价格与决策'!B196</x:f>
        <x:v>116.81</x:v>
      </x:c>
      <x:c r="C100" s="23" t="str">
        <x:f>'两日价格与决策'!C196</x:f>
        <x:v>缺失</x:v>
      </x:c>
      <x:c r="D100" s="23" t="n">
        <x:f>'两日价格与决策'!D196</x:f>
        <x:v>13.831647936310086</x:v>
      </x:c>
      <x:c r="E100" s="23" t="n">
        <x:f>'两日价格与决策'!E196</x:f>
        <x:v>14.710198829939085</x:v>
      </x:c>
      <x:c r="F100" s="23" t="n">
        <x:f>'两日价格与决策'!F196</x:f>
        <x:v>0</x:v>
      </x:c>
      <x:c r="G100" s="23" t="n">
        <x:f>'两日价格与决策'!G196</x:f>
        <x:v>23.30773406244346</x:v>
      </x:c>
      <x:c r="H100" s="23" t="str">
        <x:f>'两日价格与决策'!H196</x:f>
        <x:v>未模拟</x:v>
      </x:c>
      <x:c r="I100" s="24" t="n">
        <x:f>'两日价格与决策'!I196</x:f>
        <x:v>15.117023373904859</x:v>
      </x:c>
      <x:c r="J100" s="24" t="n">
        <x:f>'两日价格与决策'!J196</x:f>
        <x:v>17.54628337390486</x:v>
      </x:c>
      <x:c r="K100" s="24" t="n">
        <x:f>'两日价格与决策'!K196</x:f>
        <x:v>0</x:v>
      </x:c>
      <x:c r="L100" s="24" t="n">
        <x:f>'两日价格与决策'!L196</x:f>
        <x:v>0</x:v>
      </x:c>
      <x:c r="M100" s="24" t="n">
        <x:f>'两日价格与决策'!M196</x:f>
        <x:v>100</x:v>
      </x:c>
      <x:c r="N100" s="24" t="n">
        <x:f>'两日价格与决策'!N196</x:f>
        <x:v>100</x:v>
      </x:c>
      <x:c r="O100" s="24" t="n">
        <x:f>'两日价格与决策'!O196</x:f>
        <x:v>0</x:v>
      </x:c>
      <x:c r="P100" s="24" t="n">
        <x:f>'两日价格与决策'!P196</x:f>
        <x:v>2.6405</x:v>
      </x:c>
      <x:c r="Q100" s="25" t="n">
        <x:f>'两日价格与决策'!Q196</x:f>
        <x:v>0</x:v>
      </x:c>
      <x:c r="R100" s="25" t="n">
        <x:f>'两日价格与决策'!R196</x:f>
        <x:v>0</x:v>
      </x:c>
      <x:c r="S100" s="25" t="n">
        <x:f>'两日价格与决策'!S196</x:f>
        <x:v>345.7911984077521</x:v>
      </x:c>
      <x:c r="T100" s="25" t="n">
        <x:f>'两日价格与决策'!T196</x:f>
        <x:v>367.7549707484771</x:v>
      </x:c>
      <x:c r="U100" s="25" t="n">
        <x:f>'两日价格与决策'!U196</x:f>
        <x:v>0</x:v>
      </x:c>
      <x:c r="V100" s="25" t="n">
        <x:f>'两日价格与决策'!V196</x:f>
        <x:v>-61.54407179188195</x:v>
      </x:c>
      <x:c r="W100" s="25" t="n">
        <x:f>'两日价格与决策'!W196</x:f>
        <x:v>652.0020973643473</x:v>
      </x:c>
      <x:c r="X100" s="18" t="n">
        <x:f>'两日价格与决策'!X196</x:f>
        <x:v>652.0020973643473</x:v>
      </x:c>
      <x:c r="Y100" s="18" t="n">
        <x:f>'两日价格与决策'!Y196</x:f>
        <x:v>0</x:v>
      </x:c>
      <x:c r="Z100" s="18" t="str">
        <x:f>"1月2日执行｜前窗冻结订单"</x:f>
        <x:v>1月2日执行｜前窗冻结订单</x:v>
      </x:c>
      <x:c r="AA100" s="19" t="n">
        <x:f>'两日价格与决策'!AA196</x:f>
        <x:v>1</x:v>
      </x:c>
      <x:c r="AB100" s="19" t="n">
        <x:f>'两日价格与决策'!AB196</x:f>
        <x:v>0</x:v>
      </x:c>
      <x:c r="AC100" s="18" t="n">
        <x:f>'两日价格与决策'!AC196</x:f>
        <x:v>0.25</x:v>
      </x:c>
      <x:c r="AD100" s="20" t="n">
        <x:f>'两日价格与决策'!AD196</x:f>
        <x:v>1</x:v>
      </x:c>
      <x:c r="AE100" s="20" t="n">
        <x:f>'两日价格与决策'!AE196</x:f>
        <x:v>0</x:v>
      </x:c>
      <x:c r="AF100" s="20" t="n">
        <x:f>'两日价格与决策'!AF196</x:f>
        <x:v>0.10561999999999999</x:v>
      </x:c>
      <x:c r="AG100" s="18" t="n">
        <x:f>'两日价格与决策'!AG196</x:f>
        <x:v>200</x:v>
      </x:c>
      <x:c r="AH100" s="18" t="n">
        <x:f>'两日价格与决策'!AH196</x:f>
        <x:v>200</x:v>
      </x:c>
      <x:c r="AI100" s="18" t="n">
        <x:f>'两日价格与决策'!AI196</x:f>
        <x:v>0</x:v>
      </x:c>
      <x:c r="AJ100" s="18" t="n">
        <x:f>'两日价格与决策'!AJ196</x:f>
        <x:v>5.281</x:v>
      </x:c>
      <x:c r="AK100" s="18" t="str">
        <x:f>'两日价格与决策'!AK196</x:f>
        <x:v>缺失</x:v>
      </x:c>
      <x:c r="AL100" s="18" t="n">
        <x:f>'两日价格与决策'!AL196</x:f>
        <x:v>0.0067479444444444436</x:v>
      </x:c>
      <x:c r="AM100" s="18" t="n">
        <x:f>'两日价格与决策'!AM196</x:f>
        <x:v>2.6405</x:v>
      </x:c>
      <x:c r="AN100" s="18" t="n">
        <x:f>'两日价格与决策'!AN196</x:f>
        <x:v>0</x:v>
      </x:c>
      <x:c r="AO100" s="18" t="n">
        <x:f>'两日价格与决策'!AO196</x:f>
        <x:v>17.546283373904867</x:v>
      </x:c>
      <x:c r="AP100" s="18" t="n">
        <x:f>'两日价格与决策'!AP196</x:f>
        <x:v>7.105427357601002e-15</x:v>
      </x:c>
      <x:c r="AQ100" s="18" t="n">
        <x:f>'两日价格与决策'!AQ196</x:f>
        <x:v>4.9741</x:v>
      </x:c>
      <x:c r="AR100" s="21" t="n">
        <x:f>'两日价格与决策'!AR196</x:f>
        <x:v>45657</x:v>
      </x:c>
      <x:c r="AS100" s="17" t="n">
        <x:f>'两日价格与决策'!AS196</x:f>
        <x:v>45659.885416666664</x:v>
      </x:c>
      <x:c r="AT100" s="18" t="str">
        <x:f>'两日价格与决策'!AT196</x:f>
        <x:v>2025-01-02_23</x:v>
      </x:c>
      <x:c r="AU100" s="19" t="n">
        <x:f>'两日价格与决策'!AU196</x:f>
        <x:v>60</x:v>
      </x:c>
      <x:c r="AV100" s="18" t="str">
        <x:f>'两日价格与决策'!AV196</x:f>
        <x:v>OK</x:v>
      </x:c>
    </x:row>
    <x:row r="101" ht="21" customHeight="1">
      <x:c r="A101" s="17" t="n">
        <x:f>'两日价格与决策'!A197</x:f>
        <x:v>45659.979166666664</x:v>
      </x:c>
      <x:c r="B101" s="23" t="n">
        <x:f>'两日价格与决策'!B197</x:f>
        <x:v>116.81</x:v>
      </x:c>
      <x:c r="C101" s="23" t="str">
        <x:f>'两日价格与决策'!C197</x:f>
        <x:v>缺失</x:v>
      </x:c>
      <x:c r="D101" s="23" t="n">
        <x:f>'两日价格与决策'!D197</x:f>
        <x:v>13.831647936310086</x:v>
      </x:c>
      <x:c r="E101" s="23" t="n">
        <x:f>'两日价格与决策'!E197</x:f>
        <x:v>14.710198829939085</x:v>
      </x:c>
      <x:c r="F101" s="23" t="n">
        <x:f>'两日价格与决策'!F197</x:f>
        <x:v>0</x:v>
      </x:c>
      <x:c r="G101" s="23" t="n">
        <x:f>'两日价格与决策'!G197</x:f>
        <x:v>30.26457047506081</x:v>
      </x:c>
      <x:c r="H101" s="23" t="str">
        <x:f>'两日价格与决策'!H197</x:f>
        <x:v>未模拟</x:v>
      </x:c>
      <x:c r="I101" s="24" t="n">
        <x:f>'两日价格与决策'!I197</x:f>
        <x:v>17.54628337390486</x:v>
      </x:c>
      <x:c r="J101" s="24" t="n">
        <x:f>'两日价格与决策'!J197</x:f>
        <x:v>18.46260337390486</x:v>
      </x:c>
      <x:c r="K101" s="24" t="n">
        <x:f>'两日价格与决策'!K197</x:f>
        <x:v>0</x:v>
      </x:c>
      <x:c r="L101" s="24" t="n">
        <x:f>'两日价格与决策'!L197</x:f>
        <x:v>0</x:v>
      </x:c>
      <x:c r="M101" s="24" t="n">
        <x:f>'两日价格与决策'!M197</x:f>
        <x:v>100</x:v>
      </x:c>
      <x:c r="N101" s="24" t="n">
        <x:f>'两日价格与决策'!N197</x:f>
        <x:v>100</x:v>
      </x:c>
      <x:c r="O101" s="24" t="n">
        <x:f>'两日价格与决策'!O197</x:f>
        <x:v>0</x:v>
      </x:c>
      <x:c r="P101" s="24" t="n">
        <x:f>'两日价格与决策'!P197</x:f>
        <x:v>0.996</x:v>
      </x:c>
      <x:c r="Q101" s="25" t="n">
        <x:f>'两日价格与决策'!Q197</x:f>
        <x:v>0</x:v>
      </x:c>
      <x:c r="R101" s="25" t="n">
        <x:f>'两日价格与决策'!R197</x:f>
        <x:v>0</x:v>
      </x:c>
      <x:c r="S101" s="25" t="n">
        <x:f>'两日价格与决策'!S197</x:f>
        <x:v>345.7911984077521</x:v>
      </x:c>
      <x:c r="T101" s="25" t="n">
        <x:f>'两日价格与决策'!T197</x:f>
        <x:v>367.7549707484771</x:v>
      </x:c>
      <x:c r="U101" s="25" t="n">
        <x:f>'两日价格与决策'!U197</x:f>
        <x:v>0</x:v>
      </x:c>
      <x:c r="V101" s="25" t="n">
        <x:f>'两日价格与决策'!V197</x:f>
        <x:v>-30.143512193160568</x:v>
      </x:c>
      <x:c r="W101" s="25" t="n">
        <x:f>'两日价格与决策'!W197</x:f>
        <x:v>683.4026569630687</x:v>
      </x:c>
      <x:c r="X101" s="18" t="n">
        <x:f>'两日价格与决策'!X197</x:f>
        <x:v>683.4026569630687</x:v>
      </x:c>
      <x:c r="Y101" s="18" t="n">
        <x:f>'两日价格与决策'!Y197</x:f>
        <x:v>0</x:v>
      </x:c>
      <x:c r="Z101" s="18" t="str">
        <x:f>"1月2日执行｜前窗冻结订单"</x:f>
        <x:v>1月2日执行｜前窗冻结订单</x:v>
      </x:c>
      <x:c r="AA101" s="19" t="n">
        <x:f>'两日价格与决策'!AA197</x:f>
        <x:v>1</x:v>
      </x:c>
      <x:c r="AB101" s="19" t="n">
        <x:f>'两日价格与决策'!AB197</x:f>
        <x:v>0</x:v>
      </x:c>
      <x:c r="AC101" s="18" t="n">
        <x:f>'两日价格与决策'!AC197</x:f>
        <x:v>0.25</x:v>
      </x:c>
      <x:c r="AD101" s="20" t="n">
        <x:f>'两日价格与决策'!AD197</x:f>
        <x:v>1</x:v>
      </x:c>
      <x:c r="AE101" s="20" t="n">
        <x:f>'两日价格与决策'!AE197</x:f>
        <x:v>0</x:v>
      </x:c>
      <x:c r="AF101" s="20" t="n">
        <x:f>'两日价格与决策'!AF197</x:f>
        <x:v>0.03984</x:v>
      </x:c>
      <x:c r="AG101" s="18" t="n">
        <x:f>'两日价格与决策'!AG197</x:f>
        <x:v>200</x:v>
      </x:c>
      <x:c r="AH101" s="18" t="n">
        <x:f>'两日价格与决策'!AH197</x:f>
        <x:v>200</x:v>
      </x:c>
      <x:c r="AI101" s="18" t="n">
        <x:f>'两日价格与决策'!AI197</x:f>
        <x:v>0</x:v>
      </x:c>
      <x:c r="AJ101" s="18" t="n">
        <x:f>'两日价格与决策'!AJ197</x:f>
        <x:v>1.992</x:v>
      </x:c>
      <x:c r="AK101" s="18" t="str">
        <x:f>'两日价格与决策'!AK197</x:f>
        <x:v>缺失</x:v>
      </x:c>
      <x:c r="AL101" s="18" t="n">
        <x:f>'两日价格与决策'!AL197</x:f>
        <x:v>0.0025453333333333335</x:v>
      </x:c>
      <x:c r="AM101" s="18" t="n">
        <x:f>'两日价格与决策'!AM197</x:f>
        <x:v>0.996</x:v>
      </x:c>
      <x:c r="AN101" s="18" t="n">
        <x:f>'两日价格与决策'!AN197</x:f>
        <x:v>0</x:v>
      </x:c>
      <x:c r="AO101" s="18" t="n">
        <x:f>'两日价格与决策'!AO197</x:f>
        <x:v>18.462603373904866</x:v>
      </x:c>
      <x:c r="AP101" s="18" t="n">
        <x:f>'两日价格与决策'!AP197</x:f>
        <x:v>7.105427357601002e-15</x:v>
      </x:c>
      <x:c r="AQ101" s="18" t="n">
        <x:f>'两日价格与决策'!AQ197</x:f>
        <x:v>4.9741</x:v>
      </x:c>
      <x:c r="AR101" s="21" t="n">
        <x:f>'两日价格与决策'!AR197</x:f>
        <x:v>45657</x:v>
      </x:c>
      <x:c r="AS101" s="17" t="n">
        <x:f>'两日价格与决策'!AS197</x:f>
        <x:v>45659.895833333336</x:v>
      </x:c>
      <x:c r="AT101" s="18" t="str">
        <x:f>'两日价格与决策'!AT197</x:f>
        <x:v>2025-01-02_23</x:v>
      </x:c>
      <x:c r="AU101" s="19" t="n">
        <x:f>'两日价格与决策'!AU197</x:f>
        <x:v>60</x:v>
      </x:c>
      <x:c r="AV101" s="18" t="str">
        <x:f>'两日价格与决策'!AV197</x:f>
        <x:v>OK</x:v>
      </x:c>
    </x:row>
    <x:row r="102" ht="21" customHeight="1">
      <x:c r="A102" s="17" t="n">
        <x:f>'两日价格与决策'!A198</x:f>
        <x:v>45659.989583333336</x:v>
      </x:c>
      <x:c r="B102" s="23" t="n">
        <x:f>'两日价格与决策'!B198</x:f>
        <x:v>116.81</x:v>
      </x:c>
      <x:c r="C102" s="23" t="str">
        <x:f>'两日价格与决策'!C198</x:f>
        <x:v>缺失</x:v>
      </x:c>
      <x:c r="D102" s="23" t="n">
        <x:f>'两日价格与决策'!D198</x:f>
        <x:v>13.831647936310086</x:v>
      </x:c>
      <x:c r="E102" s="23" t="n">
        <x:f>'两日价格与决策'!E198</x:f>
        <x:v>14.710198829939085</x:v>
      </x:c>
      <x:c r="F102" s="23" t="n">
        <x:f>'两日价格与决策'!F198</x:f>
        <x:v>0</x:v>
      </x:c>
      <x:c r="G102" s="23" t="n">
        <x:f>'两日价格与决策'!G198</x:f>
        <x:v>20.60794917673549</x:v>
      </x:c>
      <x:c r="H102" s="23" t="str">
        <x:f>'两日价格与决策'!H198</x:f>
        <x:v>未模拟</x:v>
      </x:c>
      <x:c r="I102" s="24" t="n">
        <x:f>'两日价格与决策'!I198</x:f>
        <x:v>18.46260337390486</x:v>
      </x:c>
      <x:c r="J102" s="24" t="n">
        <x:f>'两日价格与决策'!J198</x:f>
        <x:v>19.92402337390486</x:v>
      </x:c>
      <x:c r="K102" s="24" t="n">
        <x:f>'两日价格与决策'!K198</x:f>
        <x:v>0</x:v>
      </x:c>
      <x:c r="L102" s="24" t="n">
        <x:f>'两日价格与决策'!L198</x:f>
        <x:v>0</x:v>
      </x:c>
      <x:c r="M102" s="24" t="n">
        <x:f>'两日价格与决策'!M198</x:f>
        <x:v>100</x:v>
      </x:c>
      <x:c r="N102" s="24" t="n">
        <x:f>'两日价格与决策'!N198</x:f>
        <x:v>100</x:v>
      </x:c>
      <x:c r="O102" s="24" t="n">
        <x:f>'两日价格与决策'!O198</x:f>
        <x:v>0</x:v>
      </x:c>
      <x:c r="P102" s="24" t="n">
        <x:f>'两日价格与决策'!P198</x:f>
        <x:v>1.5885</x:v>
      </x:c>
      <x:c r="Q102" s="25" t="n">
        <x:f>'两日价格与决策'!Q198</x:f>
        <x:v>0</x:v>
      </x:c>
      <x:c r="R102" s="25" t="n">
        <x:f>'两日价格与决策'!R198</x:f>
        <x:v>0</x:v>
      </x:c>
      <x:c r="S102" s="25" t="n">
        <x:f>'两日价格与决策'!S198</x:f>
        <x:v>345.7911984077521</x:v>
      </x:c>
      <x:c r="T102" s="25" t="n">
        <x:f>'两日价格与决策'!T198</x:f>
        <x:v>367.7549707484771</x:v>
      </x:c>
      <x:c r="U102" s="25" t="n">
        <x:f>'两日价格与决策'!U198</x:f>
        <x:v>0</x:v>
      </x:c>
      <x:c r="V102" s="25" t="n">
        <x:f>'两日价格与决策'!V198</x:f>
        <x:v>-32.73572726724433</x:v>
      </x:c>
      <x:c r="W102" s="25" t="n">
        <x:f>'两日价格与决策'!W198</x:f>
        <x:v>680.8104418889849</x:v>
      </x:c>
      <x:c r="X102" s="18" t="n">
        <x:f>'两日价格与决策'!X198</x:f>
        <x:v>680.8104418889849</x:v>
      </x:c>
      <x:c r="Y102" s="18" t="n">
        <x:f>'两日价格与决策'!Y198</x:f>
        <x:v>0</x:v>
      </x:c>
      <x:c r="Z102" s="18" t="str">
        <x:f>"1月2日执行｜前窗冻结订单"</x:f>
        <x:v>1月2日执行｜前窗冻结订单</x:v>
      </x:c>
      <x:c r="AA102" s="19" t="n">
        <x:f>'两日价格与决策'!AA198</x:f>
        <x:v>1</x:v>
      </x:c>
      <x:c r="AB102" s="19" t="n">
        <x:f>'两日价格与决策'!AB198</x:f>
        <x:v>0</x:v>
      </x:c>
      <x:c r="AC102" s="18" t="n">
        <x:f>'两日价格与决策'!AC198</x:f>
        <x:v>0.25</x:v>
      </x:c>
      <x:c r="AD102" s="20" t="n">
        <x:f>'两日价格与决策'!AD198</x:f>
        <x:v>1</x:v>
      </x:c>
      <x:c r="AE102" s="20" t="n">
        <x:f>'两日价格与决策'!AE198</x:f>
        <x:v>0</x:v>
      </x:c>
      <x:c r="AF102" s="20" t="n">
        <x:f>'两日价格与决策'!AF198</x:f>
        <x:v>0.06354</x:v>
      </x:c>
      <x:c r="AG102" s="18" t="n">
        <x:f>'两日价格与决策'!AG198</x:f>
        <x:v>200</x:v>
      </x:c>
      <x:c r="AH102" s="18" t="n">
        <x:f>'两日价格与决策'!AH198</x:f>
        <x:v>200</x:v>
      </x:c>
      <x:c r="AI102" s="18" t="n">
        <x:f>'两日价格与决策'!AI198</x:f>
        <x:v>0</x:v>
      </x:c>
      <x:c r="AJ102" s="18" t="n">
        <x:f>'两日价格与决策'!AJ198</x:f>
        <x:v>3.177</x:v>
      </x:c>
      <x:c r="AK102" s="18" t="str">
        <x:f>'两日价格与决策'!AK198</x:f>
        <x:v>缺失</x:v>
      </x:c>
      <x:c r="AL102" s="18" t="n">
        <x:f>'两日价格与决策'!AL198</x:f>
        <x:v>0.0040595</x:v>
      </x:c>
      <x:c r="AM102" s="18" t="n">
        <x:f>'两日价格与决策'!AM198</x:f>
        <x:v>1.5885</x:v>
      </x:c>
      <x:c r="AN102" s="18" t="n">
        <x:f>'两日价格与决策'!AN198</x:f>
        <x:v>0</x:v>
      </x:c>
      <x:c r="AO102" s="18" t="n">
        <x:f>'两日价格与决策'!AO198</x:f>
        <x:v>19.924023373904866</x:v>
      </x:c>
      <x:c r="AP102" s="18" t="n">
        <x:f>'两日价格与决策'!AP198</x:f>
        <x:v>7.105427357601002e-15</x:v>
      </x:c>
      <x:c r="AQ102" s="18" t="n">
        <x:f>'两日价格与决策'!AQ198</x:f>
        <x:v>4.9741</x:v>
      </x:c>
      <x:c r="AR102" s="21" t="n">
        <x:f>'两日价格与决策'!AR198</x:f>
        <x:v>45657</x:v>
      </x:c>
      <x:c r="AS102" s="17" t="n">
        <x:f>'两日价格与决策'!AS198</x:f>
        <x:v>45659.90625</x:v>
      </x:c>
      <x:c r="AT102" s="18" t="str">
        <x:f>'两日价格与决策'!AT198</x:f>
        <x:v>2025-01-02_23</x:v>
      </x:c>
      <x:c r="AU102" s="19" t="n">
        <x:f>'两日价格与决策'!AU198</x:f>
        <x:v>60</x:v>
      </x:c>
      <x:c r="AV102" s="18" t="str">
        <x:f>'两日价格与决策'!AV198</x:f>
        <x:v>OK</x:v>
      </x:c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</x:row>
    <x:row r="104" ht="21" customHeight="1">
      <x:c r="A104" s="26" t="str">
        <x:v>1月2日合计</x:v>
      </x:c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7" t="n">
        <x:f>SUM(O7:O102)</x:f>
        <x:v>247.96665559585483</x:v>
      </x:c>
      <x:c r="P104" s="27" t="n">
        <x:f>SUM(P7:P102)</x:f>
        <x:v>206.803685</x:v>
      </x:c>
      <x:c r="Q104" s="27" t="n">
        <x:f>SUM(Q7:Q102)</x:f>
        <x:v>10671.944498870942</x:v>
      </x:c>
      <x:c r="R104" s="27" t="n">
        <x:f>SUM(R7:R102)</x:f>
        <x:v>0</x:v>
      </x:c>
      <x:c r="S104" s="27" t="n">
        <x:f>SUM(S7:S102)</x:f>
        <x:v>28461.349791922123</x:v>
      </x:c>
      <x:c r="T104" s="27" t="n">
        <x:f>SUM(T7:T102)</x:f>
        <x:v>28997.008504050995</x:v>
      </x:c>
      <x:c r="U104" s="27" t="n">
        <x:f>SUM(U7:U102)</x:f>
        <x:v>67111.88490640651</x:v>
      </x:c>
      <x:c r="V104" s="27" t="n">
        <x:f>SUM(V7:V102)</x:f>
        <x:v>12841.083279414368</x:v>
      </x:c>
      <x:c r="W104" s="27" t="n">
        <x:f>SUM(W7:W102)</x:f>
        <x:v>148083.27098066497</x:v>
      </x:c>
      <x:c r="X104" s="27" t="n">
        <x:f>SUM(X7:X102)</x:f>
        <x:v>148083.27098066497</x:v>
      </x:c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</x:row>
    <x:row r="106" ht="21" customHeight="1">
      <x:c r="A106" s="2" t="str">
        <x:v>执行事务0001 SHA256</x:v>
      </x:c>
      <x:c r="B106" s="2" t="str">
        <x:v>b5abf686f59d813ebd4077cb43522980bd82174153e90d4fb12714780fd0fa33</x:v>
      </x:c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</x:row>
  </x:sheetData>
  <x:conditionalFormatting sqref="Y7:Y102">
    <x:cfRule type="expression" dxfId="4" priority="1">
      <x:formula>ABS(Y7)&gt;0.00001</x:formula>
    </x:cfRule>
  </x:conditionalFormatting>
  <x:conditionalFormatting sqref="AP7:AP102">
    <x:cfRule type="expression" dxfId="5" priority="2">
      <x:formula>ABS(AP7)&gt;0.000001</x:formula>
    </x:cfRule>
  </x:conditionalFormatting>
  <x:pageMargins left="0.7" right="0.7" top="0.75" bottom="0.75" header="0.3" footer="0.3"/>
</x:worksheet>
</file>